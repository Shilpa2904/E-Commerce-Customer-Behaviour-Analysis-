
<file path=[Content_Types].xml><?xml version="1.0" encoding="utf-8"?>
<Types xmlns="http://schemas.openxmlformats.org/package/2006/content-types"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Definition2.xml" ContentType="application/vnd.openxmlformats-officedocument.spreadsheetml.pivotCacheDefinition+xml"/>
  <Override PartName="/xl/pivotCache/pivotCacheDefinition3.xml" ContentType="application/vnd.openxmlformats-officedocument.spreadsheetml.pivotCacheDefinition+xml"/>
  <Override PartName="/xl/pivotCache/pivotCacheDefinition4.xml" ContentType="application/vnd.openxmlformats-officedocument.spreadsheetml.pivotCacheDefinition+xml"/>
  <Override PartName="/xl/pivotCache/pivotCacheDefinition5.xml" ContentType="application/vnd.openxmlformats-officedocument.spreadsheetml.pivotCacheDefinition+xml"/>
  <Override PartName="/xl/pivotCache/pivotCacheDefinition6.xml" ContentType="application/vnd.openxmlformats-officedocument.spreadsheetml.pivotCacheDefinition+xml"/>
  <Override PartName="/xl/pivotCache/pivotCacheDefinition7.xml" ContentType="application/vnd.openxmlformats-officedocument.spreadsheetml.pivotCacheDefinition+xml"/>
  <Override PartName="/xl/pivotCache/pivotCacheDefinition8.xml" ContentType="application/vnd.openxmlformats-officedocument.spreadsheetml.pivotCacheDefinition+xml"/>
  <Override PartName="/xl/pivotCache/pivotCacheDefinition9.xml" ContentType="application/vnd.openxmlformats-officedocument.spreadsheetml.pivotCacheDefinition+xml"/>
  <Override PartName="/xl/pivotCache/pivotCacheDefinition10.xml" ContentType="application/vnd.openxmlformats-officedocument.spreadsheetml.pivotCacheDefinition+xml"/>
  <Override PartName="/xl/pivotCache/pivotCacheDefinition11.xml" ContentType="application/vnd.openxmlformats-officedocument.spreadsheetml.pivotCacheDefinition+xml"/>
  <Override PartName="/xl/pivotCache/pivotCacheDefinition12.xml" ContentType="application/vnd.openxmlformats-officedocument.spreadsheetml.pivotCacheDefinition+xml"/>
  <Override PartName="/xl/pivotCache/pivotCacheDefinition13.xml" ContentType="application/vnd.openxmlformats-officedocument.spreadsheetml.pivotCacheDefinition+xml"/>
  <Override PartName="/xl/pivotCache/pivotCacheDefinition14.xml" ContentType="application/vnd.openxmlformats-officedocument.spreadsheetml.pivotCacheDefinition+xml"/>
  <Override PartName="/xl/pivotCache/pivotCacheDefinition15.xml" ContentType="application/vnd.openxmlformats-officedocument.spreadsheetml.pivotCacheDefinition+xml"/>
  <Override PartName="/xl/pivotCache/pivotCacheDefinition16.xml" ContentType="application/vnd.openxmlformats-officedocument.spreadsheetml.pivotCacheDefinition+xml"/>
  <Override PartName="/xl/pivotCache/pivotCacheDefinition17.xml" ContentType="application/vnd.openxmlformats-officedocument.spreadsheetml.pivotCacheDefinition+xml"/>
  <Override PartName="/xl/pivotCache/pivotCacheDefinition18.xml" ContentType="application/vnd.openxmlformats-officedocument.spreadsheetml.pivotCacheDefinition+xml"/>
  <Override PartName="/xl/pivotCache/pivotCacheDefinition19.xml" ContentType="application/vnd.openxmlformats-officedocument.spreadsheetml.pivotCacheDefinition+xml"/>
  <Override PartName="/xl/pivotCache/pivotCacheDefinition20.xml" ContentType="application/vnd.openxmlformats-officedocument.spreadsheetml.pivotCacheDefinition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pivotTables/pivotTable9.xml" ContentType="application/vnd.openxmlformats-officedocument.spreadsheetml.pivotTable+xml"/>
  <Override PartName="/xl/pivotTables/pivotTable10.xml" ContentType="application/vnd.openxmlformats-officedocument.spreadsheetml.pivotTable+xml"/>
  <Override PartName="/xl/pivotTables/pivotTable11.xml" ContentType="application/vnd.openxmlformats-officedocument.spreadsheetml.pivotTable+xml"/>
  <Override PartName="/xl/pivotTables/pivotTable12.xml" ContentType="application/vnd.openxmlformats-officedocument.spreadsheetml.pivotTable+xml"/>
  <Override PartName="/xl/pivotTables/pivotTable13.xml" ContentType="application/vnd.openxmlformats-officedocument.spreadsheetml.pivotTable+xml"/>
  <Override PartName="/xl/pivotTables/pivotTable14.xml" ContentType="application/vnd.openxmlformats-officedocument.spreadsheetml.pivotTable+xml"/>
  <Override PartName="/xl/pivotTables/pivotTable15.xml" ContentType="application/vnd.openxmlformats-officedocument.spreadsheetml.pivotTable+xml"/>
  <Override PartName="/xl/pivotTables/pivotTable16.xml" ContentType="application/vnd.openxmlformats-officedocument.spreadsheetml.pivotTable+xml"/>
  <Override PartName="/xl/pivotTables/pivotTable17.xml" ContentType="application/vnd.openxmlformats-officedocument.spreadsheetml.pivotTable+xml"/>
  <Override PartName="/xl/pivotTables/pivotTable18.xml" ContentType="application/vnd.openxmlformats-officedocument.spreadsheetml.pivotTable+xml"/>
  <Override PartName="/xl/pivotTables/pivotTable19.xml" ContentType="application/vnd.openxmlformats-officedocument.spreadsheetml.pivotTable+xml"/>
  <Override PartName="/xl/pivotTables/pivotTable20.xml" ContentType="application/vnd.openxmlformats-officedocument.spreadsheetml.pivotTable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cfc7a22754a8342f/Documents/"/>
    </mc:Choice>
  </mc:AlternateContent>
  <xr:revisionPtr revIDLastSave="8" documentId="13_ncr:1_{EC521D59-3D65-4ADD-87A8-EA1E2A9FFCAE}" xr6:coauthVersionLast="47" xr6:coauthVersionMax="47" xr10:uidLastSave="{CAAAEC5E-495F-4B76-B571-70BFC945B1F9}"/>
  <bookViews>
    <workbookView xWindow="-108" yWindow="-108" windowWidth="23256" windowHeight="12456" activeTab="1" xr2:uid="{59716E6B-BC55-4180-B95D-28CAEE071548}"/>
  </bookViews>
  <sheets>
    <sheet name="Ecommerce_Consumer_Behavior_Ana" sheetId="1" r:id="rId1"/>
    <sheet name="Sheet1" sheetId="2" r:id="rId2"/>
  </sheets>
  <definedNames>
    <definedName name="_xlnm._FilterDatabase" localSheetId="0" hidden="1">Ecommerce_Consumer_Behavior_Ana!$A$1:$AE$1001</definedName>
    <definedName name="_xlcn.WorksheetConnection_Ecommerce_Consumer_Behavior_AnaA1AD10011" hidden="1">Ecommerce_Consumer_Behavior_Ana!$A$1:$AE$1001</definedName>
  </definedNames>
  <calcPr calcId="191029"/>
  <pivotCaches>
    <pivotCache cacheId="45" r:id="rId3"/>
    <pivotCache cacheId="46" r:id="rId4"/>
    <pivotCache cacheId="47" r:id="rId5"/>
    <pivotCache cacheId="48" r:id="rId6"/>
    <pivotCache cacheId="49" r:id="rId7"/>
    <pivotCache cacheId="50" r:id="rId8"/>
    <pivotCache cacheId="51" r:id="rId9"/>
    <pivotCache cacheId="52" r:id="rId10"/>
    <pivotCache cacheId="53" r:id="rId11"/>
    <pivotCache cacheId="54" r:id="rId12"/>
    <pivotCache cacheId="55" r:id="rId13"/>
    <pivotCache cacheId="56" r:id="rId14"/>
    <pivotCache cacheId="57" r:id="rId15"/>
    <pivotCache cacheId="58" r:id="rId16"/>
    <pivotCache cacheId="59" r:id="rId17"/>
    <pivotCache cacheId="60" r:id="rId18"/>
    <pivotCache cacheId="61" r:id="rId19"/>
    <pivotCache cacheId="62" r:id="rId20"/>
    <pivotCache cacheId="63" r:id="rId21"/>
    <pivotCache cacheId="68" r:id="rId22"/>
  </pivotCaches>
  <extLst>
    <ext xmlns:x15="http://schemas.microsoft.com/office/spreadsheetml/2010/11/main" uri="{FCE2AD5D-F65C-4FA6-A056-5C36A1767C68}">
      <x15:dataModel>
        <x15:modelTables>
          <x15:modelTable id="Range" name="Range" connection="WorksheetConnection_Ecommerce_Consumer_Behavior_Ana!$A$1:$AD$1001"/>
        </x15:modelTables>
        <x15:extLst>
          <ext xmlns:x16="http://schemas.microsoft.com/office/spreadsheetml/2014/11/main" uri="{9835A34E-60A6-4A7C-AAB8-D5F71C897F49}">
            <x16:modelTimeGroupings>
              <x16:modelTimeGrouping tableName="Range" columnName="Time_of_Purchase" columnId="Time_of_Purchase">
                <x16:calculatedTimeColumn columnName="Time_of_Purchase (Year)" columnId="Time_of_Purchase (Year)" contentType="years" isSelected="1"/>
                <x16:calculatedTimeColumn columnName="Time_of_Purchase (Quarter)" columnId="Time_of_Purchase (Quarter)" contentType="quarters" isSelected="1"/>
                <x16:calculatedTimeColumn columnName="Time_of_Purchase (Month Index)" columnId="Time_of_Purchase (Month Index)" contentType="monthsindex" isSelected="1"/>
                <x16:calculatedTimeColumn columnName="Time_of_Purchase (Month)" columnId="Time_of_Purchase (Month)" contentType="months" isSelected="1"/>
              </x16:modelTimeGrouping>
            </x16:modelTimeGroupings>
          </ext>
        </x15:extLst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2" i="1" l="1" a="1"/>
  <c r="C2" i="1" s="1"/>
  <c r="C3" i="1" a="1"/>
  <c r="C3" i="1" s="1"/>
  <c r="C4" i="1" a="1"/>
  <c r="C4" i="1" s="1"/>
  <c r="C5" i="1" a="1"/>
  <c r="C5" i="1" s="1"/>
  <c r="C6" i="1" a="1"/>
  <c r="C6" i="1"/>
  <c r="C7" i="1" a="1"/>
  <c r="C7" i="1"/>
  <c r="C8" i="1" a="1"/>
  <c r="C8" i="1" s="1"/>
  <c r="C9" i="1" a="1"/>
  <c r="C9" i="1" s="1"/>
  <c r="C10" i="1" a="1"/>
  <c r="C10" i="1"/>
  <c r="C11" i="1" a="1"/>
  <c r="C11" i="1"/>
  <c r="C12" i="1" a="1"/>
  <c r="C12" i="1" s="1"/>
  <c r="C13" i="1" a="1"/>
  <c r="C13" i="1" s="1"/>
  <c r="C14" i="1" a="1"/>
  <c r="C14" i="1" s="1"/>
  <c r="C15" i="1" a="1"/>
  <c r="C15" i="1"/>
  <c r="C16" i="1" a="1"/>
  <c r="C16" i="1" s="1"/>
  <c r="C17" i="1" a="1"/>
  <c r="C17" i="1" s="1"/>
  <c r="C18" i="1" a="1"/>
  <c r="C18" i="1"/>
  <c r="C19" i="1" a="1"/>
  <c r="C19" i="1" s="1"/>
  <c r="C20" i="1" a="1"/>
  <c r="C20" i="1" s="1"/>
  <c r="C21" i="1" a="1"/>
  <c r="C21" i="1" s="1"/>
  <c r="C22" i="1" a="1"/>
  <c r="C22" i="1"/>
  <c r="C23" i="1" a="1"/>
  <c r="C23" i="1" s="1"/>
  <c r="C24" i="1" a="1"/>
  <c r="C24" i="1" s="1"/>
  <c r="C25" i="1" a="1"/>
  <c r="C25" i="1" s="1"/>
  <c r="C26" i="1" a="1"/>
  <c r="C26" i="1"/>
  <c r="C27" i="1" a="1"/>
  <c r="C27" i="1"/>
  <c r="C28" i="1" a="1"/>
  <c r="C28" i="1" s="1"/>
  <c r="C29" i="1" a="1"/>
  <c r="C29" i="1" s="1"/>
  <c r="C30" i="1" a="1"/>
  <c r="C30" i="1" s="1"/>
  <c r="C31" i="1" a="1"/>
  <c r="C31" i="1"/>
  <c r="C32" i="1" a="1"/>
  <c r="C32" i="1" s="1"/>
  <c r="C33" i="1" a="1"/>
  <c r="C33" i="1" s="1"/>
  <c r="C34" i="1" a="1"/>
  <c r="C34" i="1"/>
  <c r="C35" i="1" a="1"/>
  <c r="C35" i="1" s="1"/>
  <c r="C36" i="1" a="1"/>
  <c r="C36" i="1" s="1"/>
  <c r="C37" i="1" a="1"/>
  <c r="C37" i="1" s="1"/>
  <c r="C38" i="1" a="1"/>
  <c r="C38" i="1"/>
  <c r="C39" i="1" a="1"/>
  <c r="C39" i="1" s="1"/>
  <c r="C40" i="1" a="1"/>
  <c r="C40" i="1" s="1"/>
  <c r="C41" i="1" a="1"/>
  <c r="C41" i="1" s="1"/>
  <c r="C42" i="1" a="1"/>
  <c r="C42" i="1"/>
  <c r="C43" i="1" a="1"/>
  <c r="C43" i="1"/>
  <c r="C44" i="1" a="1"/>
  <c r="C44" i="1" s="1"/>
  <c r="C45" i="1" a="1"/>
  <c r="C45" i="1" s="1"/>
  <c r="C46" i="1" a="1"/>
  <c r="C46" i="1" s="1"/>
  <c r="C47" i="1" a="1"/>
  <c r="C47" i="1"/>
  <c r="C48" i="1" a="1"/>
  <c r="C48" i="1" s="1"/>
  <c r="C49" i="1" a="1"/>
  <c r="C49" i="1" s="1"/>
  <c r="C50" i="1" a="1"/>
  <c r="C50" i="1"/>
  <c r="C51" i="1" a="1"/>
  <c r="C51" i="1" s="1"/>
  <c r="C52" i="1" a="1"/>
  <c r="C52" i="1" s="1"/>
  <c r="C53" i="1" a="1"/>
  <c r="C53" i="1" s="1"/>
  <c r="C54" i="1" a="1"/>
  <c r="C54" i="1"/>
  <c r="C55" i="1" a="1"/>
  <c r="C55" i="1" s="1"/>
  <c r="C56" i="1" a="1"/>
  <c r="C56" i="1" s="1"/>
  <c r="C57" i="1" a="1"/>
  <c r="C57" i="1" s="1"/>
  <c r="C58" i="1" a="1"/>
  <c r="C58" i="1"/>
  <c r="C59" i="1" a="1"/>
  <c r="C59" i="1"/>
  <c r="C60" i="1" a="1"/>
  <c r="C60" i="1" s="1"/>
  <c r="C61" i="1" a="1"/>
  <c r="C61" i="1" s="1"/>
  <c r="C62" i="1" a="1"/>
  <c r="C62" i="1" s="1"/>
  <c r="C63" i="1" a="1"/>
  <c r="C63" i="1"/>
  <c r="C64" i="1" a="1"/>
  <c r="C64" i="1" s="1"/>
  <c r="C65" i="1" a="1"/>
  <c r="C65" i="1" s="1"/>
  <c r="C66" i="1" a="1"/>
  <c r="C66" i="1"/>
  <c r="C67" i="1" a="1"/>
  <c r="C67" i="1" s="1"/>
  <c r="C68" i="1" a="1"/>
  <c r="C68" i="1" s="1"/>
  <c r="C69" i="1" a="1"/>
  <c r="C69" i="1" s="1"/>
  <c r="C70" i="1" a="1"/>
  <c r="C70" i="1"/>
  <c r="C71" i="1" a="1"/>
  <c r="C71" i="1"/>
  <c r="C72" i="1" a="1"/>
  <c r="C72" i="1" s="1"/>
  <c r="C73" i="1" a="1"/>
  <c r="C73" i="1" s="1"/>
  <c r="C74" i="1" a="1"/>
  <c r="C74" i="1"/>
  <c r="C75" i="1" a="1"/>
  <c r="C75" i="1"/>
  <c r="C76" i="1" a="1"/>
  <c r="C76" i="1" s="1"/>
  <c r="C77" i="1" a="1"/>
  <c r="C77" i="1" s="1"/>
  <c r="C78" i="1" a="1"/>
  <c r="C78" i="1" s="1"/>
  <c r="C79" i="1" a="1"/>
  <c r="C79" i="1"/>
  <c r="C80" i="1" a="1"/>
  <c r="C80" i="1" s="1"/>
  <c r="C81" i="1" a="1"/>
  <c r="C81" i="1" s="1"/>
  <c r="C82" i="1" a="1"/>
  <c r="C82" i="1"/>
  <c r="C83" i="1" a="1"/>
  <c r="C83" i="1" s="1"/>
  <c r="C84" i="1" a="1"/>
  <c r="C84" i="1" s="1"/>
  <c r="C85" i="1" a="1"/>
  <c r="C85" i="1" s="1"/>
  <c r="C86" i="1" a="1"/>
  <c r="C86" i="1"/>
  <c r="C87" i="1" a="1"/>
  <c r="C87" i="1" s="1"/>
  <c r="C88" i="1" a="1"/>
  <c r="C88" i="1" s="1"/>
  <c r="C89" i="1" a="1"/>
  <c r="C89" i="1" s="1"/>
  <c r="C90" i="1" a="1"/>
  <c r="C90" i="1"/>
  <c r="C91" i="1" a="1"/>
  <c r="C91" i="1"/>
  <c r="C92" i="1" a="1"/>
  <c r="C92" i="1" s="1"/>
  <c r="C93" i="1" a="1"/>
  <c r="C93" i="1" s="1"/>
  <c r="C94" i="1" a="1"/>
  <c r="C94" i="1" s="1"/>
  <c r="C95" i="1" a="1"/>
  <c r="C95" i="1"/>
  <c r="C96" i="1" a="1"/>
  <c r="C96" i="1" s="1"/>
  <c r="C97" i="1" a="1"/>
  <c r="C97" i="1" s="1"/>
  <c r="C98" i="1" a="1"/>
  <c r="C98" i="1"/>
  <c r="C99" i="1" a="1"/>
  <c r="C99" i="1" s="1"/>
  <c r="C100" i="1" a="1"/>
  <c r="C100" i="1" s="1"/>
  <c r="C101" i="1" a="1"/>
  <c r="C101" i="1" s="1"/>
  <c r="C102" i="1" a="1"/>
  <c r="C102" i="1"/>
  <c r="C103" i="1" a="1"/>
  <c r="C103" i="1" s="1"/>
  <c r="C104" i="1" a="1"/>
  <c r="C104" i="1" s="1"/>
  <c r="C105" i="1" a="1"/>
  <c r="C105" i="1" s="1"/>
  <c r="C106" i="1" a="1"/>
  <c r="C106" i="1"/>
  <c r="C107" i="1" a="1"/>
  <c r="C107" i="1"/>
  <c r="C108" i="1" a="1"/>
  <c r="C108" i="1" s="1"/>
  <c r="C109" i="1" a="1"/>
  <c r="C109" i="1" s="1"/>
  <c r="C110" i="1" a="1"/>
  <c r="C110" i="1" s="1"/>
  <c r="C111" i="1" a="1"/>
  <c r="C111" i="1" s="1"/>
  <c r="C112" i="1" a="1"/>
  <c r="C112" i="1" s="1"/>
  <c r="C113" i="1" a="1"/>
  <c r="C113" i="1" s="1"/>
  <c r="C114" i="1" a="1"/>
  <c r="C114" i="1" s="1"/>
  <c r="C115" i="1" a="1"/>
  <c r="C115" i="1" s="1"/>
  <c r="C116" i="1" a="1"/>
  <c r="C116" i="1" s="1"/>
  <c r="C117" i="1" a="1"/>
  <c r="C117" i="1" s="1"/>
  <c r="C118" i="1" a="1"/>
  <c r="C118" i="1"/>
  <c r="C119" i="1" a="1"/>
  <c r="C119" i="1"/>
  <c r="C120" i="1" a="1"/>
  <c r="C120" i="1" s="1"/>
  <c r="C121" i="1" a="1"/>
  <c r="C121" i="1" s="1"/>
  <c r="C122" i="1" a="1"/>
  <c r="C122" i="1" s="1"/>
  <c r="C123" i="1" a="1"/>
  <c r="C123" i="1"/>
  <c r="C124" i="1" a="1"/>
  <c r="C124" i="1" s="1"/>
  <c r="C125" i="1" a="1"/>
  <c r="C125" i="1" s="1"/>
  <c r="C126" i="1" a="1"/>
  <c r="C126" i="1" s="1"/>
  <c r="C127" i="1" a="1"/>
  <c r="C127" i="1" s="1"/>
  <c r="C128" i="1" a="1"/>
  <c r="C128" i="1" s="1"/>
  <c r="C129" i="1" a="1"/>
  <c r="C129" i="1" s="1"/>
  <c r="C130" i="1" a="1"/>
  <c r="C130" i="1" s="1"/>
  <c r="C131" i="1" a="1"/>
  <c r="C131" i="1" s="1"/>
  <c r="C132" i="1" a="1"/>
  <c r="C132" i="1" s="1"/>
  <c r="C133" i="1" a="1"/>
  <c r="C133" i="1" s="1"/>
  <c r="C134" i="1" a="1"/>
  <c r="C134" i="1"/>
  <c r="C135" i="1" a="1"/>
  <c r="C135" i="1"/>
  <c r="C136" i="1" a="1"/>
  <c r="C136" i="1" s="1"/>
  <c r="C137" i="1" a="1"/>
  <c r="C137" i="1" s="1"/>
  <c r="C138" i="1" a="1"/>
  <c r="C138" i="1" s="1"/>
  <c r="C139" i="1" a="1"/>
  <c r="C139" i="1"/>
  <c r="C140" i="1" a="1"/>
  <c r="C140" i="1" s="1"/>
  <c r="C141" i="1" a="1"/>
  <c r="C141" i="1" s="1"/>
  <c r="C142" i="1" a="1"/>
  <c r="C142" i="1" s="1"/>
  <c r="C143" i="1" a="1"/>
  <c r="C143" i="1" s="1"/>
  <c r="C144" i="1" a="1"/>
  <c r="C144" i="1" s="1"/>
  <c r="C145" i="1" a="1"/>
  <c r="C145" i="1" s="1"/>
  <c r="C146" i="1" a="1"/>
  <c r="C146" i="1" s="1"/>
  <c r="C147" i="1" a="1"/>
  <c r="C147" i="1" s="1"/>
  <c r="C148" i="1" a="1"/>
  <c r="C148" i="1" s="1"/>
  <c r="C149" i="1" a="1"/>
  <c r="C149" i="1" s="1"/>
  <c r="C150" i="1" a="1"/>
  <c r="C150" i="1"/>
  <c r="C151" i="1" a="1"/>
  <c r="C151" i="1"/>
  <c r="C152" i="1" a="1"/>
  <c r="C152" i="1" s="1"/>
  <c r="C153" i="1" a="1"/>
  <c r="C153" i="1" s="1"/>
  <c r="C154" i="1" a="1"/>
  <c r="C154" i="1" s="1"/>
  <c r="C155" i="1" a="1"/>
  <c r="C155" i="1"/>
  <c r="C156" i="1" a="1"/>
  <c r="C156" i="1" s="1"/>
  <c r="C157" i="1" a="1"/>
  <c r="C157" i="1" s="1"/>
  <c r="C158" i="1" a="1"/>
  <c r="C158" i="1" s="1"/>
  <c r="C159" i="1" a="1"/>
  <c r="C159" i="1" s="1"/>
  <c r="C160" i="1" a="1"/>
  <c r="C160" i="1" s="1"/>
  <c r="C161" i="1" a="1"/>
  <c r="C161" i="1" s="1"/>
  <c r="C162" i="1" a="1"/>
  <c r="C162" i="1" s="1"/>
  <c r="C163" i="1" a="1"/>
  <c r="C163" i="1" s="1"/>
  <c r="C164" i="1" a="1"/>
  <c r="C164" i="1" s="1"/>
  <c r="C165" i="1" a="1"/>
  <c r="C165" i="1" s="1"/>
  <c r="C166" i="1" a="1"/>
  <c r="C166" i="1"/>
  <c r="C167" i="1" a="1"/>
  <c r="C167" i="1" s="1"/>
  <c r="C168" i="1" a="1"/>
  <c r="C168" i="1" s="1"/>
  <c r="C169" i="1" a="1"/>
  <c r="C169" i="1" s="1"/>
  <c r="C170" i="1" a="1"/>
  <c r="C170" i="1" s="1"/>
  <c r="C171" i="1" a="1"/>
  <c r="C171" i="1"/>
  <c r="C172" i="1" a="1"/>
  <c r="C172" i="1" s="1"/>
  <c r="C173" i="1" a="1"/>
  <c r="C173" i="1" s="1"/>
  <c r="C174" i="1" a="1"/>
  <c r="C174" i="1" s="1"/>
  <c r="C175" i="1" a="1"/>
  <c r="C175" i="1" s="1"/>
  <c r="C176" i="1" a="1"/>
  <c r="C176" i="1" s="1"/>
  <c r="C177" i="1" a="1"/>
  <c r="C177" i="1" s="1"/>
  <c r="C178" i="1" a="1"/>
  <c r="C178" i="1" s="1"/>
  <c r="C179" i="1" a="1"/>
  <c r="C179" i="1" s="1"/>
  <c r="C180" i="1" a="1"/>
  <c r="C180" i="1" s="1"/>
  <c r="C181" i="1" a="1"/>
  <c r="C181" i="1" s="1"/>
  <c r="C182" i="1" a="1"/>
  <c r="C182" i="1"/>
  <c r="C183" i="1" a="1"/>
  <c r="C183" i="1"/>
  <c r="C184" i="1" a="1"/>
  <c r="C184" i="1" s="1"/>
  <c r="C185" i="1" a="1"/>
  <c r="C185" i="1" s="1"/>
  <c r="C186" i="1" a="1"/>
  <c r="C186" i="1" s="1"/>
  <c r="C187" i="1" a="1"/>
  <c r="C187" i="1"/>
  <c r="C188" i="1" a="1"/>
  <c r="C188" i="1" s="1"/>
  <c r="C189" i="1" a="1"/>
  <c r="C189" i="1" s="1"/>
  <c r="C190" i="1" a="1"/>
  <c r="C190" i="1" s="1"/>
  <c r="C191" i="1" a="1"/>
  <c r="C191" i="1" s="1"/>
  <c r="C192" i="1" a="1"/>
  <c r="C192" i="1" s="1"/>
  <c r="C193" i="1" a="1"/>
  <c r="C193" i="1" s="1"/>
  <c r="C194" i="1" a="1"/>
  <c r="C194" i="1" s="1"/>
  <c r="C195" i="1" a="1"/>
  <c r="C195" i="1" s="1"/>
  <c r="C196" i="1" a="1"/>
  <c r="C196" i="1" s="1"/>
  <c r="C197" i="1" a="1"/>
  <c r="C197" i="1" s="1"/>
  <c r="C198" i="1" a="1"/>
  <c r="C198" i="1"/>
  <c r="C199" i="1" a="1"/>
  <c r="C199" i="1" s="1"/>
  <c r="C200" i="1" a="1"/>
  <c r="C200" i="1" s="1"/>
  <c r="C201" i="1" a="1"/>
  <c r="C201" i="1" s="1"/>
  <c r="C202" i="1" a="1"/>
  <c r="C202" i="1" s="1"/>
  <c r="C203" i="1" a="1"/>
  <c r="C203" i="1"/>
  <c r="C204" i="1" a="1"/>
  <c r="C204" i="1" s="1"/>
  <c r="C205" i="1" a="1"/>
  <c r="C205" i="1" s="1"/>
  <c r="C206" i="1" a="1"/>
  <c r="C206" i="1" s="1"/>
  <c r="C207" i="1" a="1"/>
  <c r="C207" i="1" s="1"/>
  <c r="C208" i="1" a="1"/>
  <c r="C208" i="1" s="1"/>
  <c r="C209" i="1" a="1"/>
  <c r="C209" i="1" s="1"/>
  <c r="C210" i="1" a="1"/>
  <c r="C210" i="1" s="1"/>
  <c r="C211" i="1" a="1"/>
  <c r="C211" i="1" s="1"/>
  <c r="C212" i="1" a="1"/>
  <c r="C212" i="1" s="1"/>
  <c r="C213" i="1" a="1"/>
  <c r="C213" i="1" s="1"/>
  <c r="C214" i="1" a="1"/>
  <c r="C214" i="1"/>
  <c r="C215" i="1" a="1"/>
  <c r="C215" i="1"/>
  <c r="C216" i="1" a="1"/>
  <c r="C216" i="1" s="1"/>
  <c r="C217" i="1" a="1"/>
  <c r="C217" i="1" s="1"/>
  <c r="C218" i="1" a="1"/>
  <c r="C218" i="1" s="1"/>
  <c r="C219" i="1" a="1"/>
  <c r="C219" i="1"/>
  <c r="C220" i="1" a="1"/>
  <c r="C220" i="1" s="1"/>
  <c r="C221" i="1" a="1"/>
  <c r="C221" i="1" s="1"/>
  <c r="C222" i="1" a="1"/>
  <c r="C222" i="1" s="1"/>
  <c r="C223" i="1" a="1"/>
  <c r="C223" i="1" s="1"/>
  <c r="C224" i="1" a="1"/>
  <c r="C224" i="1" s="1"/>
  <c r="C225" i="1" a="1"/>
  <c r="C225" i="1" s="1"/>
  <c r="C226" i="1" a="1"/>
  <c r="C226" i="1" s="1"/>
  <c r="C227" i="1" a="1"/>
  <c r="C227" i="1" s="1"/>
  <c r="C228" i="1" a="1"/>
  <c r="C228" i="1" s="1"/>
  <c r="C229" i="1" a="1"/>
  <c r="C229" i="1" s="1"/>
  <c r="C230" i="1" a="1"/>
  <c r="C230" i="1"/>
  <c r="C231" i="1" a="1"/>
  <c r="C231" i="1" s="1"/>
  <c r="C232" i="1" a="1"/>
  <c r="C232" i="1" s="1"/>
  <c r="C233" i="1" a="1"/>
  <c r="C233" i="1" s="1"/>
  <c r="C234" i="1" a="1"/>
  <c r="C234" i="1" s="1"/>
  <c r="C235" i="1" a="1"/>
  <c r="C235" i="1"/>
  <c r="C236" i="1" a="1"/>
  <c r="C236" i="1" s="1"/>
  <c r="C237" i="1" a="1"/>
  <c r="C237" i="1" s="1"/>
  <c r="C238" i="1" a="1"/>
  <c r="C238" i="1" s="1"/>
  <c r="C239" i="1" a="1"/>
  <c r="C239" i="1" s="1"/>
  <c r="C240" i="1" a="1"/>
  <c r="C240" i="1" s="1"/>
  <c r="C241" i="1" a="1"/>
  <c r="C241" i="1" s="1"/>
  <c r="C242" i="1" a="1"/>
  <c r="C242" i="1" s="1"/>
  <c r="C243" i="1" a="1"/>
  <c r="C243" i="1" s="1"/>
  <c r="C244" i="1" a="1"/>
  <c r="C244" i="1" s="1"/>
  <c r="C245" i="1" a="1"/>
  <c r="C245" i="1" s="1"/>
  <c r="C246" i="1" a="1"/>
  <c r="C246" i="1"/>
  <c r="C247" i="1" a="1"/>
  <c r="C247" i="1"/>
  <c r="C248" i="1" a="1"/>
  <c r="C248" i="1" s="1"/>
  <c r="C249" i="1" a="1"/>
  <c r="C249" i="1" s="1"/>
  <c r="C250" i="1" a="1"/>
  <c r="C250" i="1"/>
  <c r="C251" i="1" a="1"/>
  <c r="C251" i="1"/>
  <c r="C252" i="1" a="1"/>
  <c r="C252" i="1"/>
  <c r="C253" i="1" a="1"/>
  <c r="C253" i="1" s="1"/>
  <c r="C254" i="1" a="1"/>
  <c r="C254" i="1" s="1"/>
  <c r="C255" i="1" a="1"/>
  <c r="C255" i="1"/>
  <c r="C256" i="1" a="1"/>
  <c r="C256" i="1"/>
  <c r="C257" i="1" a="1"/>
  <c r="C257" i="1" s="1"/>
  <c r="C258" i="1" a="1"/>
  <c r="C258" i="1"/>
  <c r="C259" i="1" a="1"/>
  <c r="C259" i="1"/>
  <c r="C260" i="1" a="1"/>
  <c r="C260" i="1" s="1"/>
  <c r="C261" i="1" a="1"/>
  <c r="C261" i="1" s="1"/>
  <c r="C262" i="1" a="1"/>
  <c r="C262" i="1" s="1"/>
  <c r="C263" i="1" a="1"/>
  <c r="C263" i="1" s="1"/>
  <c r="C264" i="1" a="1"/>
  <c r="C264" i="1"/>
  <c r="C265" i="1" a="1"/>
  <c r="C265" i="1" s="1"/>
  <c r="C266" i="1" a="1"/>
  <c r="C266" i="1" s="1"/>
  <c r="C267" i="1" a="1"/>
  <c r="C267" i="1"/>
  <c r="C268" i="1" a="1"/>
  <c r="C268" i="1"/>
  <c r="C269" i="1" a="1"/>
  <c r="C269" i="1" s="1"/>
  <c r="C270" i="1" a="1"/>
  <c r="C270" i="1" s="1"/>
  <c r="C271" i="1" a="1"/>
  <c r="C271" i="1" s="1"/>
  <c r="C272" i="1" a="1"/>
  <c r="C272" i="1" s="1"/>
  <c r="C273" i="1" a="1"/>
  <c r="C273" i="1" s="1"/>
  <c r="C274" i="1" a="1"/>
  <c r="C274" i="1" s="1"/>
  <c r="C275" i="1" a="1"/>
  <c r="C275" i="1"/>
  <c r="C276" i="1" a="1"/>
  <c r="C276" i="1"/>
  <c r="C277" i="1" a="1"/>
  <c r="C277" i="1" s="1"/>
  <c r="C278" i="1" a="1"/>
  <c r="C278" i="1"/>
  <c r="C279" i="1" a="1"/>
  <c r="C279" i="1"/>
  <c r="C280" i="1" a="1"/>
  <c r="C280" i="1" s="1"/>
  <c r="C281" i="1" a="1"/>
  <c r="C281" i="1" s="1"/>
  <c r="C282" i="1" a="1"/>
  <c r="C282" i="1"/>
  <c r="C283" i="1" a="1"/>
  <c r="C283" i="1"/>
  <c r="C284" i="1" a="1"/>
  <c r="C284" i="1"/>
  <c r="C285" i="1" a="1"/>
  <c r="C285" i="1" s="1"/>
  <c r="C286" i="1" a="1"/>
  <c r="C286" i="1" s="1"/>
  <c r="C287" i="1" a="1"/>
  <c r="C287" i="1"/>
  <c r="C288" i="1" a="1"/>
  <c r="C288" i="1"/>
  <c r="C289" i="1" a="1"/>
  <c r="C289" i="1" s="1"/>
  <c r="C290" i="1" a="1"/>
  <c r="C290" i="1"/>
  <c r="C291" i="1" a="1"/>
  <c r="C291" i="1"/>
  <c r="C292" i="1" a="1"/>
  <c r="C292" i="1"/>
  <c r="C293" i="1" a="1"/>
  <c r="C293" i="1" s="1"/>
  <c r="C294" i="1" a="1"/>
  <c r="C294" i="1" s="1"/>
  <c r="C295" i="1" a="1"/>
  <c r="C295" i="1" s="1"/>
  <c r="C296" i="1" a="1"/>
  <c r="C296" i="1" s="1"/>
  <c r="C297" i="1" a="1"/>
  <c r="C297" i="1" s="1"/>
  <c r="C298" i="1" a="1"/>
  <c r="C298" i="1"/>
  <c r="C299" i="1" a="1"/>
  <c r="C299" i="1"/>
  <c r="C300" i="1" a="1"/>
  <c r="C300" i="1"/>
  <c r="C301" i="1" a="1"/>
  <c r="C301" i="1" s="1"/>
  <c r="C302" i="1" a="1"/>
  <c r="C302" i="1"/>
  <c r="C303" i="1" a="1"/>
  <c r="C303" i="1" s="1"/>
  <c r="C304" i="1" a="1"/>
  <c r="C304" i="1" s="1"/>
  <c r="C305" i="1" a="1"/>
  <c r="C305" i="1" s="1"/>
  <c r="C306" i="1" a="1"/>
  <c r="C306" i="1"/>
  <c r="C307" i="1" a="1"/>
  <c r="C307" i="1" s="1"/>
  <c r="C308" i="1" a="1"/>
  <c r="C308" i="1"/>
  <c r="C309" i="1" a="1"/>
  <c r="C309" i="1" s="1"/>
  <c r="C310" i="1" a="1"/>
  <c r="C310" i="1"/>
  <c r="C311" i="1" a="1"/>
  <c r="C311" i="1" s="1"/>
  <c r="C312" i="1" a="1"/>
  <c r="C312" i="1" s="1"/>
  <c r="C313" i="1" a="1"/>
  <c r="C313" i="1" s="1"/>
  <c r="C314" i="1" a="1"/>
  <c r="C314" i="1"/>
  <c r="C315" i="1" a="1"/>
  <c r="C315" i="1"/>
  <c r="C316" i="1" a="1"/>
  <c r="C316" i="1" s="1"/>
  <c r="C317" i="1" a="1"/>
  <c r="C317" i="1" s="1"/>
  <c r="C318" i="1" a="1"/>
  <c r="C318" i="1" s="1"/>
  <c r="C319" i="1" a="1"/>
  <c r="C319" i="1"/>
  <c r="C320" i="1" a="1"/>
  <c r="C320" i="1"/>
  <c r="C321" i="1" a="1"/>
  <c r="C321" i="1" s="1"/>
  <c r="C322" i="1" a="1"/>
  <c r="C322" i="1"/>
  <c r="C323" i="1" a="1"/>
  <c r="C323" i="1"/>
  <c r="C324" i="1" a="1"/>
  <c r="C324" i="1" s="1"/>
  <c r="C325" i="1" a="1"/>
  <c r="C325" i="1" s="1"/>
  <c r="C326" i="1" a="1"/>
  <c r="C326" i="1" s="1"/>
  <c r="C327" i="1" a="1"/>
  <c r="C327" i="1" s="1"/>
  <c r="C328" i="1" a="1"/>
  <c r="C328" i="1"/>
  <c r="C329" i="1" a="1"/>
  <c r="C329" i="1" s="1"/>
  <c r="C330" i="1" a="1"/>
  <c r="C330" i="1" s="1"/>
  <c r="C331" i="1" a="1"/>
  <c r="C331" i="1"/>
  <c r="C332" i="1" a="1"/>
  <c r="C332" i="1"/>
  <c r="C333" i="1" a="1"/>
  <c r="C333" i="1" s="1"/>
  <c r="C334" i="1" a="1"/>
  <c r="C334" i="1"/>
  <c r="C335" i="1" a="1"/>
  <c r="C335" i="1" s="1"/>
  <c r="C336" i="1" a="1"/>
  <c r="C336" i="1" s="1"/>
  <c r="C337" i="1" a="1"/>
  <c r="C337" i="1" s="1"/>
  <c r="C338" i="1" a="1"/>
  <c r="C338" i="1" s="1"/>
  <c r="C339" i="1" a="1"/>
  <c r="C339" i="1"/>
  <c r="C340" i="1" a="1"/>
  <c r="C340" i="1"/>
  <c r="C341" i="1" a="1"/>
  <c r="C341" i="1" s="1"/>
  <c r="C342" i="1" a="1"/>
  <c r="C342" i="1" s="1"/>
  <c r="C343" i="1" a="1"/>
  <c r="C343" i="1"/>
  <c r="C344" i="1" a="1"/>
  <c r="C344" i="1" s="1"/>
  <c r="C345" i="1" a="1"/>
  <c r="C345" i="1" s="1"/>
  <c r="C346" i="1" a="1"/>
  <c r="C346" i="1"/>
  <c r="C347" i="1" a="1"/>
  <c r="C347" i="1" s="1"/>
  <c r="C348" i="1" a="1"/>
  <c r="C348" i="1" s="1"/>
  <c r="C349" i="1" a="1"/>
  <c r="C349" i="1" s="1"/>
  <c r="C350" i="1" a="1"/>
  <c r="C350" i="1" s="1"/>
  <c r="C351" i="1" a="1"/>
  <c r="C351" i="1"/>
  <c r="C352" i="1" a="1"/>
  <c r="C352" i="1" s="1"/>
  <c r="C353" i="1" a="1"/>
  <c r="C353" i="1" s="1"/>
  <c r="C354" i="1" a="1"/>
  <c r="C354" i="1"/>
  <c r="C355" i="1" a="1"/>
  <c r="C355" i="1" s="1"/>
  <c r="C356" i="1" a="1"/>
  <c r="C356" i="1" s="1"/>
  <c r="C357" i="1" a="1"/>
  <c r="C357" i="1" s="1"/>
  <c r="C358" i="1" a="1"/>
  <c r="C358" i="1" s="1"/>
  <c r="C359" i="1" a="1"/>
  <c r="C359" i="1"/>
  <c r="C360" i="1" a="1"/>
  <c r="C360" i="1" s="1"/>
  <c r="C361" i="1" a="1"/>
  <c r="C361" i="1" s="1"/>
  <c r="C362" i="1" a="1"/>
  <c r="C362" i="1"/>
  <c r="C363" i="1" a="1"/>
  <c r="C363" i="1" s="1"/>
  <c r="C364" i="1" a="1"/>
  <c r="C364" i="1" s="1"/>
  <c r="C365" i="1" a="1"/>
  <c r="C365" i="1" s="1"/>
  <c r="C366" i="1" a="1"/>
  <c r="C366" i="1" s="1"/>
  <c r="C367" i="1" a="1"/>
  <c r="C367" i="1"/>
  <c r="C368" i="1" a="1"/>
  <c r="C368" i="1" s="1"/>
  <c r="C369" i="1" a="1"/>
  <c r="C369" i="1" s="1"/>
  <c r="C370" i="1" a="1"/>
  <c r="C370" i="1"/>
  <c r="C371" i="1" a="1"/>
  <c r="C371" i="1" s="1"/>
  <c r="C372" i="1" a="1"/>
  <c r="C372" i="1" s="1"/>
  <c r="C373" i="1" a="1"/>
  <c r="C373" i="1" s="1"/>
  <c r="C374" i="1" a="1"/>
  <c r="C374" i="1" s="1"/>
  <c r="C375" i="1" a="1"/>
  <c r="C375" i="1"/>
  <c r="C376" i="1" a="1"/>
  <c r="C376" i="1" s="1"/>
  <c r="C377" i="1" a="1"/>
  <c r="C377" i="1" s="1"/>
  <c r="C378" i="1" a="1"/>
  <c r="C378" i="1"/>
  <c r="C379" i="1" a="1"/>
  <c r="C379" i="1" s="1"/>
  <c r="C380" i="1" a="1"/>
  <c r="C380" i="1" s="1"/>
  <c r="C381" i="1" a="1"/>
  <c r="C381" i="1" s="1"/>
  <c r="C382" i="1" a="1"/>
  <c r="C382" i="1"/>
  <c r="C383" i="1" a="1"/>
  <c r="C383" i="1"/>
  <c r="C384" i="1" a="1"/>
  <c r="C384" i="1" s="1"/>
  <c r="C385" i="1" a="1"/>
  <c r="C385" i="1" s="1"/>
  <c r="C386" i="1" a="1"/>
  <c r="C386" i="1"/>
  <c r="C387" i="1" a="1"/>
  <c r="C387" i="1"/>
  <c r="C388" i="1" a="1"/>
  <c r="C388" i="1" s="1"/>
  <c r="C389" i="1" a="1"/>
  <c r="C389" i="1" s="1"/>
  <c r="C390" i="1" a="1"/>
  <c r="C390" i="1" s="1"/>
  <c r="C391" i="1" a="1"/>
  <c r="C391" i="1" s="1"/>
  <c r="C392" i="1" a="1"/>
  <c r="C392" i="1" s="1"/>
  <c r="C393" i="1" a="1"/>
  <c r="C393" i="1" s="1"/>
  <c r="C394" i="1" a="1"/>
  <c r="C394" i="1"/>
  <c r="C395" i="1" a="1"/>
  <c r="C395" i="1" s="1"/>
  <c r="C396" i="1" a="1"/>
  <c r="C396" i="1" s="1"/>
  <c r="C397" i="1" a="1"/>
  <c r="C397" i="1" s="1"/>
  <c r="C398" i="1" a="1"/>
  <c r="C398" i="1"/>
  <c r="C399" i="1" a="1"/>
  <c r="C399" i="1" s="1"/>
  <c r="C400" i="1" a="1"/>
  <c r="C400" i="1" s="1"/>
  <c r="C401" i="1" a="1"/>
  <c r="C401" i="1" s="1"/>
  <c r="C402" i="1" a="1"/>
  <c r="C402" i="1" s="1"/>
  <c r="C403" i="1" a="1"/>
  <c r="C403" i="1"/>
  <c r="C404" i="1" a="1"/>
  <c r="C404" i="1" s="1"/>
  <c r="C405" i="1" a="1"/>
  <c r="C405" i="1" s="1"/>
  <c r="C406" i="1" a="1"/>
  <c r="C406" i="1" s="1"/>
  <c r="C407" i="1" a="1"/>
  <c r="C407" i="1" s="1"/>
  <c r="C408" i="1" a="1"/>
  <c r="C408" i="1" s="1"/>
  <c r="C409" i="1" a="1"/>
  <c r="C409" i="1" s="1"/>
  <c r="C410" i="1" a="1"/>
  <c r="C410" i="1" s="1"/>
  <c r="C411" i="1" a="1"/>
  <c r="C411" i="1" s="1"/>
  <c r="C412" i="1" a="1"/>
  <c r="C412" i="1" s="1"/>
  <c r="C413" i="1" a="1"/>
  <c r="C413" i="1" s="1"/>
  <c r="C414" i="1" a="1"/>
  <c r="C414" i="1"/>
  <c r="C415" i="1" a="1"/>
  <c r="C415" i="1" s="1"/>
  <c r="C416" i="1" a="1"/>
  <c r="C416" i="1" s="1"/>
  <c r="C417" i="1" a="1"/>
  <c r="C417" i="1" s="1"/>
  <c r="C418" i="1" a="1"/>
  <c r="C418" i="1" s="1"/>
  <c r="C419" i="1" a="1"/>
  <c r="C419" i="1"/>
  <c r="C420" i="1" a="1"/>
  <c r="C420" i="1" s="1"/>
  <c r="C421" i="1" a="1"/>
  <c r="C421" i="1" s="1"/>
  <c r="C422" i="1" a="1"/>
  <c r="C422" i="1" s="1"/>
  <c r="C423" i="1" a="1"/>
  <c r="C423" i="1" s="1"/>
  <c r="C424" i="1" a="1"/>
  <c r="C424" i="1" s="1"/>
  <c r="C425" i="1" a="1"/>
  <c r="C425" i="1" s="1"/>
  <c r="C426" i="1" a="1"/>
  <c r="C426" i="1" s="1"/>
  <c r="C427" i="1" a="1"/>
  <c r="C427" i="1" s="1"/>
  <c r="C428" i="1" a="1"/>
  <c r="C428" i="1" s="1"/>
  <c r="C429" i="1" a="1"/>
  <c r="C429" i="1"/>
  <c r="C430" i="1" a="1"/>
  <c r="C430" i="1" s="1"/>
  <c r="C431" i="1" a="1"/>
  <c r="C431" i="1"/>
  <c r="C432" i="1" a="1"/>
  <c r="C432" i="1" s="1"/>
  <c r="C433" i="1" a="1"/>
  <c r="C433" i="1" s="1"/>
  <c r="C434" i="1" a="1"/>
  <c r="C434" i="1"/>
  <c r="C435" i="1" a="1"/>
  <c r="C435" i="1" s="1"/>
  <c r="C436" i="1" a="1"/>
  <c r="C436" i="1" s="1"/>
  <c r="C437" i="1" a="1"/>
  <c r="C437" i="1"/>
  <c r="C438" i="1" a="1"/>
  <c r="C438" i="1"/>
  <c r="C439" i="1" a="1"/>
  <c r="C439" i="1" s="1"/>
  <c r="C440" i="1" a="1"/>
  <c r="C440" i="1" s="1"/>
  <c r="C441" i="1" a="1"/>
  <c r="C441" i="1" s="1"/>
  <c r="C442" i="1" a="1"/>
  <c r="C442" i="1" s="1"/>
  <c r="C443" i="1" a="1"/>
  <c r="C443" i="1"/>
  <c r="C444" i="1" a="1"/>
  <c r="C444" i="1" s="1"/>
  <c r="C445" i="1" a="1"/>
  <c r="C445" i="1"/>
  <c r="C446" i="1" a="1"/>
  <c r="C446" i="1"/>
  <c r="C447" i="1" a="1"/>
  <c r="C447" i="1"/>
  <c r="C448" i="1" a="1"/>
  <c r="C448" i="1" s="1"/>
  <c r="C449" i="1" a="1"/>
  <c r="C449" i="1" s="1"/>
  <c r="C450" i="1" a="1"/>
  <c r="C450" i="1" s="1"/>
  <c r="C451" i="1" a="1"/>
  <c r="C451" i="1" s="1"/>
  <c r="C452" i="1" a="1"/>
  <c r="C452" i="1" s="1"/>
  <c r="C453" i="1" a="1"/>
  <c r="C453" i="1" s="1"/>
  <c r="C454" i="1" a="1"/>
  <c r="C454" i="1"/>
  <c r="C455" i="1" a="1"/>
  <c r="C455" i="1"/>
  <c r="C456" i="1" a="1"/>
  <c r="C456" i="1" s="1"/>
  <c r="C457" i="1" a="1"/>
  <c r="C457" i="1"/>
  <c r="C458" i="1" a="1"/>
  <c r="C458" i="1" s="1"/>
  <c r="C459" i="1" a="1"/>
  <c r="C459" i="1" s="1"/>
  <c r="C460" i="1" a="1"/>
  <c r="C460" i="1" s="1"/>
  <c r="C461" i="1" a="1"/>
  <c r="C461" i="1"/>
  <c r="C462" i="1" a="1"/>
  <c r="C462" i="1" s="1"/>
  <c r="C463" i="1" a="1"/>
  <c r="C463" i="1"/>
  <c r="C464" i="1" a="1"/>
  <c r="C464" i="1" s="1"/>
  <c r="C465" i="1" a="1"/>
  <c r="C465" i="1" s="1"/>
  <c r="C466" i="1" a="1"/>
  <c r="C466" i="1"/>
  <c r="C467" i="1" a="1"/>
  <c r="C467" i="1" s="1"/>
  <c r="C468" i="1" a="1"/>
  <c r="C468" i="1" s="1"/>
  <c r="C469" i="1" a="1"/>
  <c r="C469" i="1"/>
  <c r="C470" i="1" a="1"/>
  <c r="C470" i="1"/>
  <c r="C471" i="1" a="1"/>
  <c r="C471" i="1" s="1"/>
  <c r="C472" i="1" a="1"/>
  <c r="C472" i="1" s="1"/>
  <c r="C473" i="1" a="1"/>
  <c r="C473" i="1" s="1"/>
  <c r="C474" i="1" a="1"/>
  <c r="C474" i="1" s="1"/>
  <c r="C475" i="1" a="1"/>
  <c r="C475" i="1"/>
  <c r="C476" i="1" a="1"/>
  <c r="C476" i="1" s="1"/>
  <c r="C477" i="1" a="1"/>
  <c r="C477" i="1"/>
  <c r="C478" i="1" a="1"/>
  <c r="C478" i="1"/>
  <c r="C479" i="1" a="1"/>
  <c r="C479" i="1"/>
  <c r="C480" i="1" a="1"/>
  <c r="C480" i="1" s="1"/>
  <c r="C481" i="1" a="1"/>
  <c r="C481" i="1" s="1"/>
  <c r="C482" i="1" a="1"/>
  <c r="C482" i="1" s="1"/>
  <c r="C483" i="1" a="1"/>
  <c r="C483" i="1" s="1"/>
  <c r="C484" i="1" a="1"/>
  <c r="C484" i="1" s="1"/>
  <c r="C485" i="1" a="1"/>
  <c r="C485" i="1" s="1"/>
  <c r="C486" i="1" a="1"/>
  <c r="C486" i="1"/>
  <c r="C487" i="1" a="1"/>
  <c r="C487" i="1"/>
  <c r="C488" i="1" a="1"/>
  <c r="C488" i="1" s="1"/>
  <c r="C489" i="1" a="1"/>
  <c r="C489" i="1"/>
  <c r="C490" i="1" a="1"/>
  <c r="C490" i="1" s="1"/>
  <c r="C491" i="1" a="1"/>
  <c r="C491" i="1" s="1"/>
  <c r="C492" i="1" a="1"/>
  <c r="C492" i="1" s="1"/>
  <c r="C493" i="1" a="1"/>
  <c r="C493" i="1"/>
  <c r="C494" i="1" a="1"/>
  <c r="C494" i="1" s="1"/>
  <c r="C495" i="1" a="1"/>
  <c r="C495" i="1"/>
  <c r="C496" i="1" a="1"/>
  <c r="C496" i="1" s="1"/>
  <c r="C497" i="1" a="1"/>
  <c r="C497" i="1" s="1"/>
  <c r="C498" i="1" a="1"/>
  <c r="C498" i="1"/>
  <c r="C499" i="1" a="1"/>
  <c r="C499" i="1" s="1"/>
  <c r="C500" i="1" a="1"/>
  <c r="C500" i="1" s="1"/>
  <c r="C501" i="1" a="1"/>
  <c r="C501" i="1"/>
  <c r="C502" i="1" a="1"/>
  <c r="C502" i="1"/>
  <c r="C503" i="1" a="1"/>
  <c r="C503" i="1" s="1"/>
  <c r="C504" i="1" a="1"/>
  <c r="C504" i="1" s="1"/>
  <c r="C505" i="1" a="1"/>
  <c r="C505" i="1" s="1"/>
  <c r="C506" i="1" a="1"/>
  <c r="C506" i="1" s="1"/>
  <c r="C507" i="1" a="1"/>
  <c r="C507" i="1"/>
  <c r="C508" i="1" a="1"/>
  <c r="C508" i="1" s="1"/>
  <c r="C509" i="1" a="1"/>
  <c r="C509" i="1"/>
  <c r="C510" i="1" a="1"/>
  <c r="C510" i="1"/>
  <c r="C511" i="1" a="1"/>
  <c r="C511" i="1"/>
  <c r="C512" i="1" a="1"/>
  <c r="C512" i="1" s="1"/>
  <c r="C513" i="1" a="1"/>
  <c r="C513" i="1" s="1"/>
  <c r="C514" i="1" a="1"/>
  <c r="C514" i="1" s="1"/>
  <c r="C515" i="1" a="1"/>
  <c r="C515" i="1" s="1"/>
  <c r="C516" i="1" a="1"/>
  <c r="C516" i="1" s="1"/>
  <c r="C517" i="1" a="1"/>
  <c r="C517" i="1" s="1"/>
  <c r="C518" i="1" a="1"/>
  <c r="C518" i="1"/>
  <c r="C519" i="1" a="1"/>
  <c r="C519" i="1"/>
  <c r="C520" i="1" a="1"/>
  <c r="C520" i="1" s="1"/>
  <c r="C521" i="1" a="1"/>
  <c r="C521" i="1"/>
  <c r="C522" i="1" a="1"/>
  <c r="C522" i="1" s="1"/>
  <c r="C523" i="1" a="1"/>
  <c r="C523" i="1" s="1"/>
  <c r="C524" i="1" a="1"/>
  <c r="C524" i="1" s="1"/>
  <c r="C525" i="1" a="1"/>
  <c r="C525" i="1" s="1"/>
  <c r="C526" i="1" a="1"/>
  <c r="C526" i="1" s="1"/>
  <c r="C527" i="1" a="1"/>
  <c r="C527" i="1" s="1"/>
  <c r="C528" i="1" a="1"/>
  <c r="C528" i="1" s="1"/>
  <c r="C529" i="1" a="1"/>
  <c r="C529" i="1"/>
  <c r="C530" i="1" a="1"/>
  <c r="C530" i="1" s="1"/>
  <c r="C531" i="1" a="1"/>
  <c r="C531" i="1" s="1"/>
  <c r="C532" i="1" a="1"/>
  <c r="C532" i="1" s="1"/>
  <c r="C533" i="1" a="1"/>
  <c r="C533" i="1" s="1"/>
  <c r="C534" i="1" a="1"/>
  <c r="C534" i="1" s="1"/>
  <c r="C535" i="1" a="1"/>
  <c r="C535" i="1" s="1"/>
  <c r="C536" i="1" a="1"/>
  <c r="C536" i="1" s="1"/>
  <c r="C537" i="1" a="1"/>
  <c r="C537" i="1"/>
  <c r="C538" i="1" a="1"/>
  <c r="C538" i="1" s="1"/>
  <c r="C539" i="1" a="1"/>
  <c r="C539" i="1" s="1"/>
  <c r="C540" i="1" a="1"/>
  <c r="C540" i="1" s="1"/>
  <c r="C541" i="1" a="1"/>
  <c r="C541" i="1"/>
  <c r="C542" i="1" a="1"/>
  <c r="C542" i="1" s="1"/>
  <c r="C543" i="1" a="1"/>
  <c r="C543" i="1" s="1"/>
  <c r="C544" i="1" a="1"/>
  <c r="C544" i="1" s="1"/>
  <c r="C545" i="1" a="1"/>
  <c r="C545" i="1"/>
  <c r="C546" i="1" a="1"/>
  <c r="C546" i="1" s="1"/>
  <c r="C547" i="1" a="1"/>
  <c r="C547" i="1" s="1"/>
  <c r="C548" i="1" a="1"/>
  <c r="C548" i="1" s="1"/>
  <c r="C549" i="1" a="1"/>
  <c r="C549" i="1" s="1"/>
  <c r="C550" i="1" a="1"/>
  <c r="C550" i="1" s="1"/>
  <c r="C551" i="1" a="1"/>
  <c r="C551" i="1" s="1"/>
  <c r="C552" i="1" a="1"/>
  <c r="C552" i="1" s="1"/>
  <c r="C553" i="1" a="1"/>
  <c r="C553" i="1"/>
  <c r="C554" i="1" a="1"/>
  <c r="C554" i="1" s="1"/>
  <c r="C555" i="1" a="1"/>
  <c r="C555" i="1" s="1"/>
  <c r="C556" i="1" a="1"/>
  <c r="C556" i="1" s="1"/>
  <c r="C557" i="1" a="1"/>
  <c r="C557" i="1" s="1"/>
  <c r="C558" i="1" a="1"/>
  <c r="C558" i="1" s="1"/>
  <c r="C559" i="1" a="1"/>
  <c r="C559" i="1" s="1"/>
  <c r="C560" i="1" a="1"/>
  <c r="C560" i="1" s="1"/>
  <c r="C561" i="1" a="1"/>
  <c r="C561" i="1"/>
  <c r="C562" i="1" a="1"/>
  <c r="C562" i="1" s="1"/>
  <c r="C563" i="1" a="1"/>
  <c r="C563" i="1" s="1"/>
  <c r="C564" i="1" a="1"/>
  <c r="C564" i="1" s="1"/>
  <c r="C565" i="1" a="1"/>
  <c r="C565" i="1" s="1"/>
  <c r="C566" i="1" a="1"/>
  <c r="C566" i="1" s="1"/>
  <c r="C567" i="1" a="1"/>
  <c r="C567" i="1" s="1"/>
  <c r="C568" i="1" a="1"/>
  <c r="C568" i="1" s="1"/>
  <c r="C569" i="1" a="1"/>
  <c r="C569" i="1"/>
  <c r="C570" i="1" a="1"/>
  <c r="C570" i="1" s="1"/>
  <c r="C571" i="1" a="1"/>
  <c r="C571" i="1" s="1"/>
  <c r="C572" i="1" a="1"/>
  <c r="C572" i="1" s="1"/>
  <c r="C573" i="1" a="1"/>
  <c r="C573" i="1"/>
  <c r="C574" i="1" a="1"/>
  <c r="C574" i="1" s="1"/>
  <c r="C575" i="1" a="1"/>
  <c r="C575" i="1" s="1"/>
  <c r="C576" i="1" a="1"/>
  <c r="C576" i="1" s="1"/>
  <c r="C577" i="1" a="1"/>
  <c r="C577" i="1"/>
  <c r="C578" i="1" a="1"/>
  <c r="C578" i="1" s="1"/>
  <c r="C579" i="1" a="1"/>
  <c r="C579" i="1" s="1"/>
  <c r="C580" i="1" a="1"/>
  <c r="C580" i="1" s="1"/>
  <c r="C581" i="1" a="1"/>
  <c r="C581" i="1" s="1"/>
  <c r="C582" i="1" a="1"/>
  <c r="C582" i="1" s="1"/>
  <c r="C583" i="1" a="1"/>
  <c r="C583" i="1" s="1"/>
  <c r="C584" i="1" a="1"/>
  <c r="C584" i="1" s="1"/>
  <c r="C585" i="1" a="1"/>
  <c r="C585" i="1"/>
  <c r="C586" i="1" a="1"/>
  <c r="C586" i="1" s="1"/>
  <c r="C587" i="1" a="1"/>
  <c r="C587" i="1" s="1"/>
  <c r="C588" i="1" a="1"/>
  <c r="C588" i="1" s="1"/>
  <c r="C589" i="1" a="1"/>
  <c r="C589" i="1" s="1"/>
  <c r="C590" i="1" a="1"/>
  <c r="C590" i="1" s="1"/>
  <c r="C591" i="1" a="1"/>
  <c r="C591" i="1" s="1"/>
  <c r="C592" i="1" a="1"/>
  <c r="C592" i="1" s="1"/>
  <c r="C593" i="1" a="1"/>
  <c r="C593" i="1"/>
  <c r="C594" i="1" a="1"/>
  <c r="C594" i="1" s="1"/>
  <c r="C595" i="1" a="1"/>
  <c r="C595" i="1" s="1"/>
  <c r="C596" i="1" a="1"/>
  <c r="C596" i="1" s="1"/>
  <c r="C597" i="1" a="1"/>
  <c r="C597" i="1" s="1"/>
  <c r="C598" i="1" a="1"/>
  <c r="C598" i="1" s="1"/>
  <c r="C599" i="1" a="1"/>
  <c r="C599" i="1" s="1"/>
  <c r="C600" i="1" a="1"/>
  <c r="C600" i="1" s="1"/>
  <c r="C601" i="1" a="1"/>
  <c r="C601" i="1"/>
  <c r="C602" i="1" a="1"/>
  <c r="C602" i="1" s="1"/>
  <c r="C603" i="1" a="1"/>
  <c r="C603" i="1" s="1"/>
  <c r="C604" i="1" a="1"/>
  <c r="C604" i="1" s="1"/>
  <c r="C605" i="1" a="1"/>
  <c r="C605" i="1"/>
  <c r="C606" i="1" a="1"/>
  <c r="C606" i="1" s="1"/>
  <c r="C607" i="1" a="1"/>
  <c r="C607" i="1" s="1"/>
  <c r="C608" i="1" a="1"/>
  <c r="C608" i="1" s="1"/>
  <c r="C609" i="1" a="1"/>
  <c r="C609" i="1"/>
  <c r="C610" i="1" a="1"/>
  <c r="C610" i="1" s="1"/>
  <c r="C611" i="1" a="1"/>
  <c r="C611" i="1" s="1"/>
  <c r="C612" i="1" a="1"/>
  <c r="C612" i="1" s="1"/>
  <c r="C613" i="1" a="1"/>
  <c r="C613" i="1" s="1"/>
  <c r="C614" i="1" a="1"/>
  <c r="C614" i="1" s="1"/>
  <c r="C615" i="1" a="1"/>
  <c r="C615" i="1" s="1"/>
  <c r="C616" i="1" a="1"/>
  <c r="C616" i="1" s="1"/>
  <c r="C617" i="1" a="1"/>
  <c r="C617" i="1"/>
  <c r="C618" i="1" a="1"/>
  <c r="C618" i="1" s="1"/>
  <c r="C619" i="1" a="1"/>
  <c r="C619" i="1" s="1"/>
  <c r="C620" i="1" a="1"/>
  <c r="C620" i="1" s="1"/>
  <c r="C621" i="1" a="1"/>
  <c r="C621" i="1" s="1"/>
  <c r="C622" i="1" a="1"/>
  <c r="C622" i="1" s="1"/>
  <c r="C623" i="1" a="1"/>
  <c r="C623" i="1" s="1"/>
  <c r="C624" i="1" a="1"/>
  <c r="C624" i="1" s="1"/>
  <c r="C625" i="1" a="1"/>
  <c r="C625" i="1"/>
  <c r="C626" i="1" a="1"/>
  <c r="C626" i="1" s="1"/>
  <c r="C627" i="1" a="1"/>
  <c r="C627" i="1" s="1"/>
  <c r="C628" i="1" a="1"/>
  <c r="C628" i="1" s="1"/>
  <c r="C629" i="1" a="1"/>
  <c r="C629" i="1" s="1"/>
  <c r="C630" i="1" a="1"/>
  <c r="C630" i="1" s="1"/>
  <c r="C631" i="1" a="1"/>
  <c r="C631" i="1" s="1"/>
  <c r="C632" i="1" a="1"/>
  <c r="C632" i="1" s="1"/>
  <c r="C633" i="1" a="1"/>
  <c r="C633" i="1"/>
  <c r="C634" i="1" a="1"/>
  <c r="C634" i="1" s="1"/>
  <c r="C635" i="1" a="1"/>
  <c r="C635" i="1" s="1"/>
  <c r="C636" i="1" a="1"/>
  <c r="C636" i="1" s="1"/>
  <c r="C637" i="1" a="1"/>
  <c r="C637" i="1"/>
  <c r="C638" i="1" a="1"/>
  <c r="C638" i="1" s="1"/>
  <c r="C639" i="1" a="1"/>
  <c r="C639" i="1" s="1"/>
  <c r="C640" i="1" a="1"/>
  <c r="C640" i="1" s="1"/>
  <c r="C641" i="1" a="1"/>
  <c r="C641" i="1"/>
  <c r="C642" i="1" a="1"/>
  <c r="C642" i="1" s="1"/>
  <c r="C643" i="1" a="1"/>
  <c r="C643" i="1" s="1"/>
  <c r="C644" i="1" a="1"/>
  <c r="C644" i="1" s="1"/>
  <c r="C645" i="1" a="1"/>
  <c r="C645" i="1" s="1"/>
  <c r="C646" i="1" a="1"/>
  <c r="C646" i="1" s="1"/>
  <c r="C647" i="1" a="1"/>
  <c r="C647" i="1" s="1"/>
  <c r="C648" i="1" a="1"/>
  <c r="C648" i="1" s="1"/>
  <c r="C649" i="1" a="1"/>
  <c r="C649" i="1"/>
  <c r="C650" i="1" a="1"/>
  <c r="C650" i="1" s="1"/>
  <c r="C651" i="1" a="1"/>
  <c r="C651" i="1" s="1"/>
  <c r="C652" i="1" a="1"/>
  <c r="C652" i="1" s="1"/>
  <c r="C653" i="1" a="1"/>
  <c r="C653" i="1" s="1"/>
  <c r="C654" i="1" a="1"/>
  <c r="C654" i="1" s="1"/>
  <c r="C655" i="1" a="1"/>
  <c r="C655" i="1" s="1"/>
  <c r="C656" i="1" a="1"/>
  <c r="C656" i="1" s="1"/>
  <c r="C657" i="1" a="1"/>
  <c r="C657" i="1"/>
  <c r="C658" i="1" a="1"/>
  <c r="C658" i="1" s="1"/>
  <c r="C659" i="1" a="1"/>
  <c r="C659" i="1" s="1"/>
  <c r="C660" i="1" a="1"/>
  <c r="C660" i="1" s="1"/>
  <c r="C661" i="1" a="1"/>
  <c r="C661" i="1" s="1"/>
  <c r="C662" i="1" a="1"/>
  <c r="C662" i="1" s="1"/>
  <c r="C663" i="1" a="1"/>
  <c r="C663" i="1" s="1"/>
  <c r="C664" i="1" a="1"/>
  <c r="C664" i="1" s="1"/>
  <c r="C665" i="1" a="1"/>
  <c r="C665" i="1"/>
  <c r="C666" i="1" a="1"/>
  <c r="C666" i="1" s="1"/>
  <c r="C667" i="1" a="1"/>
  <c r="C667" i="1" s="1"/>
  <c r="C668" i="1" a="1"/>
  <c r="C668" i="1" s="1"/>
  <c r="C669" i="1" a="1"/>
  <c r="C669" i="1"/>
  <c r="C670" i="1" a="1"/>
  <c r="C670" i="1" s="1"/>
  <c r="C671" i="1" a="1"/>
  <c r="C671" i="1" s="1"/>
  <c r="C672" i="1" a="1"/>
  <c r="C672" i="1" s="1"/>
  <c r="C673" i="1" a="1"/>
  <c r="C673" i="1"/>
  <c r="C674" i="1" a="1"/>
  <c r="C674" i="1" s="1"/>
  <c r="C675" i="1" a="1"/>
  <c r="C675" i="1" s="1"/>
  <c r="C676" i="1" a="1"/>
  <c r="C676" i="1" s="1"/>
  <c r="C677" i="1" a="1"/>
  <c r="C677" i="1" s="1"/>
  <c r="C678" i="1" a="1"/>
  <c r="C678" i="1" s="1"/>
  <c r="C679" i="1" a="1"/>
  <c r="C679" i="1" s="1"/>
  <c r="C680" i="1" a="1"/>
  <c r="C680" i="1" s="1"/>
  <c r="C681" i="1" a="1"/>
  <c r="C681" i="1"/>
  <c r="C682" i="1" a="1"/>
  <c r="C682" i="1" s="1"/>
  <c r="C683" i="1" a="1"/>
  <c r="C683" i="1" s="1"/>
  <c r="C684" i="1" a="1"/>
  <c r="C684" i="1" s="1"/>
  <c r="C685" i="1" a="1"/>
  <c r="C685" i="1" s="1"/>
  <c r="C686" i="1" a="1"/>
  <c r="C686" i="1" s="1"/>
  <c r="C687" i="1" a="1"/>
  <c r="C687" i="1" s="1"/>
  <c r="C688" i="1" a="1"/>
  <c r="C688" i="1" s="1"/>
  <c r="C689" i="1" a="1"/>
  <c r="C689" i="1"/>
  <c r="C690" i="1" a="1"/>
  <c r="C690" i="1" s="1"/>
  <c r="C691" i="1" a="1"/>
  <c r="C691" i="1" s="1"/>
  <c r="C692" i="1" a="1"/>
  <c r="C692" i="1" s="1"/>
  <c r="C693" i="1" a="1"/>
  <c r="C693" i="1" s="1"/>
  <c r="C694" i="1" a="1"/>
  <c r="C694" i="1" s="1"/>
  <c r="C695" i="1" a="1"/>
  <c r="C695" i="1" s="1"/>
  <c r="C696" i="1" a="1"/>
  <c r="C696" i="1" s="1"/>
  <c r="C697" i="1" a="1"/>
  <c r="C697" i="1"/>
  <c r="C698" i="1" a="1"/>
  <c r="C698" i="1" s="1"/>
  <c r="C699" i="1" a="1"/>
  <c r="C699" i="1" s="1"/>
  <c r="C700" i="1" a="1"/>
  <c r="C700" i="1" s="1"/>
  <c r="C701" i="1" a="1"/>
  <c r="C701" i="1"/>
  <c r="C702" i="1" a="1"/>
  <c r="C702" i="1" s="1"/>
  <c r="C703" i="1" a="1"/>
  <c r="C703" i="1" s="1"/>
  <c r="C704" i="1" a="1"/>
  <c r="C704" i="1" s="1"/>
  <c r="C705" i="1" a="1"/>
  <c r="C705" i="1"/>
  <c r="C706" i="1" a="1"/>
  <c r="C706" i="1" s="1"/>
  <c r="C707" i="1" a="1"/>
  <c r="C707" i="1" s="1"/>
  <c r="C708" i="1" a="1"/>
  <c r="C708" i="1" s="1"/>
  <c r="C709" i="1" a="1"/>
  <c r="C709" i="1" s="1"/>
  <c r="C710" i="1" a="1"/>
  <c r="C710" i="1" s="1"/>
  <c r="C711" i="1" a="1"/>
  <c r="C711" i="1" s="1"/>
  <c r="C712" i="1" a="1"/>
  <c r="C712" i="1" s="1"/>
  <c r="C713" i="1" a="1"/>
  <c r="C713" i="1"/>
  <c r="C714" i="1" a="1"/>
  <c r="C714" i="1" s="1"/>
  <c r="C715" i="1" a="1"/>
  <c r="C715" i="1" s="1"/>
  <c r="C716" i="1" a="1"/>
  <c r="C716" i="1" s="1"/>
  <c r="C717" i="1" a="1"/>
  <c r="C717" i="1" s="1"/>
  <c r="C718" i="1" a="1"/>
  <c r="C718" i="1" s="1"/>
  <c r="C719" i="1" a="1"/>
  <c r="C719" i="1" s="1"/>
  <c r="C720" i="1" a="1"/>
  <c r="C720" i="1" s="1"/>
  <c r="C721" i="1" a="1"/>
  <c r="C721" i="1"/>
  <c r="C722" i="1" a="1"/>
  <c r="C722" i="1" s="1"/>
  <c r="C723" i="1" a="1"/>
  <c r="C723" i="1" s="1"/>
  <c r="C724" i="1" a="1"/>
  <c r="C724" i="1" s="1"/>
  <c r="C725" i="1" a="1"/>
  <c r="C725" i="1" s="1"/>
  <c r="C726" i="1" a="1"/>
  <c r="C726" i="1" s="1"/>
  <c r="C727" i="1" a="1"/>
  <c r="C727" i="1" s="1"/>
  <c r="C728" i="1" a="1"/>
  <c r="C728" i="1" s="1"/>
  <c r="C729" i="1" a="1"/>
  <c r="C729" i="1"/>
  <c r="C730" i="1" a="1"/>
  <c r="C730" i="1" s="1"/>
  <c r="C731" i="1" a="1"/>
  <c r="C731" i="1" s="1"/>
  <c r="C732" i="1" a="1"/>
  <c r="C732" i="1" s="1"/>
  <c r="C733" i="1" a="1"/>
  <c r="C733" i="1"/>
  <c r="C734" i="1" a="1"/>
  <c r="C734" i="1" s="1"/>
  <c r="C735" i="1" a="1"/>
  <c r="C735" i="1" s="1"/>
  <c r="C736" i="1" a="1"/>
  <c r="C736" i="1" s="1"/>
  <c r="C737" i="1" a="1"/>
  <c r="C737" i="1"/>
  <c r="C738" i="1" a="1"/>
  <c r="C738" i="1" s="1"/>
  <c r="C739" i="1" a="1"/>
  <c r="C739" i="1" s="1"/>
  <c r="C740" i="1" a="1"/>
  <c r="C740" i="1" s="1"/>
  <c r="C741" i="1" a="1"/>
  <c r="C741" i="1" s="1"/>
  <c r="C742" i="1" a="1"/>
  <c r="C742" i="1" s="1"/>
  <c r="C743" i="1" a="1"/>
  <c r="C743" i="1" s="1"/>
  <c r="C744" i="1" a="1"/>
  <c r="C744" i="1" s="1"/>
  <c r="C745" i="1" a="1"/>
  <c r="C745" i="1"/>
  <c r="C746" i="1" a="1"/>
  <c r="C746" i="1" s="1"/>
  <c r="C747" i="1" a="1"/>
  <c r="C747" i="1" s="1"/>
  <c r="C748" i="1" a="1"/>
  <c r="C748" i="1" s="1"/>
  <c r="C749" i="1" a="1"/>
  <c r="C749" i="1" s="1"/>
  <c r="C750" i="1" a="1"/>
  <c r="C750" i="1" s="1"/>
  <c r="C751" i="1" a="1"/>
  <c r="C751" i="1" s="1"/>
  <c r="C752" i="1" a="1"/>
  <c r="C752" i="1" s="1"/>
  <c r="C753" i="1" a="1"/>
  <c r="C753" i="1"/>
  <c r="C754" i="1" a="1"/>
  <c r="C754" i="1" s="1"/>
  <c r="C755" i="1" a="1"/>
  <c r="C755" i="1" s="1"/>
  <c r="C756" i="1" a="1"/>
  <c r="C756" i="1" s="1"/>
  <c r="C757" i="1" a="1"/>
  <c r="C757" i="1" s="1"/>
  <c r="C758" i="1" a="1"/>
  <c r="C758" i="1" s="1"/>
  <c r="C759" i="1" a="1"/>
  <c r="C759" i="1" s="1"/>
  <c r="C760" i="1" a="1"/>
  <c r="C760" i="1" s="1"/>
  <c r="C761" i="1" a="1"/>
  <c r="C761" i="1" s="1"/>
  <c r="C762" i="1" a="1"/>
  <c r="C762" i="1" s="1"/>
  <c r="C763" i="1" a="1"/>
  <c r="C763" i="1" s="1"/>
  <c r="C764" i="1" a="1"/>
  <c r="C764" i="1" s="1"/>
  <c r="C765" i="1" a="1"/>
  <c r="C765" i="1" s="1"/>
  <c r="C766" i="1" a="1"/>
  <c r="C766" i="1" s="1"/>
  <c r="C767" i="1" a="1"/>
  <c r="C767" i="1" s="1"/>
  <c r="C768" i="1" a="1"/>
  <c r="C768" i="1" s="1"/>
  <c r="C769" i="1" a="1"/>
  <c r="C769" i="1" s="1"/>
  <c r="C770" i="1" a="1"/>
  <c r="C770" i="1" s="1"/>
  <c r="C771" i="1" a="1"/>
  <c r="C771" i="1" s="1"/>
  <c r="C772" i="1" a="1"/>
  <c r="C772" i="1" s="1"/>
  <c r="C773" i="1" a="1"/>
  <c r="C773" i="1" s="1"/>
  <c r="C774" i="1" a="1"/>
  <c r="C774" i="1" s="1"/>
  <c r="C775" i="1" a="1"/>
  <c r="C775" i="1" s="1"/>
  <c r="C776" i="1" a="1"/>
  <c r="C776" i="1" s="1"/>
  <c r="C777" i="1" a="1"/>
  <c r="C777" i="1" s="1"/>
  <c r="C778" i="1" a="1"/>
  <c r="C778" i="1" s="1"/>
  <c r="C779" i="1" a="1"/>
  <c r="C779" i="1" s="1"/>
  <c r="C780" i="1" a="1"/>
  <c r="C780" i="1" s="1"/>
  <c r="C781" i="1" a="1"/>
  <c r="C781" i="1" s="1"/>
  <c r="C782" i="1" a="1"/>
  <c r="C782" i="1" s="1"/>
  <c r="C783" i="1" a="1"/>
  <c r="C783" i="1" s="1"/>
  <c r="C784" i="1" a="1"/>
  <c r="C784" i="1" s="1"/>
  <c r="C785" i="1" a="1"/>
  <c r="C785" i="1" s="1"/>
  <c r="C786" i="1" a="1"/>
  <c r="C786" i="1" s="1"/>
  <c r="C787" i="1" a="1"/>
  <c r="C787" i="1" s="1"/>
  <c r="C788" i="1" a="1"/>
  <c r="C788" i="1" s="1"/>
  <c r="C789" i="1" a="1"/>
  <c r="C789" i="1" s="1"/>
  <c r="C790" i="1" a="1"/>
  <c r="C790" i="1" s="1"/>
  <c r="C791" i="1" a="1"/>
  <c r="C791" i="1" s="1"/>
  <c r="C792" i="1" a="1"/>
  <c r="C792" i="1" s="1"/>
  <c r="C793" i="1" a="1"/>
  <c r="C793" i="1" s="1"/>
  <c r="C794" i="1" a="1"/>
  <c r="C794" i="1" s="1"/>
  <c r="C795" i="1" a="1"/>
  <c r="C795" i="1" s="1"/>
  <c r="C796" i="1" a="1"/>
  <c r="C796" i="1" s="1"/>
  <c r="C797" i="1" a="1"/>
  <c r="C797" i="1" s="1"/>
  <c r="C798" i="1" a="1"/>
  <c r="C798" i="1" s="1"/>
  <c r="C799" i="1" a="1"/>
  <c r="C799" i="1" s="1"/>
  <c r="C800" i="1" a="1"/>
  <c r="C800" i="1" s="1"/>
  <c r="C801" i="1" a="1"/>
  <c r="C801" i="1" s="1"/>
  <c r="C802" i="1" a="1"/>
  <c r="C802" i="1" s="1"/>
  <c r="C803" i="1" a="1"/>
  <c r="C803" i="1" s="1"/>
  <c r="C804" i="1" a="1"/>
  <c r="C804" i="1" s="1"/>
  <c r="C805" i="1" a="1"/>
  <c r="C805" i="1" s="1"/>
  <c r="C806" i="1" a="1"/>
  <c r="C806" i="1" s="1"/>
  <c r="C807" i="1" a="1"/>
  <c r="C807" i="1" s="1"/>
  <c r="C808" i="1" a="1"/>
  <c r="C808" i="1" s="1"/>
  <c r="C809" i="1" a="1"/>
  <c r="C809" i="1" s="1"/>
  <c r="C810" i="1" a="1"/>
  <c r="C810" i="1" s="1"/>
  <c r="C811" i="1" a="1"/>
  <c r="C811" i="1" s="1"/>
  <c r="C812" i="1" a="1"/>
  <c r="C812" i="1" s="1"/>
  <c r="C813" i="1" a="1"/>
  <c r="C813" i="1" s="1"/>
  <c r="C814" i="1" a="1"/>
  <c r="C814" i="1" s="1"/>
  <c r="C815" i="1" a="1"/>
  <c r="C815" i="1" s="1"/>
  <c r="C816" i="1" a="1"/>
  <c r="C816" i="1" s="1"/>
  <c r="C817" i="1" a="1"/>
  <c r="C817" i="1" s="1"/>
  <c r="C818" i="1" a="1"/>
  <c r="C818" i="1" s="1"/>
  <c r="C819" i="1" a="1"/>
  <c r="C819" i="1" s="1"/>
  <c r="C820" i="1" a="1"/>
  <c r="C820" i="1" s="1"/>
  <c r="C821" i="1" a="1"/>
  <c r="C821" i="1" s="1"/>
  <c r="C822" i="1" a="1"/>
  <c r="C822" i="1" s="1"/>
  <c r="C823" i="1" a="1"/>
  <c r="C823" i="1" s="1"/>
  <c r="C824" i="1" a="1"/>
  <c r="C824" i="1" s="1"/>
  <c r="C825" i="1" a="1"/>
  <c r="C825" i="1" s="1"/>
  <c r="C826" i="1" a="1"/>
  <c r="C826" i="1" s="1"/>
  <c r="C827" i="1" a="1"/>
  <c r="C827" i="1" s="1"/>
  <c r="C828" i="1" a="1"/>
  <c r="C828" i="1" s="1"/>
  <c r="C829" i="1" a="1"/>
  <c r="C829" i="1" s="1"/>
  <c r="C830" i="1" a="1"/>
  <c r="C830" i="1" s="1"/>
  <c r="C831" i="1" a="1"/>
  <c r="C831" i="1" s="1"/>
  <c r="C832" i="1" a="1"/>
  <c r="C832" i="1" s="1"/>
  <c r="C833" i="1" a="1"/>
  <c r="C833" i="1" s="1"/>
  <c r="C834" i="1" a="1"/>
  <c r="C834" i="1" s="1"/>
  <c r="C835" i="1" a="1"/>
  <c r="C835" i="1" s="1"/>
  <c r="C836" i="1" a="1"/>
  <c r="C836" i="1" s="1"/>
  <c r="C837" i="1" a="1"/>
  <c r="C837" i="1" s="1"/>
  <c r="C838" i="1" a="1"/>
  <c r="C838" i="1" s="1"/>
  <c r="C839" i="1" a="1"/>
  <c r="C839" i="1" s="1"/>
  <c r="C840" i="1" a="1"/>
  <c r="C840" i="1" s="1"/>
  <c r="C841" i="1" a="1"/>
  <c r="C841" i="1" s="1"/>
  <c r="C842" i="1" a="1"/>
  <c r="C842" i="1" s="1"/>
  <c r="C843" i="1" a="1"/>
  <c r="C843" i="1" s="1"/>
  <c r="C844" i="1" a="1"/>
  <c r="C844" i="1" s="1"/>
  <c r="C845" i="1" a="1"/>
  <c r="C845" i="1" s="1"/>
  <c r="C846" i="1" a="1"/>
  <c r="C846" i="1" s="1"/>
  <c r="C847" i="1" a="1"/>
  <c r="C847" i="1" s="1"/>
  <c r="C848" i="1" a="1"/>
  <c r="C848" i="1" s="1"/>
  <c r="C849" i="1" a="1"/>
  <c r="C849" i="1" s="1"/>
  <c r="C850" i="1" a="1"/>
  <c r="C850" i="1" s="1"/>
  <c r="C851" i="1" a="1"/>
  <c r="C851" i="1" s="1"/>
  <c r="C852" i="1" a="1"/>
  <c r="C852" i="1" s="1"/>
  <c r="C853" i="1" a="1"/>
  <c r="C853" i="1" s="1"/>
  <c r="C854" i="1" a="1"/>
  <c r="C854" i="1" s="1"/>
  <c r="C855" i="1" a="1"/>
  <c r="C855" i="1" s="1"/>
  <c r="C856" i="1" a="1"/>
  <c r="C856" i="1" s="1"/>
  <c r="C857" i="1" a="1"/>
  <c r="C857" i="1" s="1"/>
  <c r="C858" i="1" a="1"/>
  <c r="C858" i="1" s="1"/>
  <c r="C859" i="1" a="1"/>
  <c r="C859" i="1" s="1"/>
  <c r="C860" i="1" a="1"/>
  <c r="C860" i="1" s="1"/>
  <c r="C861" i="1" a="1"/>
  <c r="C861" i="1" s="1"/>
  <c r="C862" i="1" a="1"/>
  <c r="C862" i="1" s="1"/>
  <c r="C863" i="1" a="1"/>
  <c r="C863" i="1" s="1"/>
  <c r="C864" i="1" a="1"/>
  <c r="C864" i="1" s="1"/>
  <c r="C865" i="1" a="1"/>
  <c r="C865" i="1" s="1"/>
  <c r="C866" i="1" a="1"/>
  <c r="C866" i="1" s="1"/>
  <c r="C867" i="1" a="1"/>
  <c r="C867" i="1" s="1"/>
  <c r="C868" i="1" a="1"/>
  <c r="C868" i="1" s="1"/>
  <c r="C869" i="1" a="1"/>
  <c r="C869" i="1" s="1"/>
  <c r="C870" i="1" a="1"/>
  <c r="C870" i="1" s="1"/>
  <c r="C871" i="1" a="1"/>
  <c r="C871" i="1" s="1"/>
  <c r="C872" i="1" a="1"/>
  <c r="C872" i="1" s="1"/>
  <c r="C873" i="1" a="1"/>
  <c r="C873" i="1" s="1"/>
  <c r="C874" i="1" a="1"/>
  <c r="C874" i="1" s="1"/>
  <c r="C875" i="1" a="1"/>
  <c r="C875" i="1" s="1"/>
  <c r="C876" i="1" a="1"/>
  <c r="C876" i="1" s="1"/>
  <c r="C877" i="1" a="1"/>
  <c r="C877" i="1" s="1"/>
  <c r="C878" i="1" a="1"/>
  <c r="C878" i="1" s="1"/>
  <c r="C879" i="1" a="1"/>
  <c r="C879" i="1" s="1"/>
  <c r="C880" i="1" a="1"/>
  <c r="C880" i="1" s="1"/>
  <c r="C881" i="1" a="1"/>
  <c r="C881" i="1" s="1"/>
  <c r="C882" i="1" a="1"/>
  <c r="C882" i="1" s="1"/>
  <c r="C883" i="1" a="1"/>
  <c r="C883" i="1" s="1"/>
  <c r="C884" i="1" a="1"/>
  <c r="C884" i="1" s="1"/>
  <c r="C885" i="1" a="1"/>
  <c r="C885" i="1" s="1"/>
  <c r="C886" i="1" a="1"/>
  <c r="C886" i="1" s="1"/>
  <c r="C887" i="1" a="1"/>
  <c r="C887" i="1" s="1"/>
  <c r="C888" i="1" a="1"/>
  <c r="C888" i="1" s="1"/>
  <c r="C889" i="1" a="1"/>
  <c r="C889" i="1" s="1"/>
  <c r="C890" i="1" a="1"/>
  <c r="C890" i="1" s="1"/>
  <c r="C891" i="1" a="1"/>
  <c r="C891" i="1" s="1"/>
  <c r="C892" i="1" a="1"/>
  <c r="C892" i="1" s="1"/>
  <c r="C893" i="1" a="1"/>
  <c r="C893" i="1" s="1"/>
  <c r="C894" i="1" a="1"/>
  <c r="C894" i="1" s="1"/>
  <c r="C895" i="1" a="1"/>
  <c r="C895" i="1" s="1"/>
  <c r="C896" i="1" a="1"/>
  <c r="C896" i="1" s="1"/>
  <c r="C897" i="1" a="1"/>
  <c r="C897" i="1" s="1"/>
  <c r="C898" i="1" a="1"/>
  <c r="C898" i="1" s="1"/>
  <c r="C899" i="1" a="1"/>
  <c r="C899" i="1" s="1"/>
  <c r="C900" i="1" a="1"/>
  <c r="C900" i="1" s="1"/>
  <c r="C901" i="1" a="1"/>
  <c r="C901" i="1" s="1"/>
  <c r="C902" i="1" a="1"/>
  <c r="C902" i="1" s="1"/>
  <c r="C903" i="1" a="1"/>
  <c r="C903" i="1" s="1"/>
  <c r="C904" i="1" a="1"/>
  <c r="C904" i="1" s="1"/>
  <c r="C905" i="1" a="1"/>
  <c r="C905" i="1" s="1"/>
  <c r="C906" i="1" a="1"/>
  <c r="C906" i="1" s="1"/>
  <c r="C907" i="1" a="1"/>
  <c r="C907" i="1" s="1"/>
  <c r="C908" i="1" a="1"/>
  <c r="C908" i="1" s="1"/>
  <c r="C909" i="1" a="1"/>
  <c r="C909" i="1" s="1"/>
  <c r="C910" i="1" a="1"/>
  <c r="C910" i="1" s="1"/>
  <c r="C911" i="1" a="1"/>
  <c r="C911" i="1" s="1"/>
  <c r="C912" i="1" a="1"/>
  <c r="C912" i="1" s="1"/>
  <c r="C913" i="1" a="1"/>
  <c r="C913" i="1" s="1"/>
  <c r="C914" i="1" a="1"/>
  <c r="C914" i="1" s="1"/>
  <c r="C915" i="1" a="1"/>
  <c r="C915" i="1" s="1"/>
  <c r="C916" i="1" a="1"/>
  <c r="C916" i="1" s="1"/>
  <c r="C917" i="1" a="1"/>
  <c r="C917" i="1" s="1"/>
  <c r="C918" i="1" a="1"/>
  <c r="C918" i="1" s="1"/>
  <c r="C919" i="1" a="1"/>
  <c r="C919" i="1" s="1"/>
  <c r="C920" i="1" a="1"/>
  <c r="C920" i="1" s="1"/>
  <c r="C921" i="1" a="1"/>
  <c r="C921" i="1" s="1"/>
  <c r="C922" i="1" a="1"/>
  <c r="C922" i="1" s="1"/>
  <c r="C923" i="1" a="1"/>
  <c r="C923" i="1" s="1"/>
  <c r="C924" i="1" a="1"/>
  <c r="C924" i="1" s="1"/>
  <c r="C925" i="1" a="1"/>
  <c r="C925" i="1" s="1"/>
  <c r="C926" i="1" a="1"/>
  <c r="C926" i="1" s="1"/>
  <c r="C927" i="1" a="1"/>
  <c r="C927" i="1" s="1"/>
  <c r="C928" i="1" a="1"/>
  <c r="C928" i="1" s="1"/>
  <c r="C929" i="1" a="1"/>
  <c r="C929" i="1" s="1"/>
  <c r="C930" i="1" a="1"/>
  <c r="C930" i="1" s="1"/>
  <c r="C931" i="1" a="1"/>
  <c r="C931" i="1" s="1"/>
  <c r="C932" i="1" a="1"/>
  <c r="C932" i="1" s="1"/>
  <c r="C933" i="1" a="1"/>
  <c r="C933" i="1" s="1"/>
  <c r="C934" i="1" a="1"/>
  <c r="C934" i="1" s="1"/>
  <c r="C935" i="1" a="1"/>
  <c r="C935" i="1" s="1"/>
  <c r="C936" i="1" a="1"/>
  <c r="C936" i="1" s="1"/>
  <c r="C937" i="1" a="1"/>
  <c r="C937" i="1" s="1"/>
  <c r="C938" i="1" a="1"/>
  <c r="C938" i="1" s="1"/>
  <c r="C939" i="1" a="1"/>
  <c r="C939" i="1" s="1"/>
  <c r="C940" i="1" a="1"/>
  <c r="C940" i="1" s="1"/>
  <c r="C941" i="1" a="1"/>
  <c r="C941" i="1" s="1"/>
  <c r="C942" i="1" a="1"/>
  <c r="C942" i="1" s="1"/>
  <c r="C943" i="1" a="1"/>
  <c r="C943" i="1" s="1"/>
  <c r="C944" i="1" a="1"/>
  <c r="C944" i="1" s="1"/>
  <c r="C945" i="1" a="1"/>
  <c r="C945" i="1" s="1"/>
  <c r="C946" i="1" a="1"/>
  <c r="C946" i="1" s="1"/>
  <c r="C947" i="1" a="1"/>
  <c r="C947" i="1" s="1"/>
  <c r="C948" i="1" a="1"/>
  <c r="C948" i="1" s="1"/>
  <c r="C949" i="1" a="1"/>
  <c r="C949" i="1" s="1"/>
  <c r="C950" i="1" a="1"/>
  <c r="C950" i="1" s="1"/>
  <c r="C951" i="1" a="1"/>
  <c r="C951" i="1" s="1"/>
  <c r="C952" i="1" a="1"/>
  <c r="C952" i="1" s="1"/>
  <c r="C953" i="1" a="1"/>
  <c r="C953" i="1" s="1"/>
  <c r="C954" i="1" a="1"/>
  <c r="C954" i="1" s="1"/>
  <c r="C955" i="1" a="1"/>
  <c r="C955" i="1" s="1"/>
  <c r="C956" i="1" a="1"/>
  <c r="C956" i="1" s="1"/>
  <c r="C957" i="1" a="1"/>
  <c r="C957" i="1" s="1"/>
  <c r="C958" i="1" a="1"/>
  <c r="C958" i="1" s="1"/>
  <c r="C959" i="1" a="1"/>
  <c r="C959" i="1" s="1"/>
  <c r="C960" i="1" a="1"/>
  <c r="C960" i="1" s="1"/>
  <c r="C961" i="1" a="1"/>
  <c r="C961" i="1" s="1"/>
  <c r="C962" i="1" a="1"/>
  <c r="C962" i="1" s="1"/>
  <c r="C963" i="1" a="1"/>
  <c r="C963" i="1" s="1"/>
  <c r="C964" i="1" a="1"/>
  <c r="C964" i="1" s="1"/>
  <c r="C965" i="1" a="1"/>
  <c r="C965" i="1" s="1"/>
  <c r="C966" i="1" a="1"/>
  <c r="C966" i="1" s="1"/>
  <c r="C967" i="1" a="1"/>
  <c r="C967" i="1" s="1"/>
  <c r="C968" i="1" a="1"/>
  <c r="C968" i="1" s="1"/>
  <c r="C969" i="1" a="1"/>
  <c r="C969" i="1" s="1"/>
  <c r="C970" i="1" a="1"/>
  <c r="C970" i="1" s="1"/>
  <c r="C971" i="1" a="1"/>
  <c r="C971" i="1" s="1"/>
  <c r="C972" i="1" a="1"/>
  <c r="C972" i="1" s="1"/>
  <c r="C973" i="1" a="1"/>
  <c r="C973" i="1" s="1"/>
  <c r="C974" i="1" a="1"/>
  <c r="C974" i="1" s="1"/>
  <c r="C975" i="1" a="1"/>
  <c r="C975" i="1" s="1"/>
  <c r="C976" i="1" a="1"/>
  <c r="C976" i="1" s="1"/>
  <c r="C977" i="1" a="1"/>
  <c r="C977" i="1" s="1"/>
  <c r="C978" i="1" a="1"/>
  <c r="C978" i="1" s="1"/>
  <c r="C979" i="1" a="1"/>
  <c r="C979" i="1" s="1"/>
  <c r="C980" i="1" a="1"/>
  <c r="C980" i="1" s="1"/>
  <c r="C981" i="1" a="1"/>
  <c r="C981" i="1" s="1"/>
  <c r="C982" i="1" a="1"/>
  <c r="C982" i="1" s="1"/>
  <c r="C983" i="1" a="1"/>
  <c r="C983" i="1" s="1"/>
  <c r="C984" i="1" a="1"/>
  <c r="C984" i="1" s="1"/>
  <c r="C985" i="1" a="1"/>
  <c r="C985" i="1" s="1"/>
  <c r="C986" i="1" a="1"/>
  <c r="C986" i="1" s="1"/>
  <c r="C987" i="1" a="1"/>
  <c r="C987" i="1" s="1"/>
  <c r="C988" i="1" a="1"/>
  <c r="C988" i="1" s="1"/>
  <c r="C989" i="1" a="1"/>
  <c r="C989" i="1" s="1"/>
  <c r="C990" i="1" a="1"/>
  <c r="C990" i="1" s="1"/>
  <c r="C991" i="1" a="1"/>
  <c r="C991" i="1" s="1"/>
  <c r="C992" i="1" a="1"/>
  <c r="C992" i="1" s="1"/>
  <c r="C993" i="1" a="1"/>
  <c r="C993" i="1" s="1"/>
  <c r="C994" i="1" a="1"/>
  <c r="C994" i="1" s="1"/>
  <c r="C995" i="1" a="1"/>
  <c r="C995" i="1" s="1"/>
  <c r="C996" i="1" a="1"/>
  <c r="C996" i="1" s="1"/>
  <c r="C997" i="1" a="1"/>
  <c r="C997" i="1" s="1"/>
  <c r="C998" i="1" a="1"/>
  <c r="C998" i="1" s="1"/>
  <c r="C999" i="1" a="1"/>
  <c r="C999" i="1" s="1"/>
  <c r="C1000" i="1" a="1"/>
  <c r="C1000" i="1" s="1"/>
  <c r="C1001" i="1" a="1"/>
  <c r="C1001" i="1" s="1"/>
  <c r="Z3" i="1"/>
  <c r="Z4" i="1"/>
  <c r="Z5" i="1"/>
  <c r="Z6" i="1"/>
  <c r="Z7" i="1"/>
  <c r="Z8" i="1"/>
  <c r="Z9" i="1"/>
  <c r="Z10" i="1"/>
  <c r="Z11" i="1"/>
  <c r="Z12" i="1"/>
  <c r="Z13" i="1"/>
  <c r="Z14" i="1"/>
  <c r="Z15" i="1"/>
  <c r="Z16" i="1"/>
  <c r="Z17" i="1"/>
  <c r="Z18" i="1"/>
  <c r="Z19" i="1"/>
  <c r="Z20" i="1"/>
  <c r="Z21" i="1"/>
  <c r="Z22" i="1"/>
  <c r="Z23" i="1"/>
  <c r="Z24" i="1"/>
  <c r="Z25" i="1"/>
  <c r="Z26" i="1"/>
  <c r="Z27" i="1"/>
  <c r="Z28" i="1"/>
  <c r="Z29" i="1"/>
  <c r="Z30" i="1"/>
  <c r="Z31" i="1"/>
  <c r="Z32" i="1"/>
  <c r="Z33" i="1"/>
  <c r="Z34" i="1"/>
  <c r="Z35" i="1"/>
  <c r="Z36" i="1"/>
  <c r="Z37" i="1"/>
  <c r="Z38" i="1"/>
  <c r="Z39" i="1"/>
  <c r="Z40" i="1"/>
  <c r="Z41" i="1"/>
  <c r="Z42" i="1"/>
  <c r="Z43" i="1"/>
  <c r="Z44" i="1"/>
  <c r="Z45" i="1"/>
  <c r="Z46" i="1"/>
  <c r="Z47" i="1"/>
  <c r="Z48" i="1"/>
  <c r="Z49" i="1"/>
  <c r="Z50" i="1"/>
  <c r="Z51" i="1"/>
  <c r="Z52" i="1"/>
  <c r="Z53" i="1"/>
  <c r="Z54" i="1"/>
  <c r="Z55" i="1"/>
  <c r="Z56" i="1"/>
  <c r="Z57" i="1"/>
  <c r="Z58" i="1"/>
  <c r="Z59" i="1"/>
  <c r="Z60" i="1"/>
  <c r="Z61" i="1"/>
  <c r="Z62" i="1"/>
  <c r="Z63" i="1"/>
  <c r="Z64" i="1"/>
  <c r="Z65" i="1"/>
  <c r="Z66" i="1"/>
  <c r="Z67" i="1"/>
  <c r="Z68" i="1"/>
  <c r="Z69" i="1"/>
  <c r="Z70" i="1"/>
  <c r="Z71" i="1"/>
  <c r="Z72" i="1"/>
  <c r="Z73" i="1"/>
  <c r="Z74" i="1"/>
  <c r="Z75" i="1"/>
  <c r="Z76" i="1"/>
  <c r="Z77" i="1"/>
  <c r="Z78" i="1"/>
  <c r="Z79" i="1"/>
  <c r="Z80" i="1"/>
  <c r="Z81" i="1"/>
  <c r="Z82" i="1"/>
  <c r="Z83" i="1"/>
  <c r="Z84" i="1"/>
  <c r="Z85" i="1"/>
  <c r="Z86" i="1"/>
  <c r="Z87" i="1"/>
  <c r="Z88" i="1"/>
  <c r="Z89" i="1"/>
  <c r="Z90" i="1"/>
  <c r="Z91" i="1"/>
  <c r="Z92" i="1"/>
  <c r="Z93" i="1"/>
  <c r="Z94" i="1"/>
  <c r="Z95" i="1"/>
  <c r="Z96" i="1"/>
  <c r="Z97" i="1"/>
  <c r="Z98" i="1"/>
  <c r="Z99" i="1"/>
  <c r="Z100" i="1"/>
  <c r="Z101" i="1"/>
  <c r="Z102" i="1"/>
  <c r="Z103" i="1"/>
  <c r="Z104" i="1"/>
  <c r="Z105" i="1"/>
  <c r="Z106" i="1"/>
  <c r="Z107" i="1"/>
  <c r="Z108" i="1"/>
  <c r="Z109" i="1"/>
  <c r="Z110" i="1"/>
  <c r="Z111" i="1"/>
  <c r="Z112" i="1"/>
  <c r="Z113" i="1"/>
  <c r="Z114" i="1"/>
  <c r="Z115" i="1"/>
  <c r="Z116" i="1"/>
  <c r="Z117" i="1"/>
  <c r="Z118" i="1"/>
  <c r="Z119" i="1"/>
  <c r="Z120" i="1"/>
  <c r="Z121" i="1"/>
  <c r="Z122" i="1"/>
  <c r="Z123" i="1"/>
  <c r="Z124" i="1"/>
  <c r="Z125" i="1"/>
  <c r="Z126" i="1"/>
  <c r="Z127" i="1"/>
  <c r="Z128" i="1"/>
  <c r="Z129" i="1"/>
  <c r="Z130" i="1"/>
  <c r="Z131" i="1"/>
  <c r="Z132" i="1"/>
  <c r="Z133" i="1"/>
  <c r="Z134" i="1"/>
  <c r="Z135" i="1"/>
  <c r="Z136" i="1"/>
  <c r="Z137" i="1"/>
  <c r="Z138" i="1"/>
  <c r="Z139" i="1"/>
  <c r="Z140" i="1"/>
  <c r="Z141" i="1"/>
  <c r="Z142" i="1"/>
  <c r="Z143" i="1"/>
  <c r="Z144" i="1"/>
  <c r="Z145" i="1"/>
  <c r="Z146" i="1"/>
  <c r="Z147" i="1"/>
  <c r="Z148" i="1"/>
  <c r="Z149" i="1"/>
  <c r="Z150" i="1"/>
  <c r="Z151" i="1"/>
  <c r="Z152" i="1"/>
  <c r="Z153" i="1"/>
  <c r="Z154" i="1"/>
  <c r="Z155" i="1"/>
  <c r="Z156" i="1"/>
  <c r="Z157" i="1"/>
  <c r="Z158" i="1"/>
  <c r="Z159" i="1"/>
  <c r="Z160" i="1"/>
  <c r="Z161" i="1"/>
  <c r="Z162" i="1"/>
  <c r="Z163" i="1"/>
  <c r="Z164" i="1"/>
  <c r="Z165" i="1"/>
  <c r="Z166" i="1"/>
  <c r="Z167" i="1"/>
  <c r="Z168" i="1"/>
  <c r="Z169" i="1"/>
  <c r="Z170" i="1"/>
  <c r="Z171" i="1"/>
  <c r="Z172" i="1"/>
  <c r="Z173" i="1"/>
  <c r="Z174" i="1"/>
  <c r="Z175" i="1"/>
  <c r="Z176" i="1"/>
  <c r="Z177" i="1"/>
  <c r="Z178" i="1"/>
  <c r="Z179" i="1"/>
  <c r="Z180" i="1"/>
  <c r="Z181" i="1"/>
  <c r="Z182" i="1"/>
  <c r="Z183" i="1"/>
  <c r="Z184" i="1"/>
  <c r="Z185" i="1"/>
  <c r="Z186" i="1"/>
  <c r="Z187" i="1"/>
  <c r="Z188" i="1"/>
  <c r="Z189" i="1"/>
  <c r="Z190" i="1"/>
  <c r="Z191" i="1"/>
  <c r="Z192" i="1"/>
  <c r="Z193" i="1"/>
  <c r="Z194" i="1"/>
  <c r="Z195" i="1"/>
  <c r="Z196" i="1"/>
  <c r="Z197" i="1"/>
  <c r="Z198" i="1"/>
  <c r="Z199" i="1"/>
  <c r="Z200" i="1"/>
  <c r="Z201" i="1"/>
  <c r="Z202" i="1"/>
  <c r="Z203" i="1"/>
  <c r="Z204" i="1"/>
  <c r="Z205" i="1"/>
  <c r="Z206" i="1"/>
  <c r="Z207" i="1"/>
  <c r="Z208" i="1"/>
  <c r="Z209" i="1"/>
  <c r="Z210" i="1"/>
  <c r="Z211" i="1"/>
  <c r="Z212" i="1"/>
  <c r="Z213" i="1"/>
  <c r="Z214" i="1"/>
  <c r="Z215" i="1"/>
  <c r="Z216" i="1"/>
  <c r="Z217" i="1"/>
  <c r="Z218" i="1"/>
  <c r="Z219" i="1"/>
  <c r="Z220" i="1"/>
  <c r="Z221" i="1"/>
  <c r="Z222" i="1"/>
  <c r="Z223" i="1"/>
  <c r="Z224" i="1"/>
  <c r="Z225" i="1"/>
  <c r="Z226" i="1"/>
  <c r="Z227" i="1"/>
  <c r="Z228" i="1"/>
  <c r="Z229" i="1"/>
  <c r="Z230" i="1"/>
  <c r="Z231" i="1"/>
  <c r="Z232" i="1"/>
  <c r="Z233" i="1"/>
  <c r="Z234" i="1"/>
  <c r="Z235" i="1"/>
  <c r="Z236" i="1"/>
  <c r="Z237" i="1"/>
  <c r="Z238" i="1"/>
  <c r="Z239" i="1"/>
  <c r="Z240" i="1"/>
  <c r="Z241" i="1"/>
  <c r="Z242" i="1"/>
  <c r="Z243" i="1"/>
  <c r="Z244" i="1"/>
  <c r="Z245" i="1"/>
  <c r="Z246" i="1"/>
  <c r="Z247" i="1"/>
  <c r="Z248" i="1"/>
  <c r="Z249" i="1"/>
  <c r="Z250" i="1"/>
  <c r="Z251" i="1"/>
  <c r="Z252" i="1"/>
  <c r="Z253" i="1"/>
  <c r="Z254" i="1"/>
  <c r="Z255" i="1"/>
  <c r="Z256" i="1"/>
  <c r="Z257" i="1"/>
  <c r="Z258" i="1"/>
  <c r="Z259" i="1"/>
  <c r="Z260" i="1"/>
  <c r="Z261" i="1"/>
  <c r="Z262" i="1"/>
  <c r="Z263" i="1"/>
  <c r="Z264" i="1"/>
  <c r="Z265" i="1"/>
  <c r="Z266" i="1"/>
  <c r="Z267" i="1"/>
  <c r="Z268" i="1"/>
  <c r="Z269" i="1"/>
  <c r="Z270" i="1"/>
  <c r="Z271" i="1"/>
  <c r="Z272" i="1"/>
  <c r="Z273" i="1"/>
  <c r="Z274" i="1"/>
  <c r="Z275" i="1"/>
  <c r="Z276" i="1"/>
  <c r="Z277" i="1"/>
  <c r="Z278" i="1"/>
  <c r="Z279" i="1"/>
  <c r="Z280" i="1"/>
  <c r="Z281" i="1"/>
  <c r="Z282" i="1"/>
  <c r="Z283" i="1"/>
  <c r="Z284" i="1"/>
  <c r="Z285" i="1"/>
  <c r="Z286" i="1"/>
  <c r="Z287" i="1"/>
  <c r="Z288" i="1"/>
  <c r="Z289" i="1"/>
  <c r="Z290" i="1"/>
  <c r="Z291" i="1"/>
  <c r="Z292" i="1"/>
  <c r="Z293" i="1"/>
  <c r="Z294" i="1"/>
  <c r="Z295" i="1"/>
  <c r="Z296" i="1"/>
  <c r="Z297" i="1"/>
  <c r="Z298" i="1"/>
  <c r="Z299" i="1"/>
  <c r="Z300" i="1"/>
  <c r="Z301" i="1"/>
  <c r="Z302" i="1"/>
  <c r="Z303" i="1"/>
  <c r="Z304" i="1"/>
  <c r="Z305" i="1"/>
  <c r="Z306" i="1"/>
  <c r="Z307" i="1"/>
  <c r="Z308" i="1"/>
  <c r="Z309" i="1"/>
  <c r="Z310" i="1"/>
  <c r="Z311" i="1"/>
  <c r="Z312" i="1"/>
  <c r="Z313" i="1"/>
  <c r="Z314" i="1"/>
  <c r="Z315" i="1"/>
  <c r="Z316" i="1"/>
  <c r="Z317" i="1"/>
  <c r="Z318" i="1"/>
  <c r="Z319" i="1"/>
  <c r="Z320" i="1"/>
  <c r="Z321" i="1"/>
  <c r="Z322" i="1"/>
  <c r="Z323" i="1"/>
  <c r="Z324" i="1"/>
  <c r="Z325" i="1"/>
  <c r="Z326" i="1"/>
  <c r="Z327" i="1"/>
  <c r="Z328" i="1"/>
  <c r="Z329" i="1"/>
  <c r="Z330" i="1"/>
  <c r="Z331" i="1"/>
  <c r="Z332" i="1"/>
  <c r="Z333" i="1"/>
  <c r="Z334" i="1"/>
  <c r="Z335" i="1"/>
  <c r="Z336" i="1"/>
  <c r="Z337" i="1"/>
  <c r="Z338" i="1"/>
  <c r="Z339" i="1"/>
  <c r="Z340" i="1"/>
  <c r="Z341" i="1"/>
  <c r="Z342" i="1"/>
  <c r="Z343" i="1"/>
  <c r="Z344" i="1"/>
  <c r="Z345" i="1"/>
  <c r="Z346" i="1"/>
  <c r="Z347" i="1"/>
  <c r="Z348" i="1"/>
  <c r="Z349" i="1"/>
  <c r="Z350" i="1"/>
  <c r="Z351" i="1"/>
  <c r="Z352" i="1"/>
  <c r="Z353" i="1"/>
  <c r="Z354" i="1"/>
  <c r="Z355" i="1"/>
  <c r="Z356" i="1"/>
  <c r="Z357" i="1"/>
  <c r="Z358" i="1"/>
  <c r="Z359" i="1"/>
  <c r="Z360" i="1"/>
  <c r="Z361" i="1"/>
  <c r="Z362" i="1"/>
  <c r="Z363" i="1"/>
  <c r="Z364" i="1"/>
  <c r="Z365" i="1"/>
  <c r="Z366" i="1"/>
  <c r="Z367" i="1"/>
  <c r="Z368" i="1"/>
  <c r="Z369" i="1"/>
  <c r="Z370" i="1"/>
  <c r="Z371" i="1"/>
  <c r="Z372" i="1"/>
  <c r="Z373" i="1"/>
  <c r="Z374" i="1"/>
  <c r="Z375" i="1"/>
  <c r="Z376" i="1"/>
  <c r="Z377" i="1"/>
  <c r="Z378" i="1"/>
  <c r="Z379" i="1"/>
  <c r="Z380" i="1"/>
  <c r="Z381" i="1"/>
  <c r="Z382" i="1"/>
  <c r="Z383" i="1"/>
  <c r="Z384" i="1"/>
  <c r="Z385" i="1"/>
  <c r="Z386" i="1"/>
  <c r="Z387" i="1"/>
  <c r="Z388" i="1"/>
  <c r="Z389" i="1"/>
  <c r="Z390" i="1"/>
  <c r="Z391" i="1"/>
  <c r="Z392" i="1"/>
  <c r="Z393" i="1"/>
  <c r="Z394" i="1"/>
  <c r="Z395" i="1"/>
  <c r="Z396" i="1"/>
  <c r="Z397" i="1"/>
  <c r="Z398" i="1"/>
  <c r="Z399" i="1"/>
  <c r="Z400" i="1"/>
  <c r="Z401" i="1"/>
  <c r="Z402" i="1"/>
  <c r="Z403" i="1"/>
  <c r="Z404" i="1"/>
  <c r="Z405" i="1"/>
  <c r="Z406" i="1"/>
  <c r="Z407" i="1"/>
  <c r="Z408" i="1"/>
  <c r="Z409" i="1"/>
  <c r="Z410" i="1"/>
  <c r="Z411" i="1"/>
  <c r="Z412" i="1"/>
  <c r="Z413" i="1"/>
  <c r="Z414" i="1"/>
  <c r="Z415" i="1"/>
  <c r="Z416" i="1"/>
  <c r="Z417" i="1"/>
  <c r="Z418" i="1"/>
  <c r="Z419" i="1"/>
  <c r="Z420" i="1"/>
  <c r="Z421" i="1"/>
  <c r="Z422" i="1"/>
  <c r="Z423" i="1"/>
  <c r="Z424" i="1"/>
  <c r="Z425" i="1"/>
  <c r="Z426" i="1"/>
  <c r="Z427" i="1"/>
  <c r="Z428" i="1"/>
  <c r="Z429" i="1"/>
  <c r="Z430" i="1"/>
  <c r="Z431" i="1"/>
  <c r="Z432" i="1"/>
  <c r="Z433" i="1"/>
  <c r="Z434" i="1"/>
  <c r="Z435" i="1"/>
  <c r="Z436" i="1"/>
  <c r="Z437" i="1"/>
  <c r="Z438" i="1"/>
  <c r="Z439" i="1"/>
  <c r="Z440" i="1"/>
  <c r="Z441" i="1"/>
  <c r="Z442" i="1"/>
  <c r="Z443" i="1"/>
  <c r="Z444" i="1"/>
  <c r="Z445" i="1"/>
  <c r="Z446" i="1"/>
  <c r="Z447" i="1"/>
  <c r="Z448" i="1"/>
  <c r="Z449" i="1"/>
  <c r="Z450" i="1"/>
  <c r="Z451" i="1"/>
  <c r="Z452" i="1"/>
  <c r="Z453" i="1"/>
  <c r="Z454" i="1"/>
  <c r="Z455" i="1"/>
  <c r="Z456" i="1"/>
  <c r="Z457" i="1"/>
  <c r="Z458" i="1"/>
  <c r="Z459" i="1"/>
  <c r="Z460" i="1"/>
  <c r="Z461" i="1"/>
  <c r="Z462" i="1"/>
  <c r="Z463" i="1"/>
  <c r="Z464" i="1"/>
  <c r="Z465" i="1"/>
  <c r="Z466" i="1"/>
  <c r="Z467" i="1"/>
  <c r="Z468" i="1"/>
  <c r="Z469" i="1"/>
  <c r="Z470" i="1"/>
  <c r="Z471" i="1"/>
  <c r="Z472" i="1"/>
  <c r="Z473" i="1"/>
  <c r="Z474" i="1"/>
  <c r="Z475" i="1"/>
  <c r="Z476" i="1"/>
  <c r="Z477" i="1"/>
  <c r="Z478" i="1"/>
  <c r="Z479" i="1"/>
  <c r="Z480" i="1"/>
  <c r="Z481" i="1"/>
  <c r="Z482" i="1"/>
  <c r="Z483" i="1"/>
  <c r="Z484" i="1"/>
  <c r="Z485" i="1"/>
  <c r="Z486" i="1"/>
  <c r="Z487" i="1"/>
  <c r="Z488" i="1"/>
  <c r="Z489" i="1"/>
  <c r="Z490" i="1"/>
  <c r="Z491" i="1"/>
  <c r="Z492" i="1"/>
  <c r="Z493" i="1"/>
  <c r="Z494" i="1"/>
  <c r="Z495" i="1"/>
  <c r="Z496" i="1"/>
  <c r="Z497" i="1"/>
  <c r="Z498" i="1"/>
  <c r="Z499" i="1"/>
  <c r="Z500" i="1"/>
  <c r="Z501" i="1"/>
  <c r="Z502" i="1"/>
  <c r="Z503" i="1"/>
  <c r="Z504" i="1"/>
  <c r="Z505" i="1"/>
  <c r="Z506" i="1"/>
  <c r="Z507" i="1"/>
  <c r="Z508" i="1"/>
  <c r="Z509" i="1"/>
  <c r="Z510" i="1"/>
  <c r="Z511" i="1"/>
  <c r="Z512" i="1"/>
  <c r="Z513" i="1"/>
  <c r="Z514" i="1"/>
  <c r="Z515" i="1"/>
  <c r="Z516" i="1"/>
  <c r="Z517" i="1"/>
  <c r="Z518" i="1"/>
  <c r="Z519" i="1"/>
  <c r="Z520" i="1"/>
  <c r="Z521" i="1"/>
  <c r="Z522" i="1"/>
  <c r="Z523" i="1"/>
  <c r="Z524" i="1"/>
  <c r="Z525" i="1"/>
  <c r="Z526" i="1"/>
  <c r="Z527" i="1"/>
  <c r="Z528" i="1"/>
  <c r="Z529" i="1"/>
  <c r="Z530" i="1"/>
  <c r="Z531" i="1"/>
  <c r="Z532" i="1"/>
  <c r="Z533" i="1"/>
  <c r="Z534" i="1"/>
  <c r="Z535" i="1"/>
  <c r="Z536" i="1"/>
  <c r="Z537" i="1"/>
  <c r="Z538" i="1"/>
  <c r="Z539" i="1"/>
  <c r="Z540" i="1"/>
  <c r="Z541" i="1"/>
  <c r="Z542" i="1"/>
  <c r="Z543" i="1"/>
  <c r="Z544" i="1"/>
  <c r="Z545" i="1"/>
  <c r="Z546" i="1"/>
  <c r="Z547" i="1"/>
  <c r="Z548" i="1"/>
  <c r="Z549" i="1"/>
  <c r="Z550" i="1"/>
  <c r="Z551" i="1"/>
  <c r="Z552" i="1"/>
  <c r="Z553" i="1"/>
  <c r="Z554" i="1"/>
  <c r="Z555" i="1"/>
  <c r="Z556" i="1"/>
  <c r="Z557" i="1"/>
  <c r="Z558" i="1"/>
  <c r="Z559" i="1"/>
  <c r="Z560" i="1"/>
  <c r="Z561" i="1"/>
  <c r="Z562" i="1"/>
  <c r="Z563" i="1"/>
  <c r="Z564" i="1"/>
  <c r="Z565" i="1"/>
  <c r="Z566" i="1"/>
  <c r="Z567" i="1"/>
  <c r="Z568" i="1"/>
  <c r="Z569" i="1"/>
  <c r="Z570" i="1"/>
  <c r="Z571" i="1"/>
  <c r="Z572" i="1"/>
  <c r="Z573" i="1"/>
  <c r="Z574" i="1"/>
  <c r="Z575" i="1"/>
  <c r="Z576" i="1"/>
  <c r="Z577" i="1"/>
  <c r="Z578" i="1"/>
  <c r="Z579" i="1"/>
  <c r="Z580" i="1"/>
  <c r="Z581" i="1"/>
  <c r="Z582" i="1"/>
  <c r="Z583" i="1"/>
  <c r="Z584" i="1"/>
  <c r="Z585" i="1"/>
  <c r="Z586" i="1"/>
  <c r="Z587" i="1"/>
  <c r="Z588" i="1"/>
  <c r="Z589" i="1"/>
  <c r="Z590" i="1"/>
  <c r="Z591" i="1"/>
  <c r="Z592" i="1"/>
  <c r="Z593" i="1"/>
  <c r="Z594" i="1"/>
  <c r="Z595" i="1"/>
  <c r="Z596" i="1"/>
  <c r="Z597" i="1"/>
  <c r="Z598" i="1"/>
  <c r="Z599" i="1"/>
  <c r="Z600" i="1"/>
  <c r="Z601" i="1"/>
  <c r="Z602" i="1"/>
  <c r="Z603" i="1"/>
  <c r="Z604" i="1"/>
  <c r="Z605" i="1"/>
  <c r="Z606" i="1"/>
  <c r="Z607" i="1"/>
  <c r="Z608" i="1"/>
  <c r="Z609" i="1"/>
  <c r="Z610" i="1"/>
  <c r="Z611" i="1"/>
  <c r="Z612" i="1"/>
  <c r="Z613" i="1"/>
  <c r="Z614" i="1"/>
  <c r="Z615" i="1"/>
  <c r="Z616" i="1"/>
  <c r="Z617" i="1"/>
  <c r="Z618" i="1"/>
  <c r="Z619" i="1"/>
  <c r="Z620" i="1"/>
  <c r="Z621" i="1"/>
  <c r="Z622" i="1"/>
  <c r="Z623" i="1"/>
  <c r="Z624" i="1"/>
  <c r="Z625" i="1"/>
  <c r="Z626" i="1"/>
  <c r="Z627" i="1"/>
  <c r="Z628" i="1"/>
  <c r="Z629" i="1"/>
  <c r="Z630" i="1"/>
  <c r="Z631" i="1"/>
  <c r="Z632" i="1"/>
  <c r="Z633" i="1"/>
  <c r="Z634" i="1"/>
  <c r="Z635" i="1"/>
  <c r="Z636" i="1"/>
  <c r="Z637" i="1"/>
  <c r="Z638" i="1"/>
  <c r="Z639" i="1"/>
  <c r="Z640" i="1"/>
  <c r="Z641" i="1"/>
  <c r="Z642" i="1"/>
  <c r="Z643" i="1"/>
  <c r="Z644" i="1"/>
  <c r="Z645" i="1"/>
  <c r="Z646" i="1"/>
  <c r="Z647" i="1"/>
  <c r="Z648" i="1"/>
  <c r="Z649" i="1"/>
  <c r="Z650" i="1"/>
  <c r="Z651" i="1"/>
  <c r="Z652" i="1"/>
  <c r="Z653" i="1"/>
  <c r="Z654" i="1"/>
  <c r="Z655" i="1"/>
  <c r="Z656" i="1"/>
  <c r="Z657" i="1"/>
  <c r="Z658" i="1"/>
  <c r="Z659" i="1"/>
  <c r="Z660" i="1"/>
  <c r="Z661" i="1"/>
  <c r="Z662" i="1"/>
  <c r="Z663" i="1"/>
  <c r="Z664" i="1"/>
  <c r="Z665" i="1"/>
  <c r="Z666" i="1"/>
  <c r="Z667" i="1"/>
  <c r="Z668" i="1"/>
  <c r="Z669" i="1"/>
  <c r="Z670" i="1"/>
  <c r="Z671" i="1"/>
  <c r="Z672" i="1"/>
  <c r="Z673" i="1"/>
  <c r="Z674" i="1"/>
  <c r="Z675" i="1"/>
  <c r="Z676" i="1"/>
  <c r="Z677" i="1"/>
  <c r="Z678" i="1"/>
  <c r="Z679" i="1"/>
  <c r="Z680" i="1"/>
  <c r="Z681" i="1"/>
  <c r="Z682" i="1"/>
  <c r="Z683" i="1"/>
  <c r="Z684" i="1"/>
  <c r="Z685" i="1"/>
  <c r="Z686" i="1"/>
  <c r="Z687" i="1"/>
  <c r="Z688" i="1"/>
  <c r="Z689" i="1"/>
  <c r="Z690" i="1"/>
  <c r="Z691" i="1"/>
  <c r="Z692" i="1"/>
  <c r="Z693" i="1"/>
  <c r="Z694" i="1"/>
  <c r="Z695" i="1"/>
  <c r="Z696" i="1"/>
  <c r="Z697" i="1"/>
  <c r="Z698" i="1"/>
  <c r="Z699" i="1"/>
  <c r="Z700" i="1"/>
  <c r="Z701" i="1"/>
  <c r="Z702" i="1"/>
  <c r="Z703" i="1"/>
  <c r="Z704" i="1"/>
  <c r="Z705" i="1"/>
  <c r="Z706" i="1"/>
  <c r="Z707" i="1"/>
  <c r="Z708" i="1"/>
  <c r="Z709" i="1"/>
  <c r="Z710" i="1"/>
  <c r="Z711" i="1"/>
  <c r="Z712" i="1"/>
  <c r="Z713" i="1"/>
  <c r="Z714" i="1"/>
  <c r="Z715" i="1"/>
  <c r="Z716" i="1"/>
  <c r="Z717" i="1"/>
  <c r="Z718" i="1"/>
  <c r="Z719" i="1"/>
  <c r="Z720" i="1"/>
  <c r="Z721" i="1"/>
  <c r="Z722" i="1"/>
  <c r="Z723" i="1"/>
  <c r="Z724" i="1"/>
  <c r="Z725" i="1"/>
  <c r="Z726" i="1"/>
  <c r="Z727" i="1"/>
  <c r="Z728" i="1"/>
  <c r="Z729" i="1"/>
  <c r="Z730" i="1"/>
  <c r="Z731" i="1"/>
  <c r="Z732" i="1"/>
  <c r="Z733" i="1"/>
  <c r="Z734" i="1"/>
  <c r="Z735" i="1"/>
  <c r="Z736" i="1"/>
  <c r="Z737" i="1"/>
  <c r="Z738" i="1"/>
  <c r="Z739" i="1"/>
  <c r="Z740" i="1"/>
  <c r="Z741" i="1"/>
  <c r="Z742" i="1"/>
  <c r="Z743" i="1"/>
  <c r="Z744" i="1"/>
  <c r="Z745" i="1"/>
  <c r="Z746" i="1"/>
  <c r="Z747" i="1"/>
  <c r="Z748" i="1"/>
  <c r="Z749" i="1"/>
  <c r="Z750" i="1"/>
  <c r="Z751" i="1"/>
  <c r="Z752" i="1"/>
  <c r="Z753" i="1"/>
  <c r="Z754" i="1"/>
  <c r="Z755" i="1"/>
  <c r="Z756" i="1"/>
  <c r="Z757" i="1"/>
  <c r="Z758" i="1"/>
  <c r="Z759" i="1"/>
  <c r="Z760" i="1"/>
  <c r="Z761" i="1"/>
  <c r="Z762" i="1"/>
  <c r="Z763" i="1"/>
  <c r="Z764" i="1"/>
  <c r="Z765" i="1"/>
  <c r="Z766" i="1"/>
  <c r="Z767" i="1"/>
  <c r="Z768" i="1"/>
  <c r="Z769" i="1"/>
  <c r="Z770" i="1"/>
  <c r="Z771" i="1"/>
  <c r="Z772" i="1"/>
  <c r="Z773" i="1"/>
  <c r="Z774" i="1"/>
  <c r="Z775" i="1"/>
  <c r="Z776" i="1"/>
  <c r="Z777" i="1"/>
  <c r="Z778" i="1"/>
  <c r="Z779" i="1"/>
  <c r="Z780" i="1"/>
  <c r="Z781" i="1"/>
  <c r="Z782" i="1"/>
  <c r="Z783" i="1"/>
  <c r="Z784" i="1"/>
  <c r="Z785" i="1"/>
  <c r="Z786" i="1"/>
  <c r="Z787" i="1"/>
  <c r="Z788" i="1"/>
  <c r="Z789" i="1"/>
  <c r="Z790" i="1"/>
  <c r="Z791" i="1"/>
  <c r="Z792" i="1"/>
  <c r="Z793" i="1"/>
  <c r="Z794" i="1"/>
  <c r="Z795" i="1"/>
  <c r="Z796" i="1"/>
  <c r="Z797" i="1"/>
  <c r="Z798" i="1"/>
  <c r="Z799" i="1"/>
  <c r="Z800" i="1"/>
  <c r="Z801" i="1"/>
  <c r="Z802" i="1"/>
  <c r="Z803" i="1"/>
  <c r="Z804" i="1"/>
  <c r="Z805" i="1"/>
  <c r="Z806" i="1"/>
  <c r="Z807" i="1"/>
  <c r="Z808" i="1"/>
  <c r="Z809" i="1"/>
  <c r="Z810" i="1"/>
  <c r="Z811" i="1"/>
  <c r="Z812" i="1"/>
  <c r="Z813" i="1"/>
  <c r="Z814" i="1"/>
  <c r="Z815" i="1"/>
  <c r="Z816" i="1"/>
  <c r="Z817" i="1"/>
  <c r="Z818" i="1"/>
  <c r="Z819" i="1"/>
  <c r="Z820" i="1"/>
  <c r="Z821" i="1"/>
  <c r="Z822" i="1"/>
  <c r="Z823" i="1"/>
  <c r="Z824" i="1"/>
  <c r="Z825" i="1"/>
  <c r="Z826" i="1"/>
  <c r="Z827" i="1"/>
  <c r="Z828" i="1"/>
  <c r="Z829" i="1"/>
  <c r="Z830" i="1"/>
  <c r="Z831" i="1"/>
  <c r="Z832" i="1"/>
  <c r="Z833" i="1"/>
  <c r="Z834" i="1"/>
  <c r="Z835" i="1"/>
  <c r="Z836" i="1"/>
  <c r="Z837" i="1"/>
  <c r="Z838" i="1"/>
  <c r="Z839" i="1"/>
  <c r="Z840" i="1"/>
  <c r="Z841" i="1"/>
  <c r="Z842" i="1"/>
  <c r="Z843" i="1"/>
  <c r="Z844" i="1"/>
  <c r="Z845" i="1"/>
  <c r="Z846" i="1"/>
  <c r="Z847" i="1"/>
  <c r="Z848" i="1"/>
  <c r="Z849" i="1"/>
  <c r="Z850" i="1"/>
  <c r="Z851" i="1"/>
  <c r="Z852" i="1"/>
  <c r="Z853" i="1"/>
  <c r="Z854" i="1"/>
  <c r="Z855" i="1"/>
  <c r="Z856" i="1"/>
  <c r="Z857" i="1"/>
  <c r="Z858" i="1"/>
  <c r="Z859" i="1"/>
  <c r="Z860" i="1"/>
  <c r="Z861" i="1"/>
  <c r="Z862" i="1"/>
  <c r="Z863" i="1"/>
  <c r="Z864" i="1"/>
  <c r="Z865" i="1"/>
  <c r="Z866" i="1"/>
  <c r="Z867" i="1"/>
  <c r="Z868" i="1"/>
  <c r="Z869" i="1"/>
  <c r="Z870" i="1"/>
  <c r="Z871" i="1"/>
  <c r="Z872" i="1"/>
  <c r="Z873" i="1"/>
  <c r="Z874" i="1"/>
  <c r="Z875" i="1"/>
  <c r="Z876" i="1"/>
  <c r="Z877" i="1"/>
  <c r="Z878" i="1"/>
  <c r="Z879" i="1"/>
  <c r="Z880" i="1"/>
  <c r="Z881" i="1"/>
  <c r="Z882" i="1"/>
  <c r="Z883" i="1"/>
  <c r="Z884" i="1"/>
  <c r="Z885" i="1"/>
  <c r="Z886" i="1"/>
  <c r="Z887" i="1"/>
  <c r="Z888" i="1"/>
  <c r="Z889" i="1"/>
  <c r="Z890" i="1"/>
  <c r="Z891" i="1"/>
  <c r="Z892" i="1"/>
  <c r="Z893" i="1"/>
  <c r="Z894" i="1"/>
  <c r="Z895" i="1"/>
  <c r="Z896" i="1"/>
  <c r="Z897" i="1"/>
  <c r="Z898" i="1"/>
  <c r="Z899" i="1"/>
  <c r="Z900" i="1"/>
  <c r="Z901" i="1"/>
  <c r="Z902" i="1"/>
  <c r="Z903" i="1"/>
  <c r="Z904" i="1"/>
  <c r="Z905" i="1"/>
  <c r="Z906" i="1"/>
  <c r="Z907" i="1"/>
  <c r="Z908" i="1"/>
  <c r="Z909" i="1"/>
  <c r="Z910" i="1"/>
  <c r="Z911" i="1"/>
  <c r="Z912" i="1"/>
  <c r="Z913" i="1"/>
  <c r="Z914" i="1"/>
  <c r="Z915" i="1"/>
  <c r="Z916" i="1"/>
  <c r="Z917" i="1"/>
  <c r="Z918" i="1"/>
  <c r="Z919" i="1"/>
  <c r="Z920" i="1"/>
  <c r="Z921" i="1"/>
  <c r="Z922" i="1"/>
  <c r="Z923" i="1"/>
  <c r="Z924" i="1"/>
  <c r="Z925" i="1"/>
  <c r="Z926" i="1"/>
  <c r="Z927" i="1"/>
  <c r="Z928" i="1"/>
  <c r="Z929" i="1"/>
  <c r="Z930" i="1"/>
  <c r="Z931" i="1"/>
  <c r="Z932" i="1"/>
  <c r="Z933" i="1"/>
  <c r="Z934" i="1"/>
  <c r="Z935" i="1"/>
  <c r="Z936" i="1"/>
  <c r="Z937" i="1"/>
  <c r="Z938" i="1"/>
  <c r="Z939" i="1"/>
  <c r="Z940" i="1"/>
  <c r="Z941" i="1"/>
  <c r="Z942" i="1"/>
  <c r="Z943" i="1"/>
  <c r="Z944" i="1"/>
  <c r="Z945" i="1"/>
  <c r="Z946" i="1"/>
  <c r="Z947" i="1"/>
  <c r="Z948" i="1"/>
  <c r="Z949" i="1"/>
  <c r="Z950" i="1"/>
  <c r="Z951" i="1"/>
  <c r="Z952" i="1"/>
  <c r="Z953" i="1"/>
  <c r="Z954" i="1"/>
  <c r="Z955" i="1"/>
  <c r="Z956" i="1"/>
  <c r="Z957" i="1"/>
  <c r="Z958" i="1"/>
  <c r="Z959" i="1"/>
  <c r="Z960" i="1"/>
  <c r="Z961" i="1"/>
  <c r="Z962" i="1"/>
  <c r="Z963" i="1"/>
  <c r="Z964" i="1"/>
  <c r="Z965" i="1"/>
  <c r="Z966" i="1"/>
  <c r="Z967" i="1"/>
  <c r="Z968" i="1"/>
  <c r="Z969" i="1"/>
  <c r="Z970" i="1"/>
  <c r="Z971" i="1"/>
  <c r="Z972" i="1"/>
  <c r="Z973" i="1"/>
  <c r="Z974" i="1"/>
  <c r="Z975" i="1"/>
  <c r="Z976" i="1"/>
  <c r="Z977" i="1"/>
  <c r="Z978" i="1"/>
  <c r="Z979" i="1"/>
  <c r="Z980" i="1"/>
  <c r="Z981" i="1"/>
  <c r="Z982" i="1"/>
  <c r="Z983" i="1"/>
  <c r="Z984" i="1"/>
  <c r="Z985" i="1"/>
  <c r="Z986" i="1"/>
  <c r="Z987" i="1"/>
  <c r="Z988" i="1"/>
  <c r="Z989" i="1"/>
  <c r="Z990" i="1"/>
  <c r="Z991" i="1"/>
  <c r="Z992" i="1"/>
  <c r="Z993" i="1"/>
  <c r="Z994" i="1"/>
  <c r="Z995" i="1"/>
  <c r="Z996" i="1"/>
  <c r="Z997" i="1"/>
  <c r="Z998" i="1"/>
  <c r="Z999" i="1"/>
  <c r="Z1000" i="1"/>
  <c r="Z1001" i="1"/>
  <c r="Z2" i="1"/>
  <c r="Y3" i="1"/>
  <c r="Y4" i="1"/>
  <c r="Y5" i="1"/>
  <c r="Y6" i="1"/>
  <c r="Y7" i="1"/>
  <c r="Y8" i="1"/>
  <c r="Y9" i="1"/>
  <c r="Y10" i="1"/>
  <c r="Y11" i="1"/>
  <c r="Y12" i="1"/>
  <c r="Y13" i="1"/>
  <c r="Y14" i="1"/>
  <c r="Y15" i="1"/>
  <c r="Y16" i="1"/>
  <c r="Y17" i="1"/>
  <c r="Y18" i="1"/>
  <c r="Y19" i="1"/>
  <c r="Y20" i="1"/>
  <c r="Y21" i="1"/>
  <c r="Y22" i="1"/>
  <c r="Y23" i="1"/>
  <c r="Y24" i="1"/>
  <c r="Y25" i="1"/>
  <c r="Y26" i="1"/>
  <c r="Y27" i="1"/>
  <c r="Y28" i="1"/>
  <c r="Y29" i="1"/>
  <c r="Y30" i="1"/>
  <c r="Y31" i="1"/>
  <c r="Y32" i="1"/>
  <c r="Y33" i="1"/>
  <c r="Y34" i="1"/>
  <c r="Y35" i="1"/>
  <c r="Y36" i="1"/>
  <c r="Y37" i="1"/>
  <c r="Y38" i="1"/>
  <c r="Y39" i="1"/>
  <c r="Y40" i="1"/>
  <c r="Y41" i="1"/>
  <c r="Y42" i="1"/>
  <c r="Y43" i="1"/>
  <c r="Y44" i="1"/>
  <c r="Y45" i="1"/>
  <c r="Y46" i="1"/>
  <c r="Y47" i="1"/>
  <c r="Y48" i="1"/>
  <c r="Y49" i="1"/>
  <c r="Y50" i="1"/>
  <c r="Y51" i="1"/>
  <c r="Y52" i="1"/>
  <c r="Y53" i="1"/>
  <c r="Y54" i="1"/>
  <c r="Y55" i="1"/>
  <c r="Y56" i="1"/>
  <c r="Y57" i="1"/>
  <c r="Y58" i="1"/>
  <c r="Y59" i="1"/>
  <c r="Y60" i="1"/>
  <c r="Y61" i="1"/>
  <c r="Y62" i="1"/>
  <c r="Y63" i="1"/>
  <c r="Y64" i="1"/>
  <c r="Y65" i="1"/>
  <c r="Y66" i="1"/>
  <c r="Y67" i="1"/>
  <c r="Y68" i="1"/>
  <c r="Y69" i="1"/>
  <c r="Y70" i="1"/>
  <c r="Y71" i="1"/>
  <c r="Y72" i="1"/>
  <c r="Y73" i="1"/>
  <c r="Y74" i="1"/>
  <c r="Y75" i="1"/>
  <c r="Y76" i="1"/>
  <c r="Y77" i="1"/>
  <c r="Y78" i="1"/>
  <c r="Y79" i="1"/>
  <c r="Y80" i="1"/>
  <c r="Y81" i="1"/>
  <c r="Y82" i="1"/>
  <c r="Y83" i="1"/>
  <c r="Y84" i="1"/>
  <c r="Y85" i="1"/>
  <c r="Y86" i="1"/>
  <c r="Y87" i="1"/>
  <c r="Y88" i="1"/>
  <c r="Y89" i="1"/>
  <c r="Y90" i="1"/>
  <c r="Y91" i="1"/>
  <c r="Y92" i="1"/>
  <c r="Y93" i="1"/>
  <c r="Y94" i="1"/>
  <c r="Y95" i="1"/>
  <c r="Y96" i="1"/>
  <c r="Y97" i="1"/>
  <c r="Y98" i="1"/>
  <c r="Y99" i="1"/>
  <c r="Y100" i="1"/>
  <c r="Y101" i="1"/>
  <c r="Y102" i="1"/>
  <c r="Y103" i="1"/>
  <c r="Y104" i="1"/>
  <c r="Y105" i="1"/>
  <c r="Y106" i="1"/>
  <c r="Y107" i="1"/>
  <c r="Y108" i="1"/>
  <c r="Y109" i="1"/>
  <c r="Y110" i="1"/>
  <c r="Y111" i="1"/>
  <c r="Y112" i="1"/>
  <c r="Y113" i="1"/>
  <c r="Y114" i="1"/>
  <c r="Y115" i="1"/>
  <c r="Y116" i="1"/>
  <c r="Y117" i="1"/>
  <c r="Y118" i="1"/>
  <c r="Y119" i="1"/>
  <c r="Y120" i="1"/>
  <c r="Y121" i="1"/>
  <c r="Y122" i="1"/>
  <c r="Y123" i="1"/>
  <c r="Y124" i="1"/>
  <c r="Y125" i="1"/>
  <c r="Y126" i="1"/>
  <c r="Y127" i="1"/>
  <c r="Y128" i="1"/>
  <c r="Y129" i="1"/>
  <c r="Y130" i="1"/>
  <c r="Y131" i="1"/>
  <c r="Y132" i="1"/>
  <c r="Y133" i="1"/>
  <c r="Y134" i="1"/>
  <c r="Y135" i="1"/>
  <c r="Y136" i="1"/>
  <c r="Y137" i="1"/>
  <c r="Y138" i="1"/>
  <c r="Y139" i="1"/>
  <c r="Y140" i="1"/>
  <c r="Y141" i="1"/>
  <c r="Y142" i="1"/>
  <c r="Y143" i="1"/>
  <c r="Y144" i="1"/>
  <c r="Y145" i="1"/>
  <c r="Y146" i="1"/>
  <c r="Y147" i="1"/>
  <c r="Y148" i="1"/>
  <c r="Y149" i="1"/>
  <c r="Y150" i="1"/>
  <c r="Y151" i="1"/>
  <c r="Y152" i="1"/>
  <c r="Y153" i="1"/>
  <c r="Y154" i="1"/>
  <c r="Y155" i="1"/>
  <c r="Y156" i="1"/>
  <c r="Y157" i="1"/>
  <c r="Y158" i="1"/>
  <c r="Y159" i="1"/>
  <c r="Y160" i="1"/>
  <c r="Y161" i="1"/>
  <c r="Y162" i="1"/>
  <c r="Y163" i="1"/>
  <c r="Y164" i="1"/>
  <c r="Y165" i="1"/>
  <c r="Y166" i="1"/>
  <c r="Y167" i="1"/>
  <c r="Y168" i="1"/>
  <c r="Y169" i="1"/>
  <c r="Y170" i="1"/>
  <c r="Y171" i="1"/>
  <c r="Y172" i="1"/>
  <c r="Y173" i="1"/>
  <c r="Y174" i="1"/>
  <c r="Y175" i="1"/>
  <c r="Y176" i="1"/>
  <c r="Y177" i="1"/>
  <c r="Y178" i="1"/>
  <c r="Y179" i="1"/>
  <c r="Y180" i="1"/>
  <c r="Y181" i="1"/>
  <c r="Y182" i="1"/>
  <c r="Y183" i="1"/>
  <c r="Y184" i="1"/>
  <c r="Y185" i="1"/>
  <c r="Y186" i="1"/>
  <c r="Y187" i="1"/>
  <c r="Y188" i="1"/>
  <c r="Y189" i="1"/>
  <c r="Y190" i="1"/>
  <c r="Y191" i="1"/>
  <c r="Y192" i="1"/>
  <c r="Y193" i="1"/>
  <c r="Y194" i="1"/>
  <c r="Y195" i="1"/>
  <c r="Y196" i="1"/>
  <c r="Y197" i="1"/>
  <c r="Y198" i="1"/>
  <c r="Y199" i="1"/>
  <c r="Y200" i="1"/>
  <c r="Y201" i="1"/>
  <c r="Y202" i="1"/>
  <c r="Y203" i="1"/>
  <c r="Y204" i="1"/>
  <c r="Y205" i="1"/>
  <c r="Y206" i="1"/>
  <c r="Y207" i="1"/>
  <c r="Y208" i="1"/>
  <c r="Y209" i="1"/>
  <c r="Y210" i="1"/>
  <c r="Y211" i="1"/>
  <c r="Y212" i="1"/>
  <c r="Y213" i="1"/>
  <c r="Y214" i="1"/>
  <c r="Y215" i="1"/>
  <c r="Y216" i="1"/>
  <c r="Y217" i="1"/>
  <c r="Y218" i="1"/>
  <c r="Y219" i="1"/>
  <c r="Y220" i="1"/>
  <c r="Y221" i="1"/>
  <c r="Y222" i="1"/>
  <c r="Y223" i="1"/>
  <c r="Y224" i="1"/>
  <c r="Y225" i="1"/>
  <c r="Y226" i="1"/>
  <c r="Y227" i="1"/>
  <c r="Y228" i="1"/>
  <c r="Y229" i="1"/>
  <c r="Y230" i="1"/>
  <c r="Y231" i="1"/>
  <c r="Y232" i="1"/>
  <c r="Y233" i="1"/>
  <c r="Y234" i="1"/>
  <c r="Y235" i="1"/>
  <c r="Y236" i="1"/>
  <c r="Y237" i="1"/>
  <c r="Y238" i="1"/>
  <c r="Y239" i="1"/>
  <c r="Y240" i="1"/>
  <c r="Y241" i="1"/>
  <c r="Y242" i="1"/>
  <c r="Y243" i="1"/>
  <c r="Y244" i="1"/>
  <c r="Y245" i="1"/>
  <c r="Y246" i="1"/>
  <c r="Y247" i="1"/>
  <c r="Y248" i="1"/>
  <c r="Y249" i="1"/>
  <c r="Y250" i="1"/>
  <c r="Y251" i="1"/>
  <c r="Y252" i="1"/>
  <c r="Y253" i="1"/>
  <c r="Y254" i="1"/>
  <c r="Y255" i="1"/>
  <c r="Y256" i="1"/>
  <c r="Y257" i="1"/>
  <c r="Y258" i="1"/>
  <c r="Y259" i="1"/>
  <c r="Y260" i="1"/>
  <c r="Y261" i="1"/>
  <c r="Y262" i="1"/>
  <c r="Y263" i="1"/>
  <c r="Y264" i="1"/>
  <c r="Y265" i="1"/>
  <c r="Y266" i="1"/>
  <c r="Y267" i="1"/>
  <c r="Y268" i="1"/>
  <c r="Y269" i="1"/>
  <c r="Y270" i="1"/>
  <c r="Y271" i="1"/>
  <c r="Y272" i="1"/>
  <c r="Y273" i="1"/>
  <c r="Y274" i="1"/>
  <c r="Y275" i="1"/>
  <c r="Y276" i="1"/>
  <c r="Y277" i="1"/>
  <c r="Y278" i="1"/>
  <c r="Y279" i="1"/>
  <c r="Y280" i="1"/>
  <c r="Y281" i="1"/>
  <c r="Y282" i="1"/>
  <c r="Y283" i="1"/>
  <c r="Y284" i="1"/>
  <c r="Y285" i="1"/>
  <c r="Y286" i="1"/>
  <c r="Y287" i="1"/>
  <c r="Y288" i="1"/>
  <c r="Y289" i="1"/>
  <c r="Y290" i="1"/>
  <c r="Y291" i="1"/>
  <c r="Y292" i="1"/>
  <c r="Y293" i="1"/>
  <c r="Y294" i="1"/>
  <c r="Y295" i="1"/>
  <c r="Y296" i="1"/>
  <c r="Y297" i="1"/>
  <c r="Y298" i="1"/>
  <c r="Y299" i="1"/>
  <c r="Y300" i="1"/>
  <c r="Y301" i="1"/>
  <c r="Y302" i="1"/>
  <c r="Y303" i="1"/>
  <c r="Y304" i="1"/>
  <c r="Y305" i="1"/>
  <c r="Y306" i="1"/>
  <c r="Y307" i="1"/>
  <c r="Y308" i="1"/>
  <c r="Y309" i="1"/>
  <c r="Y310" i="1"/>
  <c r="Y311" i="1"/>
  <c r="Y312" i="1"/>
  <c r="Y313" i="1"/>
  <c r="Y314" i="1"/>
  <c r="Y315" i="1"/>
  <c r="Y316" i="1"/>
  <c r="Y317" i="1"/>
  <c r="Y318" i="1"/>
  <c r="Y319" i="1"/>
  <c r="Y320" i="1"/>
  <c r="Y321" i="1"/>
  <c r="Y322" i="1"/>
  <c r="Y323" i="1"/>
  <c r="Y324" i="1"/>
  <c r="Y325" i="1"/>
  <c r="Y326" i="1"/>
  <c r="Y327" i="1"/>
  <c r="Y328" i="1"/>
  <c r="Y329" i="1"/>
  <c r="Y330" i="1"/>
  <c r="Y331" i="1"/>
  <c r="Y332" i="1"/>
  <c r="Y333" i="1"/>
  <c r="Y334" i="1"/>
  <c r="Y335" i="1"/>
  <c r="Y336" i="1"/>
  <c r="Y337" i="1"/>
  <c r="Y338" i="1"/>
  <c r="Y339" i="1"/>
  <c r="Y340" i="1"/>
  <c r="Y341" i="1"/>
  <c r="Y342" i="1"/>
  <c r="Y343" i="1"/>
  <c r="Y344" i="1"/>
  <c r="Y345" i="1"/>
  <c r="Y346" i="1"/>
  <c r="Y347" i="1"/>
  <c r="Y348" i="1"/>
  <c r="Y349" i="1"/>
  <c r="Y350" i="1"/>
  <c r="Y351" i="1"/>
  <c r="Y352" i="1"/>
  <c r="Y353" i="1"/>
  <c r="Y354" i="1"/>
  <c r="Y355" i="1"/>
  <c r="Y356" i="1"/>
  <c r="Y357" i="1"/>
  <c r="Y358" i="1"/>
  <c r="Y359" i="1"/>
  <c r="Y360" i="1"/>
  <c r="Y361" i="1"/>
  <c r="Y362" i="1"/>
  <c r="Y363" i="1"/>
  <c r="Y364" i="1"/>
  <c r="Y365" i="1"/>
  <c r="Y366" i="1"/>
  <c r="Y367" i="1"/>
  <c r="Y368" i="1"/>
  <c r="Y369" i="1"/>
  <c r="Y370" i="1"/>
  <c r="Y371" i="1"/>
  <c r="Y372" i="1"/>
  <c r="Y373" i="1"/>
  <c r="Y374" i="1"/>
  <c r="Y375" i="1"/>
  <c r="Y376" i="1"/>
  <c r="Y377" i="1"/>
  <c r="Y378" i="1"/>
  <c r="Y379" i="1"/>
  <c r="Y380" i="1"/>
  <c r="Y381" i="1"/>
  <c r="Y382" i="1"/>
  <c r="Y383" i="1"/>
  <c r="Y384" i="1"/>
  <c r="Y385" i="1"/>
  <c r="Y386" i="1"/>
  <c r="Y387" i="1"/>
  <c r="Y388" i="1"/>
  <c r="Y389" i="1"/>
  <c r="Y390" i="1"/>
  <c r="Y391" i="1"/>
  <c r="Y392" i="1"/>
  <c r="Y393" i="1"/>
  <c r="Y394" i="1"/>
  <c r="Y395" i="1"/>
  <c r="Y396" i="1"/>
  <c r="Y397" i="1"/>
  <c r="Y398" i="1"/>
  <c r="Y399" i="1"/>
  <c r="Y400" i="1"/>
  <c r="Y401" i="1"/>
  <c r="Y402" i="1"/>
  <c r="Y403" i="1"/>
  <c r="Y404" i="1"/>
  <c r="Y405" i="1"/>
  <c r="Y406" i="1"/>
  <c r="Y407" i="1"/>
  <c r="Y408" i="1"/>
  <c r="Y409" i="1"/>
  <c r="Y410" i="1"/>
  <c r="Y411" i="1"/>
  <c r="Y412" i="1"/>
  <c r="Y413" i="1"/>
  <c r="Y414" i="1"/>
  <c r="Y415" i="1"/>
  <c r="Y416" i="1"/>
  <c r="Y417" i="1"/>
  <c r="Y418" i="1"/>
  <c r="Y419" i="1"/>
  <c r="Y420" i="1"/>
  <c r="Y421" i="1"/>
  <c r="Y422" i="1"/>
  <c r="Y423" i="1"/>
  <c r="Y424" i="1"/>
  <c r="Y425" i="1"/>
  <c r="Y426" i="1"/>
  <c r="Y427" i="1"/>
  <c r="Y428" i="1"/>
  <c r="Y429" i="1"/>
  <c r="Y430" i="1"/>
  <c r="Y431" i="1"/>
  <c r="Y432" i="1"/>
  <c r="Y433" i="1"/>
  <c r="Y434" i="1"/>
  <c r="Y435" i="1"/>
  <c r="Y436" i="1"/>
  <c r="Y437" i="1"/>
  <c r="Y438" i="1"/>
  <c r="Y439" i="1"/>
  <c r="Y440" i="1"/>
  <c r="Y441" i="1"/>
  <c r="Y442" i="1"/>
  <c r="Y443" i="1"/>
  <c r="Y444" i="1"/>
  <c r="Y445" i="1"/>
  <c r="Y446" i="1"/>
  <c r="Y447" i="1"/>
  <c r="Y448" i="1"/>
  <c r="Y449" i="1"/>
  <c r="Y450" i="1"/>
  <c r="Y451" i="1"/>
  <c r="Y452" i="1"/>
  <c r="Y453" i="1"/>
  <c r="Y454" i="1"/>
  <c r="Y455" i="1"/>
  <c r="Y456" i="1"/>
  <c r="Y457" i="1"/>
  <c r="Y458" i="1"/>
  <c r="Y459" i="1"/>
  <c r="Y460" i="1"/>
  <c r="Y461" i="1"/>
  <c r="Y462" i="1"/>
  <c r="Y463" i="1"/>
  <c r="Y464" i="1"/>
  <c r="Y465" i="1"/>
  <c r="Y466" i="1"/>
  <c r="Y467" i="1"/>
  <c r="Y468" i="1"/>
  <c r="Y469" i="1"/>
  <c r="Y470" i="1"/>
  <c r="Y471" i="1"/>
  <c r="Y472" i="1"/>
  <c r="Y473" i="1"/>
  <c r="Y474" i="1"/>
  <c r="Y475" i="1"/>
  <c r="Y476" i="1"/>
  <c r="Y477" i="1"/>
  <c r="Y478" i="1"/>
  <c r="Y479" i="1"/>
  <c r="Y480" i="1"/>
  <c r="Y481" i="1"/>
  <c r="Y482" i="1"/>
  <c r="Y483" i="1"/>
  <c r="Y484" i="1"/>
  <c r="Y485" i="1"/>
  <c r="Y486" i="1"/>
  <c r="Y487" i="1"/>
  <c r="Y488" i="1"/>
  <c r="Y489" i="1"/>
  <c r="Y490" i="1"/>
  <c r="Y491" i="1"/>
  <c r="Y492" i="1"/>
  <c r="Y493" i="1"/>
  <c r="Y494" i="1"/>
  <c r="Y495" i="1"/>
  <c r="Y496" i="1"/>
  <c r="Y497" i="1"/>
  <c r="Y498" i="1"/>
  <c r="Y499" i="1"/>
  <c r="Y500" i="1"/>
  <c r="Y501" i="1"/>
  <c r="Y502" i="1"/>
  <c r="Y503" i="1"/>
  <c r="Y504" i="1"/>
  <c r="Y505" i="1"/>
  <c r="Y506" i="1"/>
  <c r="Y507" i="1"/>
  <c r="Y508" i="1"/>
  <c r="Y509" i="1"/>
  <c r="Y510" i="1"/>
  <c r="Y511" i="1"/>
  <c r="Y512" i="1"/>
  <c r="Y513" i="1"/>
  <c r="Y514" i="1"/>
  <c r="Y515" i="1"/>
  <c r="Y516" i="1"/>
  <c r="Y517" i="1"/>
  <c r="Y518" i="1"/>
  <c r="Y519" i="1"/>
  <c r="Y520" i="1"/>
  <c r="Y521" i="1"/>
  <c r="Y522" i="1"/>
  <c r="Y523" i="1"/>
  <c r="Y524" i="1"/>
  <c r="Y525" i="1"/>
  <c r="Y526" i="1"/>
  <c r="Y527" i="1"/>
  <c r="Y528" i="1"/>
  <c r="Y529" i="1"/>
  <c r="Y530" i="1"/>
  <c r="Y531" i="1"/>
  <c r="Y532" i="1"/>
  <c r="Y533" i="1"/>
  <c r="Y534" i="1"/>
  <c r="Y535" i="1"/>
  <c r="Y536" i="1"/>
  <c r="Y537" i="1"/>
  <c r="Y538" i="1"/>
  <c r="Y539" i="1"/>
  <c r="Y540" i="1"/>
  <c r="Y541" i="1"/>
  <c r="Y542" i="1"/>
  <c r="Y543" i="1"/>
  <c r="Y544" i="1"/>
  <c r="Y545" i="1"/>
  <c r="Y546" i="1"/>
  <c r="Y547" i="1"/>
  <c r="Y548" i="1"/>
  <c r="Y549" i="1"/>
  <c r="Y550" i="1"/>
  <c r="Y551" i="1"/>
  <c r="Y552" i="1"/>
  <c r="Y553" i="1"/>
  <c r="Y554" i="1"/>
  <c r="Y555" i="1"/>
  <c r="Y556" i="1"/>
  <c r="Y557" i="1"/>
  <c r="Y558" i="1"/>
  <c r="Y559" i="1"/>
  <c r="Y560" i="1"/>
  <c r="Y561" i="1"/>
  <c r="Y562" i="1"/>
  <c r="Y563" i="1"/>
  <c r="Y564" i="1"/>
  <c r="Y565" i="1"/>
  <c r="Y566" i="1"/>
  <c r="Y567" i="1"/>
  <c r="Y568" i="1"/>
  <c r="Y569" i="1"/>
  <c r="Y570" i="1"/>
  <c r="Y571" i="1"/>
  <c r="Y572" i="1"/>
  <c r="Y573" i="1"/>
  <c r="Y574" i="1"/>
  <c r="Y575" i="1"/>
  <c r="Y576" i="1"/>
  <c r="Y577" i="1"/>
  <c r="Y578" i="1"/>
  <c r="Y579" i="1"/>
  <c r="Y580" i="1"/>
  <c r="Y581" i="1"/>
  <c r="Y582" i="1"/>
  <c r="Y583" i="1"/>
  <c r="Y584" i="1"/>
  <c r="Y585" i="1"/>
  <c r="Y586" i="1"/>
  <c r="Y587" i="1"/>
  <c r="Y588" i="1"/>
  <c r="Y589" i="1"/>
  <c r="Y590" i="1"/>
  <c r="Y591" i="1"/>
  <c r="Y592" i="1"/>
  <c r="Y593" i="1"/>
  <c r="Y594" i="1"/>
  <c r="Y595" i="1"/>
  <c r="Y596" i="1"/>
  <c r="Y597" i="1"/>
  <c r="Y598" i="1"/>
  <c r="Y599" i="1"/>
  <c r="Y600" i="1"/>
  <c r="Y601" i="1"/>
  <c r="Y602" i="1"/>
  <c r="Y603" i="1"/>
  <c r="Y604" i="1"/>
  <c r="Y605" i="1"/>
  <c r="Y606" i="1"/>
  <c r="Y607" i="1"/>
  <c r="Y608" i="1"/>
  <c r="Y609" i="1"/>
  <c r="Y610" i="1"/>
  <c r="Y611" i="1"/>
  <c r="Y612" i="1"/>
  <c r="Y613" i="1"/>
  <c r="Y614" i="1"/>
  <c r="Y615" i="1"/>
  <c r="Y616" i="1"/>
  <c r="Y617" i="1"/>
  <c r="Y618" i="1"/>
  <c r="Y619" i="1"/>
  <c r="Y620" i="1"/>
  <c r="Y621" i="1"/>
  <c r="Y622" i="1"/>
  <c r="Y623" i="1"/>
  <c r="Y624" i="1"/>
  <c r="Y625" i="1"/>
  <c r="Y626" i="1"/>
  <c r="Y627" i="1"/>
  <c r="Y628" i="1"/>
  <c r="Y629" i="1"/>
  <c r="Y630" i="1"/>
  <c r="Y631" i="1"/>
  <c r="Y632" i="1"/>
  <c r="Y633" i="1"/>
  <c r="Y634" i="1"/>
  <c r="Y635" i="1"/>
  <c r="Y636" i="1"/>
  <c r="Y637" i="1"/>
  <c r="Y638" i="1"/>
  <c r="Y639" i="1"/>
  <c r="Y640" i="1"/>
  <c r="Y641" i="1"/>
  <c r="Y642" i="1"/>
  <c r="Y643" i="1"/>
  <c r="Y644" i="1"/>
  <c r="Y645" i="1"/>
  <c r="Y646" i="1"/>
  <c r="Y647" i="1"/>
  <c r="Y648" i="1"/>
  <c r="Y649" i="1"/>
  <c r="Y650" i="1"/>
  <c r="Y651" i="1"/>
  <c r="Y652" i="1"/>
  <c r="Y653" i="1"/>
  <c r="Y654" i="1"/>
  <c r="Y655" i="1"/>
  <c r="Y656" i="1"/>
  <c r="Y657" i="1"/>
  <c r="Y658" i="1"/>
  <c r="Y659" i="1"/>
  <c r="Y660" i="1"/>
  <c r="Y661" i="1"/>
  <c r="Y662" i="1"/>
  <c r="Y663" i="1"/>
  <c r="Y664" i="1"/>
  <c r="Y665" i="1"/>
  <c r="Y666" i="1"/>
  <c r="Y667" i="1"/>
  <c r="Y668" i="1"/>
  <c r="Y669" i="1"/>
  <c r="Y670" i="1"/>
  <c r="Y671" i="1"/>
  <c r="Y672" i="1"/>
  <c r="Y673" i="1"/>
  <c r="Y674" i="1"/>
  <c r="Y675" i="1"/>
  <c r="Y676" i="1"/>
  <c r="Y677" i="1"/>
  <c r="Y678" i="1"/>
  <c r="Y679" i="1"/>
  <c r="Y680" i="1"/>
  <c r="Y681" i="1"/>
  <c r="Y682" i="1"/>
  <c r="Y683" i="1"/>
  <c r="Y684" i="1"/>
  <c r="Y685" i="1"/>
  <c r="Y686" i="1"/>
  <c r="Y687" i="1"/>
  <c r="Y688" i="1"/>
  <c r="Y689" i="1"/>
  <c r="Y690" i="1"/>
  <c r="Y691" i="1"/>
  <c r="Y692" i="1"/>
  <c r="Y693" i="1"/>
  <c r="Y694" i="1"/>
  <c r="Y695" i="1"/>
  <c r="Y696" i="1"/>
  <c r="Y697" i="1"/>
  <c r="Y698" i="1"/>
  <c r="Y699" i="1"/>
  <c r="Y700" i="1"/>
  <c r="Y701" i="1"/>
  <c r="Y702" i="1"/>
  <c r="Y703" i="1"/>
  <c r="Y704" i="1"/>
  <c r="Y705" i="1"/>
  <c r="Y706" i="1"/>
  <c r="Y707" i="1"/>
  <c r="Y708" i="1"/>
  <c r="Y709" i="1"/>
  <c r="Y710" i="1"/>
  <c r="Y711" i="1"/>
  <c r="Y712" i="1"/>
  <c r="Y713" i="1"/>
  <c r="Y714" i="1"/>
  <c r="Y715" i="1"/>
  <c r="Y716" i="1"/>
  <c r="Y717" i="1"/>
  <c r="Y718" i="1"/>
  <c r="Y719" i="1"/>
  <c r="Y720" i="1"/>
  <c r="Y721" i="1"/>
  <c r="Y722" i="1"/>
  <c r="Y723" i="1"/>
  <c r="Y724" i="1"/>
  <c r="Y725" i="1"/>
  <c r="Y726" i="1"/>
  <c r="Y727" i="1"/>
  <c r="Y728" i="1"/>
  <c r="Y729" i="1"/>
  <c r="Y730" i="1"/>
  <c r="Y731" i="1"/>
  <c r="Y732" i="1"/>
  <c r="Y733" i="1"/>
  <c r="Y734" i="1"/>
  <c r="Y735" i="1"/>
  <c r="Y736" i="1"/>
  <c r="Y737" i="1"/>
  <c r="Y738" i="1"/>
  <c r="Y739" i="1"/>
  <c r="Y740" i="1"/>
  <c r="Y741" i="1"/>
  <c r="Y742" i="1"/>
  <c r="Y743" i="1"/>
  <c r="Y744" i="1"/>
  <c r="Y745" i="1"/>
  <c r="Y746" i="1"/>
  <c r="Y747" i="1"/>
  <c r="Y748" i="1"/>
  <c r="Y749" i="1"/>
  <c r="Y750" i="1"/>
  <c r="Y751" i="1"/>
  <c r="Y752" i="1"/>
  <c r="Y753" i="1"/>
  <c r="Y754" i="1"/>
  <c r="Y755" i="1"/>
  <c r="Y756" i="1"/>
  <c r="Y757" i="1"/>
  <c r="Y758" i="1"/>
  <c r="Y759" i="1"/>
  <c r="Y760" i="1"/>
  <c r="Y761" i="1"/>
  <c r="Y762" i="1"/>
  <c r="Y763" i="1"/>
  <c r="Y764" i="1"/>
  <c r="Y765" i="1"/>
  <c r="Y766" i="1"/>
  <c r="Y767" i="1"/>
  <c r="Y768" i="1"/>
  <c r="Y769" i="1"/>
  <c r="Y770" i="1"/>
  <c r="Y771" i="1"/>
  <c r="Y772" i="1"/>
  <c r="Y773" i="1"/>
  <c r="Y774" i="1"/>
  <c r="Y775" i="1"/>
  <c r="Y776" i="1"/>
  <c r="Y777" i="1"/>
  <c r="Y778" i="1"/>
  <c r="Y779" i="1"/>
  <c r="Y780" i="1"/>
  <c r="Y781" i="1"/>
  <c r="Y782" i="1"/>
  <c r="Y783" i="1"/>
  <c r="Y784" i="1"/>
  <c r="Y785" i="1"/>
  <c r="Y786" i="1"/>
  <c r="Y787" i="1"/>
  <c r="Y788" i="1"/>
  <c r="Y789" i="1"/>
  <c r="Y790" i="1"/>
  <c r="Y791" i="1"/>
  <c r="Y792" i="1"/>
  <c r="Y793" i="1"/>
  <c r="Y794" i="1"/>
  <c r="Y795" i="1"/>
  <c r="Y796" i="1"/>
  <c r="Y797" i="1"/>
  <c r="Y798" i="1"/>
  <c r="Y799" i="1"/>
  <c r="Y800" i="1"/>
  <c r="Y801" i="1"/>
  <c r="Y802" i="1"/>
  <c r="Y803" i="1"/>
  <c r="Y804" i="1"/>
  <c r="Y805" i="1"/>
  <c r="Y806" i="1"/>
  <c r="Y807" i="1"/>
  <c r="Y808" i="1"/>
  <c r="Y809" i="1"/>
  <c r="Y810" i="1"/>
  <c r="Y811" i="1"/>
  <c r="Y812" i="1"/>
  <c r="Y813" i="1"/>
  <c r="Y814" i="1"/>
  <c r="Y815" i="1"/>
  <c r="Y816" i="1"/>
  <c r="Y817" i="1"/>
  <c r="Y818" i="1"/>
  <c r="Y819" i="1"/>
  <c r="Y820" i="1"/>
  <c r="Y821" i="1"/>
  <c r="Y822" i="1"/>
  <c r="Y823" i="1"/>
  <c r="Y824" i="1"/>
  <c r="Y825" i="1"/>
  <c r="Y826" i="1"/>
  <c r="Y827" i="1"/>
  <c r="Y828" i="1"/>
  <c r="Y829" i="1"/>
  <c r="Y830" i="1"/>
  <c r="Y831" i="1"/>
  <c r="Y832" i="1"/>
  <c r="Y833" i="1"/>
  <c r="Y834" i="1"/>
  <c r="Y835" i="1"/>
  <c r="Y836" i="1"/>
  <c r="Y837" i="1"/>
  <c r="Y838" i="1"/>
  <c r="Y839" i="1"/>
  <c r="Y840" i="1"/>
  <c r="Y841" i="1"/>
  <c r="Y842" i="1"/>
  <c r="Y843" i="1"/>
  <c r="Y844" i="1"/>
  <c r="Y845" i="1"/>
  <c r="Y846" i="1"/>
  <c r="Y847" i="1"/>
  <c r="Y848" i="1"/>
  <c r="Y849" i="1"/>
  <c r="Y850" i="1"/>
  <c r="Y851" i="1"/>
  <c r="Y852" i="1"/>
  <c r="Y853" i="1"/>
  <c r="Y854" i="1"/>
  <c r="Y855" i="1"/>
  <c r="Y856" i="1"/>
  <c r="Y857" i="1"/>
  <c r="Y858" i="1"/>
  <c r="Y859" i="1"/>
  <c r="Y860" i="1"/>
  <c r="Y861" i="1"/>
  <c r="Y862" i="1"/>
  <c r="Y863" i="1"/>
  <c r="Y864" i="1"/>
  <c r="Y865" i="1"/>
  <c r="Y866" i="1"/>
  <c r="Y867" i="1"/>
  <c r="Y868" i="1"/>
  <c r="Y869" i="1"/>
  <c r="Y870" i="1"/>
  <c r="Y871" i="1"/>
  <c r="Y872" i="1"/>
  <c r="Y873" i="1"/>
  <c r="Y874" i="1"/>
  <c r="Y875" i="1"/>
  <c r="Y876" i="1"/>
  <c r="Y877" i="1"/>
  <c r="Y878" i="1"/>
  <c r="Y879" i="1"/>
  <c r="Y880" i="1"/>
  <c r="Y881" i="1"/>
  <c r="Y882" i="1"/>
  <c r="Y883" i="1"/>
  <c r="Y884" i="1"/>
  <c r="Y885" i="1"/>
  <c r="Y886" i="1"/>
  <c r="Y887" i="1"/>
  <c r="Y888" i="1"/>
  <c r="Y889" i="1"/>
  <c r="Y890" i="1"/>
  <c r="Y891" i="1"/>
  <c r="Y892" i="1"/>
  <c r="Y893" i="1"/>
  <c r="Y894" i="1"/>
  <c r="Y895" i="1"/>
  <c r="Y896" i="1"/>
  <c r="Y897" i="1"/>
  <c r="Y898" i="1"/>
  <c r="Y899" i="1"/>
  <c r="Y900" i="1"/>
  <c r="Y901" i="1"/>
  <c r="Y902" i="1"/>
  <c r="Y903" i="1"/>
  <c r="Y904" i="1"/>
  <c r="Y905" i="1"/>
  <c r="Y906" i="1"/>
  <c r="Y907" i="1"/>
  <c r="Y908" i="1"/>
  <c r="Y909" i="1"/>
  <c r="Y910" i="1"/>
  <c r="Y911" i="1"/>
  <c r="Y912" i="1"/>
  <c r="Y913" i="1"/>
  <c r="Y914" i="1"/>
  <c r="Y915" i="1"/>
  <c r="Y916" i="1"/>
  <c r="Y917" i="1"/>
  <c r="Y918" i="1"/>
  <c r="Y919" i="1"/>
  <c r="Y920" i="1"/>
  <c r="Y921" i="1"/>
  <c r="Y922" i="1"/>
  <c r="Y923" i="1"/>
  <c r="Y924" i="1"/>
  <c r="Y925" i="1"/>
  <c r="Y926" i="1"/>
  <c r="Y927" i="1"/>
  <c r="Y928" i="1"/>
  <c r="Y929" i="1"/>
  <c r="Y930" i="1"/>
  <c r="Y931" i="1"/>
  <c r="Y932" i="1"/>
  <c r="Y933" i="1"/>
  <c r="Y934" i="1"/>
  <c r="Y935" i="1"/>
  <c r="Y936" i="1"/>
  <c r="Y937" i="1"/>
  <c r="Y938" i="1"/>
  <c r="Y939" i="1"/>
  <c r="Y940" i="1"/>
  <c r="Y941" i="1"/>
  <c r="Y942" i="1"/>
  <c r="Y943" i="1"/>
  <c r="Y944" i="1"/>
  <c r="Y945" i="1"/>
  <c r="Y946" i="1"/>
  <c r="Y947" i="1"/>
  <c r="Y948" i="1"/>
  <c r="Y949" i="1"/>
  <c r="Y950" i="1"/>
  <c r="Y951" i="1"/>
  <c r="Y952" i="1"/>
  <c r="Y953" i="1"/>
  <c r="Y954" i="1"/>
  <c r="Y955" i="1"/>
  <c r="Y956" i="1"/>
  <c r="Y957" i="1"/>
  <c r="Y958" i="1"/>
  <c r="Y959" i="1"/>
  <c r="Y960" i="1"/>
  <c r="Y961" i="1"/>
  <c r="Y962" i="1"/>
  <c r="Y963" i="1"/>
  <c r="Y964" i="1"/>
  <c r="Y965" i="1"/>
  <c r="Y966" i="1"/>
  <c r="Y967" i="1"/>
  <c r="Y968" i="1"/>
  <c r="Y969" i="1"/>
  <c r="Y970" i="1"/>
  <c r="Y971" i="1"/>
  <c r="Y972" i="1"/>
  <c r="Y973" i="1"/>
  <c r="Y974" i="1"/>
  <c r="Y975" i="1"/>
  <c r="Y976" i="1"/>
  <c r="Y977" i="1"/>
  <c r="Y978" i="1"/>
  <c r="Y979" i="1"/>
  <c r="Y980" i="1"/>
  <c r="Y981" i="1"/>
  <c r="Y982" i="1"/>
  <c r="Y983" i="1"/>
  <c r="Y984" i="1"/>
  <c r="Y985" i="1"/>
  <c r="Y986" i="1"/>
  <c r="Y987" i="1"/>
  <c r="Y988" i="1"/>
  <c r="Y989" i="1"/>
  <c r="Y990" i="1"/>
  <c r="Y991" i="1"/>
  <c r="Y992" i="1"/>
  <c r="Y993" i="1"/>
  <c r="Y994" i="1"/>
  <c r="Y995" i="1"/>
  <c r="Y996" i="1"/>
  <c r="Y997" i="1"/>
  <c r="Y998" i="1"/>
  <c r="Y999" i="1"/>
  <c r="Y1000" i="1"/>
  <c r="Y1001" i="1"/>
  <c r="Y2" i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4474DAA5-7CB2-4167-84DF-9849FA808E38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xr16:uid="{BC22D0F8-F3D9-4767-B11C-0C6815096A1E}" name="WorksheetConnection_Ecommerce_Consumer_Behavior_Ana!$A$1:$AD$1001" type="102" refreshedVersion="8" minRefreshableVersion="5">
    <extLst>
      <ext xmlns:x15="http://schemas.microsoft.com/office/spreadsheetml/2010/11/main" uri="{DE250136-89BD-433C-8126-D09CA5730AF9}">
        <x15:connection id="Range" autoDelete="1">
          <x15:rangePr sourceName="_xlcn.WorksheetConnection_Ecommerce_Consumer_Behavior_AnaA1AD10011"/>
        </x15:connection>
      </ext>
    </extLst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<sst xmlns="http://schemas.openxmlformats.org/spreadsheetml/2006/main" count="16119" uniqueCount="2090">
  <si>
    <t>Customer_ID</t>
  </si>
  <si>
    <t>Age</t>
  </si>
  <si>
    <t>Gender</t>
  </si>
  <si>
    <t>Income_Level</t>
  </si>
  <si>
    <t>Marital_Status</t>
  </si>
  <si>
    <t>Education_Level</t>
  </si>
  <si>
    <t>Occupation</t>
  </si>
  <si>
    <t>Location</t>
  </si>
  <si>
    <t>Purchase_Category</t>
  </si>
  <si>
    <t>Purchase_Amount</t>
  </si>
  <si>
    <t>Frequency_of_Purchase</t>
  </si>
  <si>
    <t>Purchase_Channel</t>
  </si>
  <si>
    <t>Brand_Loyalty</t>
  </si>
  <si>
    <t>Product_Rating</t>
  </si>
  <si>
    <t>Time_Spent_on_Product_Research(hours)</t>
  </si>
  <si>
    <t>Social_Media_Influence</t>
  </si>
  <si>
    <t>Discount_Sensitivity</t>
  </si>
  <si>
    <t>Return_Rate</t>
  </si>
  <si>
    <t>Customer_Satisfaction</t>
  </si>
  <si>
    <t>Engagement_with_Ads</t>
  </si>
  <si>
    <t>Device_Used_for_Shopping</t>
  </si>
  <si>
    <t>Payment_Method</t>
  </si>
  <si>
    <t>Time_of_Purchase</t>
  </si>
  <si>
    <t>Discount_Used</t>
  </si>
  <si>
    <t>Customer_Loyalty_Program_Member</t>
  </si>
  <si>
    <t>Purchase_Intent</t>
  </si>
  <si>
    <t>Shipping_Preference</t>
  </si>
  <si>
    <t>Time_to_Decision</t>
  </si>
  <si>
    <t>37-611-6911</t>
  </si>
  <si>
    <t>Female</t>
  </si>
  <si>
    <t>Middle</t>
  </si>
  <si>
    <t>Married</t>
  </si>
  <si>
    <t>Bachelor's</t>
  </si>
  <si>
    <t>Ã‰vry</t>
  </si>
  <si>
    <t>Gardening &amp; Outdoors</t>
  </si>
  <si>
    <t>Mixed</t>
  </si>
  <si>
    <t>None</t>
  </si>
  <si>
    <t>Somewhat Sensitive</t>
  </si>
  <si>
    <t>Tablet</t>
  </si>
  <si>
    <t>Credit Card</t>
  </si>
  <si>
    <t>Need-based</t>
  </si>
  <si>
    <t>No Preference</t>
  </si>
  <si>
    <t>29-392-9296</t>
  </si>
  <si>
    <t>Male</t>
  </si>
  <si>
    <t>High</t>
  </si>
  <si>
    <t>High School</t>
  </si>
  <si>
    <t>Huocheng</t>
  </si>
  <si>
    <t>Food &amp; Beverages</t>
  </si>
  <si>
    <t>In-Store</t>
  </si>
  <si>
    <t>Medium</t>
  </si>
  <si>
    <t>Not Sensitive</t>
  </si>
  <si>
    <t>PayPal</t>
  </si>
  <si>
    <t>Wants-based</t>
  </si>
  <si>
    <t>Standard</t>
  </si>
  <si>
    <t>84-649-5117</t>
  </si>
  <si>
    <t>Single</t>
  </si>
  <si>
    <t>Master's</t>
  </si>
  <si>
    <t>Huzhen</t>
  </si>
  <si>
    <t>Office Supplies</t>
  </si>
  <si>
    <t>Low</t>
  </si>
  <si>
    <t>Smartphone</t>
  </si>
  <si>
    <t>Debit Card</t>
  </si>
  <si>
    <t>Impulsive</t>
  </si>
  <si>
    <t>48-980-6078</t>
  </si>
  <si>
    <t>WiwilÃ­</t>
  </si>
  <si>
    <t>Home Appliances</t>
  </si>
  <si>
    <t>Other</t>
  </si>
  <si>
    <t>Express</t>
  </si>
  <si>
    <t>91-170-9072</t>
  </si>
  <si>
    <t>Widowed</t>
  </si>
  <si>
    <t>Nara</t>
  </si>
  <si>
    <t>Furniture</t>
  </si>
  <si>
    <t>82-561-4233</t>
  </si>
  <si>
    <t>Boro Utara</t>
  </si>
  <si>
    <t>Planned</t>
  </si>
  <si>
    <t>90-144-9193</t>
  </si>
  <si>
    <t>Divorced</t>
  </si>
  <si>
    <t>Liren</t>
  </si>
  <si>
    <t>Online</t>
  </si>
  <si>
    <t>Desktop</t>
  </si>
  <si>
    <t>88-661-4689</t>
  </si>
  <si>
    <t>Taocheng</t>
  </si>
  <si>
    <t>Books</t>
  </si>
  <si>
    <t>37-065-3182</t>
  </si>
  <si>
    <t>GrÃ¥bo</t>
  </si>
  <si>
    <t>Very Sensitive</t>
  </si>
  <si>
    <t>Cash</t>
  </si>
  <si>
    <t>84-894-9222</t>
  </si>
  <si>
    <t>Bigender</t>
  </si>
  <si>
    <t>Pryamitsyno</t>
  </si>
  <si>
    <t>Sports &amp; Outdoors</t>
  </si>
  <si>
    <t>44-674-4037</t>
  </si>
  <si>
    <t>Punta Gorda</t>
  </si>
  <si>
    <t>Mobile Accessories</t>
  </si>
  <si>
    <t>78-116-8349</t>
  </si>
  <si>
    <t>GyÅ‘r</t>
  </si>
  <si>
    <t>19-933-8095</t>
  </si>
  <si>
    <t>Gaosheng</t>
  </si>
  <si>
    <t>Luxury Goods</t>
  </si>
  <si>
    <t>80-684-5072</t>
  </si>
  <si>
    <t>Rokytne</t>
  </si>
  <si>
    <t>Animal Feed</t>
  </si>
  <si>
    <t>23-302-7502</t>
  </si>
  <si>
    <t>Alameda</t>
  </si>
  <si>
    <t>Health Care</t>
  </si>
  <si>
    <t>90-069-8934</t>
  </si>
  <si>
    <t>DhankutÄ</t>
  </si>
  <si>
    <t>Hotels</t>
  </si>
  <si>
    <t>45-073-7243</t>
  </si>
  <si>
    <t>Jindong</t>
  </si>
  <si>
    <t>89-883-2101</t>
  </si>
  <si>
    <t>Ngeru</t>
  </si>
  <si>
    <t>00-477-9449</t>
  </si>
  <si>
    <t>White Rock</t>
  </si>
  <si>
    <t>Packages)</t>
  </si>
  <si>
    <t>67-159-7366</t>
  </si>
  <si>
    <t>Monastyrshchina</t>
  </si>
  <si>
    <t>Electronics</t>
  </si>
  <si>
    <t>85-691-4293</t>
  </si>
  <si>
    <t>Pangkalanbunut</t>
  </si>
  <si>
    <t>Software &amp; Apps</t>
  </si>
  <si>
    <t>56-085-0464</t>
  </si>
  <si>
    <t>Lederaba</t>
  </si>
  <si>
    <t>Baby Products</t>
  </si>
  <si>
    <t>33-264-2822</t>
  </si>
  <si>
    <t>Lugo</t>
  </si>
  <si>
    <t>Toys &amp; Games</t>
  </si>
  <si>
    <t>95-478-2650</t>
  </si>
  <si>
    <t>SÃ£o Roque</t>
  </si>
  <si>
    <t>04-349-6759</t>
  </si>
  <si>
    <t>BanÄ« KhaddÄsh</t>
  </si>
  <si>
    <t>21-755-8745</t>
  </si>
  <si>
    <t>Montpellier</t>
  </si>
  <si>
    <t>29-625-7057</t>
  </si>
  <si>
    <t>Nesovice</t>
  </si>
  <si>
    <t>Arts &amp; Crafts</t>
  </si>
  <si>
    <t>58-623-8404</t>
  </si>
  <si>
    <t>Pasirhuni</t>
  </si>
  <si>
    <t>56-506-4709</t>
  </si>
  <si>
    <t>Glendale</t>
  </si>
  <si>
    <t>25-839-8670</t>
  </si>
  <si>
    <t>TÃ¡la</t>
  </si>
  <si>
    <t>Health Supplements</t>
  </si>
  <si>
    <t>89-194-0596</t>
  </si>
  <si>
    <t>Marseille</t>
  </si>
  <si>
    <t>55-163-1389</t>
  </si>
  <si>
    <t>Nasielsk</t>
  </si>
  <si>
    <t>28-225-4286</t>
  </si>
  <si>
    <t>Genderfluid</t>
  </si>
  <si>
    <t>Paris 06</t>
  </si>
  <si>
    <t>14-305-8712</t>
  </si>
  <si>
    <t>Bronnitsy</t>
  </si>
  <si>
    <t>85-738-6864</t>
  </si>
  <si>
    <t>Inayauan</t>
  </si>
  <si>
    <t>17-198-5155</t>
  </si>
  <si>
    <t>Qianjin</t>
  </si>
  <si>
    <t>15-354-9904</t>
  </si>
  <si>
    <t>Bagahanlad</t>
  </si>
  <si>
    <t>Groceries</t>
  </si>
  <si>
    <t>35-198-9248</t>
  </si>
  <si>
    <t>Rzewnie</t>
  </si>
  <si>
    <t>03-950-6074</t>
  </si>
  <si>
    <t>Strabychovo</t>
  </si>
  <si>
    <t>19-999-0134</t>
  </si>
  <si>
    <t>Hongqi</t>
  </si>
  <si>
    <t>57-989-1487</t>
  </si>
  <si>
    <t>Oeoh</t>
  </si>
  <si>
    <t>07-816-2673</t>
  </si>
  <si>
    <t>Topolâ€™noye</t>
  </si>
  <si>
    <t>70-761-3550</t>
  </si>
  <si>
    <t>KovÃ¡Å™ov</t>
  </si>
  <si>
    <t>38-242-3251</t>
  </si>
  <si>
    <t>Majdal BanÄ« FÄá¸‘il</t>
  </si>
  <si>
    <t>95-525-0842</t>
  </si>
  <si>
    <t>Delta del Tigre</t>
  </si>
  <si>
    <t>37-101-4922</t>
  </si>
  <si>
    <t>Santa Cruz La Laguna</t>
  </si>
  <si>
    <t>37-128-5425</t>
  </si>
  <si>
    <t>Manchester</t>
  </si>
  <si>
    <t>27-439-9545</t>
  </si>
  <si>
    <t>NorrkÃ¶ping</t>
  </si>
  <si>
    <t>37-126-7954</t>
  </si>
  <si>
    <t>SoÅ›no</t>
  </si>
  <si>
    <t>Clothing</t>
  </si>
  <si>
    <t>82-990-0504</t>
  </si>
  <si>
    <t>PÃ©lla</t>
  </si>
  <si>
    <t>21-734-0212</t>
  </si>
  <si>
    <t>Namur</t>
  </si>
  <si>
    <t>Beauty &amp; Personal Care</t>
  </si>
  <si>
    <t>76-148-9413</t>
  </si>
  <si>
    <t>Non-binary</t>
  </si>
  <si>
    <t>Benevides</t>
  </si>
  <si>
    <t>53-639-3774</t>
  </si>
  <si>
    <t>Qinghaihu</t>
  </si>
  <si>
    <t>Travel &amp; Leisure (Flights</t>
  </si>
  <si>
    <t>20-817-9584</t>
  </si>
  <si>
    <t>AlfeizerÃ£o</t>
  </si>
  <si>
    <t>18-655-3670</t>
  </si>
  <si>
    <t>ProstÅ™ednÃ­ BeÄva</t>
  </si>
  <si>
    <t>72-431-5021</t>
  </si>
  <si>
    <t>Oeiras</t>
  </si>
  <si>
    <t>07-479-3919</t>
  </si>
  <si>
    <t>KÃ½thnos</t>
  </si>
  <si>
    <t>17-032-6274</t>
  </si>
  <si>
    <t>Rizal</t>
  </si>
  <si>
    <t>64-166-9097</t>
  </si>
  <si>
    <t>Fullerton</t>
  </si>
  <si>
    <t>39-499-3854</t>
  </si>
  <si>
    <t>Huaidao</t>
  </si>
  <si>
    <t>39-636-5871</t>
  </si>
  <si>
    <t>Bilice</t>
  </si>
  <si>
    <t>71-667-2334</t>
  </si>
  <si>
    <t>Polygender</t>
  </si>
  <si>
    <t>Isla Verde</t>
  </si>
  <si>
    <t>35-192-9050</t>
  </si>
  <si>
    <t>Hunkuyi</t>
  </si>
  <si>
    <t>91-440-0011</t>
  </si>
  <si>
    <t>Shiree</t>
  </si>
  <si>
    <t>20-830-4758</t>
  </si>
  <si>
    <t>Strezhevoy</t>
  </si>
  <si>
    <t>84-337-1016</t>
  </si>
  <si>
    <t>Longxing</t>
  </si>
  <si>
    <t>09-346-4992</t>
  </si>
  <si>
    <t>JesÃºs MenÃ©ndez</t>
  </si>
  <si>
    <t>75-083-3608</t>
  </si>
  <si>
    <t>Hongguang</t>
  </si>
  <si>
    <t>29-779-7209</t>
  </si>
  <si>
    <t>Pilaya</t>
  </si>
  <si>
    <t>12-409-5166</t>
  </si>
  <si>
    <t>Camp Ithier</t>
  </si>
  <si>
    <t>07-024-4995</t>
  </si>
  <si>
    <t>Holboo</t>
  </si>
  <si>
    <t>74-478-5950</t>
  </si>
  <si>
    <t>Luxi</t>
  </si>
  <si>
    <t>31-395-1286</t>
  </si>
  <si>
    <t>Ostashkov</t>
  </si>
  <si>
    <t>60-838-4334</t>
  </si>
  <si>
    <t>Hongshanzui</t>
  </si>
  <si>
    <t>71-197-8227</t>
  </si>
  <si>
    <t>Tocoa</t>
  </si>
  <si>
    <t>15-530-3861</t>
  </si>
  <si>
    <t>Bayan Tuohai</t>
  </si>
  <si>
    <t>30-567-4471</t>
  </si>
  <si>
    <t>Parumasan</t>
  </si>
  <si>
    <t>04-465-1819</t>
  </si>
  <si>
    <t>Karpogory</t>
  </si>
  <si>
    <t>Jewelry &amp; Accessories</t>
  </si>
  <si>
    <t>69-692-0614</t>
  </si>
  <si>
    <t>ShÄhzÄdpur</t>
  </si>
  <si>
    <t>12-839-8066</t>
  </si>
  <si>
    <t>Muaratiga</t>
  </si>
  <si>
    <t>05-465-8765</t>
  </si>
  <si>
    <t>Gjegjan</t>
  </si>
  <si>
    <t>81-580-3810</t>
  </si>
  <si>
    <t>CrÃ©teil</t>
  </si>
  <si>
    <t>74-353-6312</t>
  </si>
  <si>
    <t>Pameungpeuk</t>
  </si>
  <si>
    <t>78-824-1887</t>
  </si>
  <si>
    <t>Junshan</t>
  </si>
  <si>
    <t>31-218-0024</t>
  </si>
  <si>
    <t>Lewotola</t>
  </si>
  <si>
    <t>15-711-4107</t>
  </si>
  <si>
    <t>Laocheng</t>
  </si>
  <si>
    <t>76-672-1193</t>
  </si>
  <si>
    <t>GuacarÃ­</t>
  </si>
  <si>
    <t>46-503-5589</t>
  </si>
  <si>
    <t>Sancang</t>
  </si>
  <si>
    <t>87-499-6916</t>
  </si>
  <si>
    <t>Ndewel</t>
  </si>
  <si>
    <t>30-520-8656</t>
  </si>
  <si>
    <t>San Patricio</t>
  </si>
  <si>
    <t>36-323-3504</t>
  </si>
  <si>
    <t>Fengtai</t>
  </si>
  <si>
    <t>93-810-4051</t>
  </si>
  <si>
    <t>Agender</t>
  </si>
  <si>
    <t>á¸awrÄn ad Daydah</t>
  </si>
  <si>
    <t>66-515-3648</t>
  </si>
  <si>
    <t>Magdalena</t>
  </si>
  <si>
    <t>09-216-1957</t>
  </si>
  <si>
    <t>LeÅ›nica</t>
  </si>
  <si>
    <t>23-253-2565</t>
  </si>
  <si>
    <t>Hinlayagan Ilaud</t>
  </si>
  <si>
    <t>74-509-4985</t>
  </si>
  <si>
    <t>Forshaga</t>
  </si>
  <si>
    <t>05-857-1572</t>
  </si>
  <si>
    <t>Rakszawa</t>
  </si>
  <si>
    <t>26-521-8328</t>
  </si>
  <si>
    <t>Fengjiang</t>
  </si>
  <si>
    <t>31-147-6197</t>
  </si>
  <si>
    <t>Jiangcun</t>
  </si>
  <si>
    <t>90-093-0469</t>
  </si>
  <si>
    <t>ÅŒkuchi</t>
  </si>
  <si>
    <t>38-935-1865</t>
  </si>
  <si>
    <t>Novoukrainskiy</t>
  </si>
  <si>
    <t>75-953-8663</t>
  </si>
  <si>
    <t>Acobambilla</t>
  </si>
  <si>
    <t>38-478-2681</t>
  </si>
  <si>
    <t>Kyonju</t>
  </si>
  <si>
    <t>70-895-5298</t>
  </si>
  <si>
    <t>Pomar</t>
  </si>
  <si>
    <t>02-653-5884</t>
  </si>
  <si>
    <t>ZalÅ£an</t>
  </si>
  <si>
    <t>11-719-8800</t>
  </si>
  <si>
    <t>TrÃ©lazÃ©</t>
  </si>
  <si>
    <t>59-355-5251</t>
  </si>
  <si>
    <t>Messina</t>
  </si>
  <si>
    <t>82-572-9091</t>
  </si>
  <si>
    <t>MrÄ…gowo</t>
  </si>
  <si>
    <t>86-044-1071</t>
  </si>
  <si>
    <t>Ngawi</t>
  </si>
  <si>
    <t>08-733-0300</t>
  </si>
  <si>
    <t>Oslo</t>
  </si>
  <si>
    <t>70-108-1493</t>
  </si>
  <si>
    <t>Dobrica</t>
  </si>
  <si>
    <t>46-230-8307</t>
  </si>
  <si>
    <t>La Roche-sur-Yon</t>
  </si>
  <si>
    <t>74-431-0242</t>
  </si>
  <si>
    <t>Point Pedro</t>
  </si>
  <si>
    <t>78-272-6417</t>
  </si>
  <si>
    <t>13-792-4356</t>
  </si>
  <si>
    <t>Tianbao</t>
  </si>
  <si>
    <t>04-563-9091</t>
  </si>
  <si>
    <t>Puqian</t>
  </si>
  <si>
    <t>79-592-5396</t>
  </si>
  <si>
    <t>Binalbagan</t>
  </si>
  <si>
    <t>39-952-4459</t>
  </si>
  <si>
    <t>Tessalit</t>
  </si>
  <si>
    <t>67-935-7964</t>
  </si>
  <si>
    <t>Nikolayevsk</t>
  </si>
  <si>
    <t>26-828-2720</t>
  </si>
  <si>
    <t>Dashuipo</t>
  </si>
  <si>
    <t>57-410-7415</t>
  </si>
  <si>
    <t>TÃ½n nad Vltavou</t>
  </si>
  <si>
    <t>62-989-8214</t>
  </si>
  <si>
    <t>Kaum Kaler</t>
  </si>
  <si>
    <t>73-827-2774</t>
  </si>
  <si>
    <t>Gandapura</t>
  </si>
  <si>
    <t>19-643-1879</t>
  </si>
  <si>
    <t>Kawangkoan</t>
  </si>
  <si>
    <t>57-345-3921</t>
  </si>
  <si>
    <t>Mondorf-les-Bains</t>
  </si>
  <si>
    <t>98-817-6731</t>
  </si>
  <si>
    <t>Manwakh</t>
  </si>
  <si>
    <t>31-788-0864</t>
  </si>
  <si>
    <t>Karlstad</t>
  </si>
  <si>
    <t>27-806-4972</t>
  </si>
  <si>
    <t>Obong</t>
  </si>
  <si>
    <t>48-343-1220</t>
  </si>
  <si>
    <t>Kolsko</t>
  </si>
  <si>
    <t>15-640-6493</t>
  </si>
  <si>
    <t>DÄlbandÄ«n</t>
  </si>
  <si>
    <t>64-846-7450</t>
  </si>
  <si>
    <t>Genderqueer</t>
  </si>
  <si>
    <t>Shazi</t>
  </si>
  <si>
    <t>58-788-8938</t>
  </si>
  <si>
    <t>HachiÅji</t>
  </si>
  <si>
    <t>52-240-3825</t>
  </si>
  <si>
    <t>Jolo</t>
  </si>
  <si>
    <t>60-618-2561</t>
  </si>
  <si>
    <t>Pedra Azul</t>
  </si>
  <si>
    <t>94-969-6819</t>
  </si>
  <si>
    <t>Gustavsberg</t>
  </si>
  <si>
    <t>76-982-8107</t>
  </si>
  <si>
    <t>La Mohammedia</t>
  </si>
  <si>
    <t>52-779-8972</t>
  </si>
  <si>
    <t>Florida</t>
  </si>
  <si>
    <t>40-520-3271</t>
  </si>
  <si>
    <t>Zhongcheng</t>
  </si>
  <si>
    <t>79-884-5600</t>
  </si>
  <si>
    <t>Goiatuba</t>
  </si>
  <si>
    <t>80-607-9947</t>
  </si>
  <si>
    <t>Krajan Kidul Rojopolo</t>
  </si>
  <si>
    <t>87-290-8263</t>
  </si>
  <si>
    <t>Metchosin</t>
  </si>
  <si>
    <t>99-316-9993</t>
  </si>
  <si>
    <t>Staritsa</t>
  </si>
  <si>
    <t>54-164-2243</t>
  </si>
  <si>
    <t>Benito Juarez</t>
  </si>
  <si>
    <t>14-784-5606</t>
  </si>
  <si>
    <t>ManÃ­</t>
  </si>
  <si>
    <t>47-992-7446</t>
  </si>
  <si>
    <t>Vitali</t>
  </si>
  <si>
    <t>37-513-5073</t>
  </si>
  <si>
    <t>Mizque</t>
  </si>
  <si>
    <t>93-473-7248</t>
  </si>
  <si>
    <t>Zgornje PirniÄe</t>
  </si>
  <si>
    <t>72-830-1211</t>
  </si>
  <si>
    <t>Cipolletti</t>
  </si>
  <si>
    <t>87-934-6762</t>
  </si>
  <si>
    <t>SollefteÃ¥</t>
  </si>
  <si>
    <t>71-975-9564</t>
  </si>
  <si>
    <t>Klonowa</t>
  </si>
  <si>
    <t>40-232-5631</t>
  </si>
  <si>
    <t>Suvorov</t>
  </si>
  <si>
    <t>22-414-4955</t>
  </si>
  <si>
    <t>Dragash</t>
  </si>
  <si>
    <t>99-089-1930</t>
  </si>
  <si>
    <t>Freiburg im Breisgau</t>
  </si>
  <si>
    <t>62-198-2511</t>
  </si>
  <si>
    <t>Macau</t>
  </si>
  <si>
    <t>21-297-1223</t>
  </si>
  <si>
    <t>Pancas</t>
  </si>
  <si>
    <t>10-961-9336</t>
  </si>
  <si>
    <t>Dayapan</t>
  </si>
  <si>
    <t>71-473-2656</t>
  </si>
  <si>
    <t>Gordon Town</t>
  </si>
  <si>
    <t>84-954-2973</t>
  </si>
  <si>
    <t>Proptisht</t>
  </si>
  <si>
    <t>22-382-9636</t>
  </si>
  <si>
    <t>Kamal</t>
  </si>
  <si>
    <t>89-724-2536</t>
  </si>
  <si>
    <t>Kouvola</t>
  </si>
  <si>
    <t>85-391-1888</t>
  </si>
  <si>
    <t>Zhongdong</t>
  </si>
  <si>
    <t>84-934-2483</t>
  </si>
  <si>
    <t>Betong</t>
  </si>
  <si>
    <t>96-229-1698</t>
  </si>
  <si>
    <t>Jinping</t>
  </si>
  <si>
    <t>36-948-6994</t>
  </si>
  <si>
    <t>Mgachi</t>
  </si>
  <si>
    <t>43-172-9431</t>
  </si>
  <si>
    <t>Lameira</t>
  </si>
  <si>
    <t>53-690-5759</t>
  </si>
  <si>
    <t>Medicine Hat</t>
  </si>
  <si>
    <t>00-496-3067</t>
  </si>
  <si>
    <t>10-330-6387</t>
  </si>
  <si>
    <t>YenikÃ¶y</t>
  </si>
  <si>
    <t>87-590-8963</t>
  </si>
  <si>
    <t>Peer</t>
  </si>
  <si>
    <t>47-931-2642</t>
  </si>
  <si>
    <t>BelÅ«sovka</t>
  </si>
  <si>
    <t>76-501-6422</t>
  </si>
  <si>
    <t>Houston</t>
  </si>
  <si>
    <t>39-274-2175</t>
  </si>
  <si>
    <t>Hengdian</t>
  </si>
  <si>
    <t>62-493-5282</t>
  </si>
  <si>
    <t>Shuigou</t>
  </si>
  <si>
    <t>18-841-7253</t>
  </si>
  <si>
    <t>Xingxi</t>
  </si>
  <si>
    <t>18-097-5707</t>
  </si>
  <si>
    <t>DhÄ«bÄ«n</t>
  </si>
  <si>
    <t>83-792-5141</t>
  </si>
  <si>
    <t>Chengguan</t>
  </si>
  <si>
    <t>65-036-2410</t>
  </si>
  <si>
    <t>Paris 09</t>
  </si>
  <si>
    <t>67-593-9579</t>
  </si>
  <si>
    <t>Rozhdestveno</t>
  </si>
  <si>
    <t>33-484-6674</t>
  </si>
  <si>
    <t>Porangatu</t>
  </si>
  <si>
    <t>65-249-5416</t>
  </si>
  <si>
    <t>Shalkar</t>
  </si>
  <si>
    <t>17-328-4678</t>
  </si>
  <si>
    <t>Quimbaya</t>
  </si>
  <si>
    <t>00-733-8770</t>
  </si>
  <si>
    <t>Narok</t>
  </si>
  <si>
    <t>47-501-3435</t>
  </si>
  <si>
    <t>Gimcheon</t>
  </si>
  <si>
    <t>46-779-7065</t>
  </si>
  <si>
    <t>Visaginas</t>
  </si>
  <si>
    <t>91-603-1565</t>
  </si>
  <si>
    <t>Shostka</t>
  </si>
  <si>
    <t>35-122-5020</t>
  </si>
  <si>
    <t>Pukekohe East</t>
  </si>
  <si>
    <t>63-684-4073</t>
  </si>
  <si>
    <t>Blokdesa Situgede</t>
  </si>
  <si>
    <t>74-483-2893</t>
  </si>
  <si>
    <t>Yueyang</t>
  </si>
  <si>
    <t>72-728-4406</t>
  </si>
  <si>
    <t>Liutan</t>
  </si>
  <si>
    <t>13-588-2488</t>
  </si>
  <si>
    <t>Huanggang</t>
  </si>
  <si>
    <t>79-861-6506</t>
  </si>
  <si>
    <t>BaturitÃ©</t>
  </si>
  <si>
    <t>66-974-6707</t>
  </si>
  <si>
    <t>Miâ€™ersi</t>
  </si>
  <si>
    <t>95-112-6724</t>
  </si>
  <si>
    <t>Xuedian</t>
  </si>
  <si>
    <t>27-262-6874</t>
  </si>
  <si>
    <t>Yuyapichis</t>
  </si>
  <si>
    <t>92-908-5062</t>
  </si>
  <si>
    <t>Shiroishi</t>
  </si>
  <si>
    <t>70-014-6406</t>
  </si>
  <si>
    <t>Kobe</t>
  </si>
  <si>
    <t>52-908-9971</t>
  </si>
  <si>
    <t>Gulou</t>
  </si>
  <si>
    <t>57-623-5362</t>
  </si>
  <si>
    <t>Jilin</t>
  </si>
  <si>
    <t>48-315-0196</t>
  </si>
  <si>
    <t>Balboa</t>
  </si>
  <si>
    <t>71-959-3896</t>
  </si>
  <si>
    <t>Cipari</t>
  </si>
  <si>
    <t>29-987-3969</t>
  </si>
  <si>
    <t>Orlando</t>
  </si>
  <si>
    <t>78-613-1546</t>
  </si>
  <si>
    <t>Torsby</t>
  </si>
  <si>
    <t>43-664-4451</t>
  </si>
  <si>
    <t>San Pablo</t>
  </si>
  <si>
    <t>34-095-3364</t>
  </si>
  <si>
    <t>Daszewice</t>
  </si>
  <si>
    <t>72-393-6893</t>
  </si>
  <si>
    <t>Villa ConcepciÃ³n del TÃ­o</t>
  </si>
  <si>
    <t>73-707-2809</t>
  </si>
  <si>
    <t>Hacienda La Calera</t>
  </si>
  <si>
    <t>04-609-7885</t>
  </si>
  <si>
    <t>73-139-4306</t>
  </si>
  <si>
    <t>Puerto LÃ³pez</t>
  </si>
  <si>
    <t>23-794-8196</t>
  </si>
  <si>
    <t>Xinchengzi</t>
  </si>
  <si>
    <t>66-050-6391</t>
  </si>
  <si>
    <t>TecpÃ¡n Guatemala</t>
  </si>
  <si>
    <t>22-311-5460</t>
  </si>
  <si>
    <t>51-917-0766</t>
  </si>
  <si>
    <t>Araci</t>
  </si>
  <si>
    <t>53-013-1026</t>
  </si>
  <si>
    <t>Duyure</t>
  </si>
  <si>
    <t>29-779-3457</t>
  </si>
  <si>
    <t>Huangni</t>
  </si>
  <si>
    <t>18-047-5540</t>
  </si>
  <si>
    <t>Kuala Lumpur</t>
  </si>
  <si>
    <t>89-438-5310</t>
  </si>
  <si>
    <t>SeleuÅ¡</t>
  </si>
  <si>
    <t>23-985-3535</t>
  </si>
  <si>
    <t>Monrovia</t>
  </si>
  <si>
    <t>67-939-2463</t>
  </si>
  <si>
    <t>Kristinehamn</t>
  </si>
  <si>
    <t>03-623-6767</t>
  </si>
  <si>
    <t>Huancabamba</t>
  </si>
  <si>
    <t>86-749-6914</t>
  </si>
  <si>
    <t>San JosÃ© Acatempa</t>
  </si>
  <si>
    <t>03-977-8103</t>
  </si>
  <si>
    <t>Quebrada Canoa</t>
  </si>
  <si>
    <t>03-827-4021</t>
  </si>
  <si>
    <t>Moate</t>
  </si>
  <si>
    <t>68-507-4747</t>
  </si>
  <si>
    <t>Kubangwaru</t>
  </si>
  <si>
    <t>73-942-8440</t>
  </si>
  <si>
    <t>ÐœÐ°Ñ€Ð¸Ð½Ð¾</t>
  </si>
  <si>
    <t>21-821-6398</t>
  </si>
  <si>
    <t>Xinquan</t>
  </si>
  <si>
    <t>64-641-7874</t>
  </si>
  <si>
    <t>Providence</t>
  </si>
  <si>
    <t>53-459-7870</t>
  </si>
  <si>
    <t>Autun</t>
  </si>
  <si>
    <t>36-240-3240</t>
  </si>
  <si>
    <t>Shilin</t>
  </si>
  <si>
    <t>54-936-4361</t>
  </si>
  <si>
    <t>Paris 17</t>
  </si>
  <si>
    <t>67-209-0990</t>
  </si>
  <si>
    <t>Stoczek Åukowski</t>
  </si>
  <si>
    <t>19-667-0201</t>
  </si>
  <si>
    <t>Ormstown</t>
  </si>
  <si>
    <t>36-274-5269</t>
  </si>
  <si>
    <t>Ponte</t>
  </si>
  <si>
    <t>09-948-3150</t>
  </si>
  <si>
    <t>Boshkengash</t>
  </si>
  <si>
    <t>19-873-9468</t>
  </si>
  <si>
    <t>Äáº¡ Táº»h</t>
  </si>
  <si>
    <t>37-748-4988</t>
  </si>
  <si>
    <t>RadÄâ€˜</t>
  </si>
  <si>
    <t>08-755-1170</t>
  </si>
  <si>
    <t>Sinarwangi</t>
  </si>
  <si>
    <t>07-402-7433</t>
  </si>
  <si>
    <t>Dagup</t>
  </si>
  <si>
    <t>60-073-3575</t>
  </si>
  <si>
    <t>EÅ‚k</t>
  </si>
  <si>
    <t>97-237-3483</t>
  </si>
  <si>
    <t>Moju</t>
  </si>
  <si>
    <t>93-675-1619</t>
  </si>
  <si>
    <t>VÃ­lia</t>
  </si>
  <si>
    <t>43-884-2577</t>
  </si>
  <si>
    <t>Prince Rupert</t>
  </si>
  <si>
    <t>33-200-7615</t>
  </si>
  <si>
    <t>Jiangmen</t>
  </si>
  <si>
    <t>63-631-8261</t>
  </si>
  <si>
    <t>Alung</t>
  </si>
  <si>
    <t>34-016-7909</t>
  </si>
  <si>
    <t>Osorno</t>
  </si>
  <si>
    <t>82-304-6495</t>
  </si>
  <si>
    <t>Labo</t>
  </si>
  <si>
    <t>70-207-6999</t>
  </si>
  <si>
    <t>Dakingari</t>
  </si>
  <si>
    <t>71-780-8195</t>
  </si>
  <si>
    <t>Selasari</t>
  </si>
  <si>
    <t>93-356-8589</t>
  </si>
  <si>
    <t>Besko</t>
  </si>
  <si>
    <t>92-142-9480</t>
  </si>
  <si>
    <t>Aubergenville</t>
  </si>
  <si>
    <t>53-042-5685</t>
  </si>
  <si>
    <t>Sula</t>
  </si>
  <si>
    <t>35-853-2222</t>
  </si>
  <si>
    <t>Valongo</t>
  </si>
  <si>
    <t>83-670-9273</t>
  </si>
  <si>
    <t>Al KhÄnkah</t>
  </si>
  <si>
    <t>37-783-6086</t>
  </si>
  <si>
    <t>MÃ©rtola</t>
  </si>
  <si>
    <t>79-902-8144</t>
  </si>
  <si>
    <t>Rates</t>
  </si>
  <si>
    <t>41-009-7879</t>
  </si>
  <si>
    <t>Anyang</t>
  </si>
  <si>
    <t>89-302-8461</t>
  </si>
  <si>
    <t>Nymburk</t>
  </si>
  <si>
    <t>23-066-1915</t>
  </si>
  <si>
    <t>39-090-0124</t>
  </si>
  <si>
    <t>Tafo</t>
  </si>
  <si>
    <t>41-854-0707</t>
  </si>
  <si>
    <t>Cibaregbeg</t>
  </si>
  <si>
    <t>04-352-1558</t>
  </si>
  <si>
    <t>Wang Yang</t>
  </si>
  <si>
    <t>93-867-8303</t>
  </si>
  <si>
    <t>Liangnong</t>
  </si>
  <si>
    <t>31-088-6950</t>
  </si>
  <si>
    <t>Hengshi</t>
  </si>
  <si>
    <t>43-616-8365</t>
  </si>
  <si>
    <t>Kandangan</t>
  </si>
  <si>
    <t>71-876-9118</t>
  </si>
  <si>
    <t>Naranjal</t>
  </si>
  <si>
    <t>18-263-0366</t>
  </si>
  <si>
    <t>Abiko</t>
  </si>
  <si>
    <t>25-502-1415</t>
  </si>
  <si>
    <t>Longhuashan</t>
  </si>
  <si>
    <t>50-000-9588</t>
  </si>
  <si>
    <t>Zhovkva</t>
  </si>
  <si>
    <t>32-338-5967</t>
  </si>
  <si>
    <t>Lebak</t>
  </si>
  <si>
    <t>19-311-9149</t>
  </si>
  <si>
    <t>Gereshk</t>
  </si>
  <si>
    <t>94-212-7169</t>
  </si>
  <si>
    <t>Yonghe</t>
  </si>
  <si>
    <t>17-246-6194</t>
  </si>
  <si>
    <t>Dabai</t>
  </si>
  <si>
    <t>26-672-1285</t>
  </si>
  <si>
    <t>Moutnice</t>
  </si>
  <si>
    <t>00-265-0556</t>
  </si>
  <si>
    <t>Qiryat Yam</t>
  </si>
  <si>
    <t>76-397-3294</t>
  </si>
  <si>
    <t>PiranÃ©</t>
  </si>
  <si>
    <t>43-612-8079</t>
  </si>
  <si>
    <t>Colima</t>
  </si>
  <si>
    <t>17-213-2834</t>
  </si>
  <si>
    <t>Marshintsy</t>
  </si>
  <si>
    <t>36-214-1586</t>
  </si>
  <si>
    <t>HalinÃ³w</t>
  </si>
  <si>
    <t>32-414-1466</t>
  </si>
  <si>
    <t>Hallsberg</t>
  </si>
  <si>
    <t>12-699-6543</t>
  </si>
  <si>
    <t>Celso Ramos</t>
  </si>
  <si>
    <t>83-427-3218</t>
  </si>
  <si>
    <t>White River</t>
  </si>
  <si>
    <t>61-663-9008</t>
  </si>
  <si>
    <t>Taishihe</t>
  </si>
  <si>
    <t>86-917-7481</t>
  </si>
  <si>
    <t>Shanghu</t>
  </si>
  <si>
    <t>66-086-2306</t>
  </si>
  <si>
    <t>Brandsen</t>
  </si>
  <si>
    <t>43-671-9834</t>
  </si>
  <si>
    <t>Ranot</t>
  </si>
  <si>
    <t>90-888-8726</t>
  </si>
  <si>
    <t>Saint-Jouan-des-GuÃ©rets</t>
  </si>
  <si>
    <t>23-085-0811</t>
  </si>
  <si>
    <t>Daâ€™an</t>
  </si>
  <si>
    <t>85-192-9218</t>
  </si>
  <si>
    <t>Kisovec</t>
  </si>
  <si>
    <t>82-671-7236</t>
  </si>
  <si>
    <t>Ä€bdÄnÄn</t>
  </si>
  <si>
    <t>42-674-3987</t>
  </si>
  <si>
    <t>Dafeng</t>
  </si>
  <si>
    <t>41-934-7739</t>
  </si>
  <si>
    <t>Campo Maior</t>
  </si>
  <si>
    <t>48-825-0400</t>
  </si>
  <si>
    <t>SÃ¤vedalen</t>
  </si>
  <si>
    <t>30-133-5120</t>
  </si>
  <si>
    <t>Brikcha</t>
  </si>
  <si>
    <t>29-827-8515</t>
  </si>
  <si>
    <t>Xidianzi</t>
  </si>
  <si>
    <t>91-724-4633</t>
  </si>
  <si>
    <t>La UniÃ³n</t>
  </si>
  <si>
    <t>10-328-5732</t>
  </si>
  <si>
    <t>Kliteh</t>
  </si>
  <si>
    <t>38-912-1128</t>
  </si>
  <si>
    <t>BÃ©ja</t>
  </si>
  <si>
    <t>07-751-9620</t>
  </si>
  <si>
    <t>Ferreira do Alentejo</t>
  </si>
  <si>
    <t>81-877-9170</t>
  </si>
  <si>
    <t>Gegernoong</t>
  </si>
  <si>
    <t>19-885-2597</t>
  </si>
  <si>
    <t>La MontaÃ±ita</t>
  </si>
  <si>
    <t>82-389-2029</t>
  </si>
  <si>
    <t>SarishÄbÄri</t>
  </si>
  <si>
    <t>97-463-0048</t>
  </si>
  <si>
    <t>Mangge</t>
  </si>
  <si>
    <t>91-572-6135</t>
  </si>
  <si>
    <t>ChabaÅ™ovice</t>
  </si>
  <si>
    <t>10-232-0685</t>
  </si>
  <si>
    <t>Yangping</t>
  </si>
  <si>
    <t>77-761-7475</t>
  </si>
  <si>
    <t>Berezna</t>
  </si>
  <si>
    <t>78-826-3039</t>
  </si>
  <si>
    <t>Vidual</t>
  </si>
  <si>
    <t>86-668-1045</t>
  </si>
  <si>
    <t>14-603-9698</t>
  </si>
  <si>
    <t>Hultsfred</t>
  </si>
  <si>
    <t>23-752-2213</t>
  </si>
  <si>
    <t>NÃ­kaia</t>
  </si>
  <si>
    <t>71-486-8561</t>
  </si>
  <si>
    <t>Macayug</t>
  </si>
  <si>
    <t>76-382-7162</t>
  </si>
  <si>
    <t>Mahanoro</t>
  </si>
  <si>
    <t>28-947-4295</t>
  </si>
  <si>
    <t>Mozdok</t>
  </si>
  <si>
    <t>84-765-0748</t>
  </si>
  <si>
    <t>Hoolt</t>
  </si>
  <si>
    <t>54-207-8349</t>
  </si>
  <si>
    <t>San Luis</t>
  </si>
  <si>
    <t>20-419-0341</t>
  </si>
  <si>
    <t>Pergan</t>
  </si>
  <si>
    <t>52-005-9914</t>
  </si>
  <si>
    <t>Kanoni</t>
  </si>
  <si>
    <t>34-846-7805</t>
  </si>
  <si>
    <t>Gromadka</t>
  </si>
  <si>
    <t>26-596-5461</t>
  </si>
  <si>
    <t>Payapa</t>
  </si>
  <si>
    <t>20-157-8631</t>
  </si>
  <si>
    <t>Rat Burana</t>
  </si>
  <si>
    <t>91-199-9097</t>
  </si>
  <si>
    <t>TrhovÃ© Sviny</t>
  </si>
  <si>
    <t>55-846-2579</t>
  </si>
  <si>
    <t>Kiev</t>
  </si>
  <si>
    <t>83-455-7266</t>
  </si>
  <si>
    <t>67-599-9267</t>
  </si>
  <si>
    <t>Lomintsevskiy</t>
  </si>
  <si>
    <t>41-501-9276</t>
  </si>
  <si>
    <t>Monchegorsk</t>
  </si>
  <si>
    <t>99-509-4653</t>
  </si>
  <si>
    <t>OlavarrÃ­a</t>
  </si>
  <si>
    <t>31-284-5722</t>
  </si>
  <si>
    <t>Jianshan</t>
  </si>
  <si>
    <t>88-000-9227</t>
  </si>
  <si>
    <t>Shreveport</t>
  </si>
  <si>
    <t>52-726-9328</t>
  </si>
  <si>
    <t>Pingzhuang</t>
  </si>
  <si>
    <t>60-198-5417</t>
  </si>
  <si>
    <t>00-107-4749</t>
  </si>
  <si>
    <t>Merlo</t>
  </si>
  <si>
    <t>88-428-8409</t>
  </si>
  <si>
    <t>ZiniarÃ©</t>
  </si>
  <si>
    <t>21-313-7424</t>
  </si>
  <si>
    <t>ZduÅ„ska Wola</t>
  </si>
  <si>
    <t>79-973-7862</t>
  </si>
  <si>
    <t>Mount Ayliff</t>
  </si>
  <si>
    <t>81-814-3498</t>
  </si>
  <si>
    <t>PÄ«rgaaj</t>
  </si>
  <si>
    <t>34-375-8138</t>
  </si>
  <si>
    <t>Zbraslavice</t>
  </si>
  <si>
    <t>05-067-9686</t>
  </si>
  <si>
    <t>Xilu</t>
  </si>
  <si>
    <t>61-951-7929</t>
  </si>
  <si>
    <t>Bamut</t>
  </si>
  <si>
    <t>53-667-0793</t>
  </si>
  <si>
    <t>La Tour-du-Pin</t>
  </si>
  <si>
    <t>61-212-1117</t>
  </si>
  <si>
    <t>Pader Palwo</t>
  </si>
  <si>
    <t>09-443-7536</t>
  </si>
  <si>
    <t>Maurisu</t>
  </si>
  <si>
    <t>27-463-5671</t>
  </si>
  <si>
    <t>Gorzyce</t>
  </si>
  <si>
    <t>53-380-3968</t>
  </si>
  <si>
    <t>Qingyun</t>
  </si>
  <si>
    <t>42-969-0735</t>
  </si>
  <si>
    <t>Jiuxian</t>
  </si>
  <si>
    <t>12-440-5464</t>
  </si>
  <si>
    <t>Ndungu</t>
  </si>
  <si>
    <t>33-467-2534</t>
  </si>
  <si>
    <t>Emiliano Zapata</t>
  </si>
  <si>
    <t>35-418-0288</t>
  </si>
  <si>
    <t>Spasskoye</t>
  </si>
  <si>
    <t>33-787-2143</t>
  </si>
  <si>
    <t>GierÅ‚oÅ¼</t>
  </si>
  <si>
    <t>58-528-6262</t>
  </si>
  <si>
    <t>Sobue</t>
  </si>
  <si>
    <t>31-060-2716</t>
  </si>
  <si>
    <t>High Point</t>
  </si>
  <si>
    <t>81-515-5823</t>
  </si>
  <si>
    <t>Qiankeng</t>
  </si>
  <si>
    <t>90-858-0453</t>
  </si>
  <si>
    <t>Pandean</t>
  </si>
  <si>
    <t>28-874-8938</t>
  </si>
  <si>
    <t>Phong Äiá»n</t>
  </si>
  <si>
    <t>89-625-5542</t>
  </si>
  <si>
    <t>MirÃ³w</t>
  </si>
  <si>
    <t>07-966-8728</t>
  </si>
  <si>
    <t>Franceville</t>
  </si>
  <si>
    <t>94-408-2581</t>
  </si>
  <si>
    <t>Bordeaux</t>
  </si>
  <si>
    <t>55-301-9368</t>
  </si>
  <si>
    <t>Zamora</t>
  </si>
  <si>
    <t>72-336-1992</t>
  </si>
  <si>
    <t>Jubaoshan</t>
  </si>
  <si>
    <t>06-008-2805</t>
  </si>
  <si>
    <t>ShÄdegÄn</t>
  </si>
  <si>
    <t>77-178-6086</t>
  </si>
  <si>
    <t>Gueltat Zemmour</t>
  </si>
  <si>
    <t>28-832-2885</t>
  </si>
  <si>
    <t>Mosalâ€™sk</t>
  </si>
  <si>
    <t>75-210-7391</t>
  </si>
  <si>
    <t>Kokstad</t>
  </si>
  <si>
    <t>60-470-3563</t>
  </si>
  <si>
    <t>Malasin</t>
  </si>
  <si>
    <t>24-241-7171</t>
  </si>
  <si>
    <t>Huaqiu</t>
  </si>
  <si>
    <t>53-784-1855</t>
  </si>
  <si>
    <t>Loket</t>
  </si>
  <si>
    <t>83-561-3374</t>
  </si>
  <si>
    <t>Santa Maria do Souto</t>
  </si>
  <si>
    <t>96-121-0629</t>
  </si>
  <si>
    <t>Yanshang</t>
  </si>
  <si>
    <t>00-275-9990</t>
  </si>
  <si>
    <t>Tempuran</t>
  </si>
  <si>
    <t>36-593-2907</t>
  </si>
  <si>
    <t>Karafao</t>
  </si>
  <si>
    <t>22-692-3470</t>
  </si>
  <si>
    <t>SÃ£o CristÃ³vÃ£o</t>
  </si>
  <si>
    <t>90-322-7329</t>
  </si>
  <si>
    <t>Buensuseso</t>
  </si>
  <si>
    <t>28-395-9872</t>
  </si>
  <si>
    <t>Blantyre</t>
  </si>
  <si>
    <t>79-297-1061</t>
  </si>
  <si>
    <t>Kozelâ€™shchyna</t>
  </si>
  <si>
    <t>93-649-9356</t>
  </si>
  <si>
    <t>Cibuah</t>
  </si>
  <si>
    <t>27-543-7069</t>
  </si>
  <si>
    <t>Cockburn Town</t>
  </si>
  <si>
    <t>96-079-9597</t>
  </si>
  <si>
    <t>Maslog</t>
  </si>
  <si>
    <t>38-940-4942</t>
  </si>
  <si>
    <t>FaqqÅ«â€˜ah</t>
  </si>
  <si>
    <t>82-014-2564</t>
  </si>
  <si>
    <t>Yelyzavethradka</t>
  </si>
  <si>
    <t>70-699-5799</t>
  </si>
  <si>
    <t>Jackson</t>
  </si>
  <si>
    <t>53-240-2040</t>
  </si>
  <si>
    <t>ItaguaÃ­</t>
  </si>
  <si>
    <t>27-742-2776</t>
  </si>
  <si>
    <t>FteliÃ¡</t>
  </si>
  <si>
    <t>55-620-7906</t>
  </si>
  <si>
    <t>Kiambu</t>
  </si>
  <si>
    <t>04-213-4617</t>
  </si>
  <si>
    <t>XibÃ«r-MurrizÃ«</t>
  </si>
  <si>
    <t>79-384-7469</t>
  </si>
  <si>
    <t>Xudat</t>
  </si>
  <si>
    <t>30-839-5589</t>
  </si>
  <si>
    <t>Yaodu</t>
  </si>
  <si>
    <t>76-848-9229</t>
  </si>
  <si>
    <t>Saint-Gratien</t>
  </si>
  <si>
    <t>98-559-6096</t>
  </si>
  <si>
    <t>Totora</t>
  </si>
  <si>
    <t>56-810-2066</t>
  </si>
  <si>
    <t>GÃ¶teborg</t>
  </si>
  <si>
    <t>55-580-7707</t>
  </si>
  <si>
    <t>ÄŒÃ¡slav</t>
  </si>
  <si>
    <t>18-605-0795</t>
  </si>
  <si>
    <t>Rudnogorsk</t>
  </si>
  <si>
    <t>86-268-2904</t>
  </si>
  <si>
    <t>Pindiga</t>
  </si>
  <si>
    <t>75-847-7630</t>
  </si>
  <si>
    <t>Adela</t>
  </si>
  <si>
    <t>76-910-2337</t>
  </si>
  <si>
    <t>Krajan Baru</t>
  </si>
  <si>
    <t>56-719-7145</t>
  </si>
  <si>
    <t>Jinqiao</t>
  </si>
  <si>
    <t>14-025-2335</t>
  </si>
  <si>
    <t>Barg-e MatÄl</t>
  </si>
  <si>
    <t>10-300-8072</t>
  </si>
  <si>
    <t>Argenteuil</t>
  </si>
  <si>
    <t>73-698-2326</t>
  </si>
  <si>
    <t>Daying</t>
  </si>
  <si>
    <t>01-023-2094</t>
  </si>
  <si>
    <t>Ngrejo</t>
  </si>
  <si>
    <t>65-359-4645</t>
  </si>
  <si>
    <t>Xieba</t>
  </si>
  <si>
    <t>33-405-7978</t>
  </si>
  <si>
    <t>Sigli</t>
  </si>
  <si>
    <t>09-783-7921</t>
  </si>
  <si>
    <t>AristÃ³bulo del Valle</t>
  </si>
  <si>
    <t>76-561-2427</t>
  </si>
  <si>
    <t>Cane</t>
  </si>
  <si>
    <t>82-467-3300</t>
  </si>
  <si>
    <t>Podhum</t>
  </si>
  <si>
    <t>92-946-7398</t>
  </si>
  <si>
    <t>Vilar</t>
  </si>
  <si>
    <t>59-891-2990</t>
  </si>
  <si>
    <t>Portela</t>
  </si>
  <si>
    <t>22-579-3978</t>
  </si>
  <si>
    <t>Arendal</t>
  </si>
  <si>
    <t>22-352-0576</t>
  </si>
  <si>
    <t>NabÄ«nagar</t>
  </si>
  <si>
    <t>28-676-0614</t>
  </si>
  <si>
    <t>La Ravoire</t>
  </si>
  <si>
    <t>07-211-9364</t>
  </si>
  <si>
    <t>Dostoyevka</t>
  </si>
  <si>
    <t>98-238-6733</t>
  </si>
  <si>
    <t>Liuzhou</t>
  </si>
  <si>
    <t>72-006-3769</t>
  </si>
  <si>
    <t>SÃ£o Mateus do MaranhÃ£o</t>
  </si>
  <si>
    <t>75-845-3143</t>
  </si>
  <si>
    <t>Rumbek</t>
  </si>
  <si>
    <t>26-028-2671</t>
  </si>
  <si>
    <t>Cigedang</t>
  </si>
  <si>
    <t>55-876-7407</t>
  </si>
  <si>
    <t>Muaralabuh</t>
  </si>
  <si>
    <t>47-720-9520</t>
  </si>
  <si>
    <t>CheÅ‚miec</t>
  </si>
  <si>
    <t>42-207-5005</t>
  </si>
  <si>
    <t>Santa Marta</t>
  </si>
  <si>
    <t>47-266-2261</t>
  </si>
  <si>
    <t>BrÃ¤ndÃ¶</t>
  </si>
  <si>
    <t>77-642-7686</t>
  </si>
  <si>
    <t>Liangshuihe</t>
  </si>
  <si>
    <t>37-468-8133</t>
  </si>
  <si>
    <t>Cimara</t>
  </si>
  <si>
    <t>00-335-5034</t>
  </si>
  <si>
    <t>Sanxing</t>
  </si>
  <si>
    <t>95-148-1769</t>
  </si>
  <si>
    <t>Linao</t>
  </si>
  <si>
    <t>72-324-1243</t>
  </si>
  <si>
    <t>Bairan</t>
  </si>
  <si>
    <t>62-687-5354</t>
  </si>
  <si>
    <t>Abaetetuba</t>
  </si>
  <si>
    <t>54-634-0814</t>
  </si>
  <si>
    <t>Pasirjaya</t>
  </si>
  <si>
    <t>64-769-5737</t>
  </si>
  <si>
    <t>Acheng</t>
  </si>
  <si>
    <t>62-892-2088</t>
  </si>
  <si>
    <t>Huakoulongtan</t>
  </si>
  <si>
    <t>53-951-2529</t>
  </si>
  <si>
    <t>Burgastai</t>
  </si>
  <si>
    <t>00-264-3797</t>
  </si>
  <si>
    <t>ChavarrÃ­a</t>
  </si>
  <si>
    <t>88-445-9235</t>
  </si>
  <si>
    <t>Demuk</t>
  </si>
  <si>
    <t>65-539-9955</t>
  </si>
  <si>
    <t>Sertolovo</t>
  </si>
  <si>
    <t>89-730-1134</t>
  </si>
  <si>
    <t>Jixian</t>
  </si>
  <si>
    <t>74-051-7865</t>
  </si>
  <si>
    <t>Deqing</t>
  </si>
  <si>
    <t>40-450-4266</t>
  </si>
  <si>
    <t>Sala</t>
  </si>
  <si>
    <t>78-796-5651</t>
  </si>
  <si>
    <t>DÅ‚utÃ³w</t>
  </si>
  <si>
    <t>78-163-4800</t>
  </si>
  <si>
    <t>Regimin</t>
  </si>
  <si>
    <t>90-272-5701</t>
  </si>
  <si>
    <t>Semiletka</t>
  </si>
  <si>
    <t>14-118-5229</t>
  </si>
  <si>
    <t>Dayr Sharaf</t>
  </si>
  <si>
    <t>24-662-2119</t>
  </si>
  <si>
    <t>Adani</t>
  </si>
  <si>
    <t>61-794-8438</t>
  </si>
  <si>
    <t>Rakhiv</t>
  </si>
  <si>
    <t>21-959-5766</t>
  </si>
  <si>
    <t>Ma'an</t>
  </si>
  <si>
    <t>42-518-2602</t>
  </si>
  <si>
    <t>Navoiy</t>
  </si>
  <si>
    <t>35-850-8676</t>
  </si>
  <si>
    <t>Sishilichengzi</t>
  </si>
  <si>
    <t>07-958-2231</t>
  </si>
  <si>
    <t>Tigaherang</t>
  </si>
  <si>
    <t>78-503-0416</t>
  </si>
  <si>
    <t>Villa Dolores</t>
  </si>
  <si>
    <t>46-167-7999</t>
  </si>
  <si>
    <t>PoÃ¡</t>
  </si>
  <si>
    <t>93-989-8649</t>
  </si>
  <si>
    <t>Shibushi</t>
  </si>
  <si>
    <t>98-130-8811</t>
  </si>
  <si>
    <t>Tilburg</t>
  </si>
  <si>
    <t>18-614-2070</t>
  </si>
  <si>
    <t>Ugra</t>
  </si>
  <si>
    <t>80-277-3242</t>
  </si>
  <si>
    <t>Montreuil</t>
  </si>
  <si>
    <t>44-949-9040</t>
  </si>
  <si>
    <t>Garibaldi</t>
  </si>
  <si>
    <t>04-545-9162</t>
  </si>
  <si>
    <t>Tiang</t>
  </si>
  <si>
    <t>51-320-2801</t>
  </si>
  <si>
    <t>Mouquim</t>
  </si>
  <si>
    <t>50-510-5119</t>
  </si>
  <si>
    <t>Montecristi</t>
  </si>
  <si>
    <t>63-964-6954</t>
  </si>
  <si>
    <t>Prince Albert</t>
  </si>
  <si>
    <t>55-569-9247</t>
  </si>
  <si>
    <t>02-911-0447</t>
  </si>
  <si>
    <t>ZajeÄov</t>
  </si>
  <si>
    <t>77-626-7240</t>
  </si>
  <si>
    <t>Liushun</t>
  </si>
  <si>
    <t>75-915-9803</t>
  </si>
  <si>
    <t>Sancha</t>
  </si>
  <si>
    <t>78-905-2660</t>
  </si>
  <si>
    <t>Damnoen Saduak</t>
  </si>
  <si>
    <t>02-677-6735</t>
  </si>
  <si>
    <t>Cianorte</t>
  </si>
  <si>
    <t>20-460-9796</t>
  </si>
  <si>
    <t>Liuzuo</t>
  </si>
  <si>
    <t>57-587-4005</t>
  </si>
  <si>
    <t>99-477-8256</t>
  </si>
  <si>
    <t>KÄshmar</t>
  </si>
  <si>
    <t>03-992-3728</t>
  </si>
  <si>
    <t>â€˜Arad</t>
  </si>
  <si>
    <t>24-878-4507</t>
  </si>
  <si>
    <t>Lenart v Slov. Goricah</t>
  </si>
  <si>
    <t>22-106-8347</t>
  </si>
  <si>
    <t>Bigaa</t>
  </si>
  <si>
    <t>81-479-0790</t>
  </si>
  <si>
    <t>Guadalupe</t>
  </si>
  <si>
    <t>03-023-9932</t>
  </si>
  <si>
    <t>Xiaruyue</t>
  </si>
  <si>
    <t>36-632-2460</t>
  </si>
  <si>
    <t>Gweedore</t>
  </si>
  <si>
    <t>32-799-7704</t>
  </si>
  <si>
    <t>Przelewice</t>
  </si>
  <si>
    <t>09-369-0588</t>
  </si>
  <si>
    <t>Dalumangcob</t>
  </si>
  <si>
    <t>87-727-6434</t>
  </si>
  <si>
    <t>Cravo Norte</t>
  </si>
  <si>
    <t>18-793-9543</t>
  </si>
  <si>
    <t>MonterÃ­a</t>
  </si>
  <si>
    <t>63-625-5757</t>
  </si>
  <si>
    <t>Mikunâ€™</t>
  </si>
  <si>
    <t>93-413-4758</t>
  </si>
  <si>
    <t>Samamiya</t>
  </si>
  <si>
    <t>15-663-7994</t>
  </si>
  <si>
    <t>Tanahmerah</t>
  </si>
  <si>
    <t>29-319-4519</t>
  </si>
  <si>
    <t>Ã–rebro</t>
  </si>
  <si>
    <t>40-347-2903</t>
  </si>
  <si>
    <t>Kefar Yona</t>
  </si>
  <si>
    <t>18-452-1635</t>
  </si>
  <si>
    <t>Pasto</t>
  </si>
  <si>
    <t>47-710-5471</t>
  </si>
  <si>
    <t>Huangtan</t>
  </si>
  <si>
    <t>88-167-7129</t>
  </si>
  <si>
    <t>Ilâ€™inskiy</t>
  </si>
  <si>
    <t>86-771-9082</t>
  </si>
  <si>
    <t>Ugljevik</t>
  </si>
  <si>
    <t>46-678-4172</t>
  </si>
  <si>
    <t>Na Chaluai</t>
  </si>
  <si>
    <t>14-249-1256</t>
  </si>
  <si>
    <t>Marolambo</t>
  </si>
  <si>
    <t>75-617-1460</t>
  </si>
  <si>
    <t>10-247-0192</t>
  </si>
  <si>
    <t>Cali</t>
  </si>
  <si>
    <t>94-120-9525</t>
  </si>
  <si>
    <t>Tamana</t>
  </si>
  <si>
    <t>22-234-9315</t>
  </si>
  <si>
    <t>Miyazu</t>
  </si>
  <si>
    <t>37-560-7247</t>
  </si>
  <si>
    <t>GryfÃ³w ÅšlÄ…ski</t>
  </si>
  <si>
    <t>91-857-0797</t>
  </si>
  <si>
    <t>Pinagsibaan</t>
  </si>
  <si>
    <t>19-344-0102</t>
  </si>
  <si>
    <t>Jardin</t>
  </si>
  <si>
    <t>48-609-7715</t>
  </si>
  <si>
    <t>Aguilares</t>
  </si>
  <si>
    <t>13-571-6506</t>
  </si>
  <si>
    <t>Muslyumovo</t>
  </si>
  <si>
    <t>47-073-6440</t>
  </si>
  <si>
    <t>Taiyuan</t>
  </si>
  <si>
    <t>50-303-1693</t>
  </si>
  <si>
    <t>Chatturat</t>
  </si>
  <si>
    <t>69-157-9577</t>
  </si>
  <si>
    <t>Paisha</t>
  </si>
  <si>
    <t>09-513-4923</t>
  </si>
  <si>
    <t>Kadugadung</t>
  </si>
  <si>
    <t>82-975-8569</t>
  </si>
  <si>
    <t>Paris 15</t>
  </si>
  <si>
    <t>70-774-7728</t>
  </si>
  <si>
    <t>Dualing</t>
  </si>
  <si>
    <t>13-015-8097</t>
  </si>
  <si>
    <t>Adelaide</t>
  </si>
  <si>
    <t>68-391-7279</t>
  </si>
  <si>
    <t>Pingshi</t>
  </si>
  <si>
    <t>28-764-3337</t>
  </si>
  <si>
    <t>Renshan</t>
  </si>
  <si>
    <t>00-285-9607</t>
  </si>
  <si>
    <t>Sobinka</t>
  </si>
  <si>
    <t>04-832-3559</t>
  </si>
  <si>
    <t>Narol</t>
  </si>
  <si>
    <t>27-613-5005</t>
  </si>
  <si>
    <t>Fresno</t>
  </si>
  <si>
    <t>49-825-3438</t>
  </si>
  <si>
    <t>Vabalninkas</t>
  </si>
  <si>
    <t>31-783-9785</t>
  </si>
  <si>
    <t>Jambuwerkrajan</t>
  </si>
  <si>
    <t>58-059-8187</t>
  </si>
  <si>
    <t>Ozubulu</t>
  </si>
  <si>
    <t>74-882-6648</t>
  </si>
  <si>
    <t>Nakhchivan</t>
  </si>
  <si>
    <t>03-180-9200</t>
  </si>
  <si>
    <t>CurumanÃ­</t>
  </si>
  <si>
    <t>46-578-1425</t>
  </si>
  <si>
    <t>Praia</t>
  </si>
  <si>
    <t>13-588-5783</t>
  </si>
  <si>
    <t>25-085-7917</t>
  </si>
  <si>
    <t>Pallisa</t>
  </si>
  <si>
    <t>66-085-1226</t>
  </si>
  <si>
    <t>San Pascual</t>
  </si>
  <si>
    <t>37-037-1765</t>
  </si>
  <si>
    <t>â€˜AÅŸÄ«rah ash ShamÄlÄ«yah</t>
  </si>
  <si>
    <t>48-630-6410</t>
  </si>
  <si>
    <t>Dom Pedrito</t>
  </si>
  <si>
    <t>50-471-0212</t>
  </si>
  <si>
    <t>San SebastiÃ¡n de YalÃ­</t>
  </si>
  <si>
    <t>48-642-5768</t>
  </si>
  <si>
    <t>ShchÃ«kino</t>
  </si>
  <si>
    <t>15-152-9751</t>
  </si>
  <si>
    <t>Turkestan</t>
  </si>
  <si>
    <t>23-451-9920</t>
  </si>
  <si>
    <t>Rzeczenica</t>
  </si>
  <si>
    <t>09-775-4058</t>
  </si>
  <si>
    <t>PerzÃ³w</t>
  </si>
  <si>
    <t>43-595-0966</t>
  </si>
  <si>
    <t>Sabon Gari-Nangere</t>
  </si>
  <si>
    <t>56-592-0089</t>
  </si>
  <si>
    <t>Hengshui</t>
  </si>
  <si>
    <t>29-374-1297</t>
  </si>
  <si>
    <t>Nantes</t>
  </si>
  <si>
    <t>80-728-6133</t>
  </si>
  <si>
    <t>Tamorot</t>
  </si>
  <si>
    <t>58-502-7490</t>
  </si>
  <si>
    <t>Sinchao</t>
  </si>
  <si>
    <t>23-537-0742</t>
  </si>
  <si>
    <t>Anding</t>
  </si>
  <si>
    <t>22-483-3115</t>
  </si>
  <si>
    <t>Rukem</t>
  </si>
  <si>
    <t>57-372-5969</t>
  </si>
  <si>
    <t>Bogovarovo</t>
  </si>
  <si>
    <t>37-283-9076</t>
  </si>
  <si>
    <t>Valbo</t>
  </si>
  <si>
    <t>39-075-3518</t>
  </si>
  <si>
    <t>Jaguaruana</t>
  </si>
  <si>
    <t>84-315-7189</t>
  </si>
  <si>
    <t>Å¢Äqchah KhÄnah</t>
  </si>
  <si>
    <t>75-964-5589</t>
  </si>
  <si>
    <t>Lipovci</t>
  </si>
  <si>
    <t>06-594-3417</t>
  </si>
  <si>
    <t>Panagyurishte</t>
  </si>
  <si>
    <t>08-297-3351</t>
  </si>
  <si>
    <t>Thá»‹ Tráº¥n Than UyÃªn</t>
  </si>
  <si>
    <t>05-546-5128</t>
  </si>
  <si>
    <t>Clichy</t>
  </si>
  <si>
    <t>79-759-6726</t>
  </si>
  <si>
    <t>KÅ‚oczew</t>
  </si>
  <si>
    <t>12-851-1771</t>
  </si>
  <si>
    <t>Zhukovo</t>
  </si>
  <si>
    <t>79-960-1714</t>
  </si>
  <si>
    <t>NykÃ¶ping</t>
  </si>
  <si>
    <t>30-417-6981</t>
  </si>
  <si>
    <t>Jianmin</t>
  </si>
  <si>
    <t>91-532-5399</t>
  </si>
  <si>
    <t>Bucaramanga</t>
  </si>
  <si>
    <t>89-997-9041</t>
  </si>
  <si>
    <t>Kudanding</t>
  </si>
  <si>
    <t>26-235-6745</t>
  </si>
  <si>
    <t>Kyoto</t>
  </si>
  <si>
    <t>99-080-9462</t>
  </si>
  <si>
    <t>Saraburi</t>
  </si>
  <si>
    <t>87-056-8987</t>
  </si>
  <si>
    <t>Negeriagung</t>
  </si>
  <si>
    <t>06-160-8063</t>
  </si>
  <si>
    <t>Latacunga</t>
  </si>
  <si>
    <t>73-434-2308</t>
  </si>
  <si>
    <t>Guanzhou</t>
  </si>
  <si>
    <t>84-260-6464</t>
  </si>
  <si>
    <t>Tabuc Pontevedra</t>
  </si>
  <si>
    <t>00-149-4481</t>
  </si>
  <si>
    <t>Kabale</t>
  </si>
  <si>
    <t>05-710-6109</t>
  </si>
  <si>
    <t>Malveira</t>
  </si>
  <si>
    <t>84-724-8407</t>
  </si>
  <si>
    <t>Veiga</t>
  </si>
  <si>
    <t>45-795-1873</t>
  </si>
  <si>
    <t>Jagistay</t>
  </si>
  <si>
    <t>06-647-3248</t>
  </si>
  <si>
    <t>Yuannan</t>
  </si>
  <si>
    <t>06-767-5206</t>
  </si>
  <si>
    <t>Mount Darwin</t>
  </si>
  <si>
    <t>94-288-4423</t>
  </si>
  <si>
    <t>Qalâ€˜eh-ye KhvÄjeh</t>
  </si>
  <si>
    <t>49-891-9711</t>
  </si>
  <si>
    <t>08-806-0588</t>
  </si>
  <si>
    <t>Al QarÄrah</t>
  </si>
  <si>
    <t>94-746-2001</t>
  </si>
  <si>
    <t>Fandriana</t>
  </si>
  <si>
    <t>38-943-5744</t>
  </si>
  <si>
    <t>Carregueira</t>
  </si>
  <si>
    <t>98-535-8497</t>
  </si>
  <si>
    <t>Lincheng</t>
  </si>
  <si>
    <t>33-243-8793</t>
  </si>
  <si>
    <t>Semenivka</t>
  </si>
  <si>
    <t>99-581-5577</t>
  </si>
  <si>
    <t>YlÃ¤ne</t>
  </si>
  <si>
    <t>64-180-2404</t>
  </si>
  <si>
    <t>Cendagah</t>
  </si>
  <si>
    <t>73-097-0986</t>
  </si>
  <si>
    <t>FÄ«rÅ«zÄbÄd</t>
  </si>
  <si>
    <t>88-051-0567</t>
  </si>
  <si>
    <t>Trondheim</t>
  </si>
  <si>
    <t>44-715-9594</t>
  </si>
  <si>
    <t>Yakovlevo</t>
  </si>
  <si>
    <t>84-188-6577</t>
  </si>
  <si>
    <t>Katav-Ivanovsk</t>
  </si>
  <si>
    <t>19-116-4723</t>
  </si>
  <si>
    <t>Voznesenskoye</t>
  </si>
  <si>
    <t>21-783-9242</t>
  </si>
  <si>
    <t>Voskhod</t>
  </si>
  <si>
    <t>95-528-2313</t>
  </si>
  <si>
    <t>Gudja</t>
  </si>
  <si>
    <t>94-682-4886</t>
  </si>
  <si>
    <t>Gawul</t>
  </si>
  <si>
    <t>55-944-9669</t>
  </si>
  <si>
    <t>Sobeok</t>
  </si>
  <si>
    <t>32-314-2958</t>
  </si>
  <si>
    <t>Nanhuang</t>
  </si>
  <si>
    <t>67-697-2331</t>
  </si>
  <si>
    <t>Tanudan</t>
  </si>
  <si>
    <t>28-855-1639</t>
  </si>
  <si>
    <t>Jiaozuo</t>
  </si>
  <si>
    <t>38-069-8615</t>
  </si>
  <si>
    <t>TakÄb</t>
  </si>
  <si>
    <t>58-233-5963</t>
  </si>
  <si>
    <t>Gualeguay</t>
  </si>
  <si>
    <t>02-004-0620</t>
  </si>
  <si>
    <t>Lagoa Seca</t>
  </si>
  <si>
    <t>78-822-9328</t>
  </si>
  <si>
    <t>Bugarama</t>
  </si>
  <si>
    <t>73-359-1998</t>
  </si>
  <si>
    <t>Dicamay</t>
  </si>
  <si>
    <t>84-459-7736</t>
  </si>
  <si>
    <t>Xiluodu</t>
  </si>
  <si>
    <t>07-395-5818</t>
  </si>
  <si>
    <t>á¸¨abÄbah</t>
  </si>
  <si>
    <t>07-560-6637</t>
  </si>
  <si>
    <t>Lobuk</t>
  </si>
  <si>
    <t>61-926-1691</t>
  </si>
  <si>
    <t>Waiwukak</t>
  </si>
  <si>
    <t>68-129-1060</t>
  </si>
  <si>
    <t>AbaetÃ©</t>
  </si>
  <si>
    <t>04-052-5592</t>
  </si>
  <si>
    <t>Xiaqiao</t>
  </si>
  <si>
    <t>41-215-6092</t>
  </si>
  <si>
    <t>ZubÅ«bah</t>
  </si>
  <si>
    <t>89-833-7175</t>
  </si>
  <si>
    <t>KÄ™sowo</t>
  </si>
  <si>
    <t>08-117-9893</t>
  </si>
  <si>
    <t>Colombo</t>
  </si>
  <si>
    <t>24-109-2173</t>
  </si>
  <si>
    <t>MessÃ­ni</t>
  </si>
  <si>
    <t>79-939-2140</t>
  </si>
  <si>
    <t>Yishui</t>
  </si>
  <si>
    <t>95-999-0984</t>
  </si>
  <si>
    <t>Nanyaojie</t>
  </si>
  <si>
    <t>64-799-3174</t>
  </si>
  <si>
    <t>Buzen</t>
  </si>
  <si>
    <t>27-018-2262</t>
  </si>
  <si>
    <t>Bom Jesus do Itabapoana</t>
  </si>
  <si>
    <t>38-881-0766</t>
  </si>
  <si>
    <t>Centenario</t>
  </si>
  <si>
    <t>17-344-8603</t>
  </si>
  <si>
    <t>Al JÄ«zah</t>
  </si>
  <si>
    <t>51-387-9144</t>
  </si>
  <si>
    <t>Thá»‹ Tráº¥n Cáº©m Thá»§y</t>
  </si>
  <si>
    <t>42-101-8525</t>
  </si>
  <si>
    <t>Curahkalak Tengah</t>
  </si>
  <si>
    <t>69-157-6752</t>
  </si>
  <si>
    <t>Ebu</t>
  </si>
  <si>
    <t>27-843-5553</t>
  </si>
  <si>
    <t>TÃ­o Pujio</t>
  </si>
  <si>
    <t>04-468-5487</t>
  </si>
  <si>
    <t>08-584-8296</t>
  </si>
  <si>
    <t>Shaxi</t>
  </si>
  <si>
    <t>81-014-4502</t>
  </si>
  <si>
    <t>KelÄ«shÄd va SÅ«darjÄn</t>
  </si>
  <si>
    <t>65-167-9819</t>
  </si>
  <si>
    <t>19-925-2376</t>
  </si>
  <si>
    <t>Segodim</t>
  </si>
  <si>
    <t>03-669-7519</t>
  </si>
  <si>
    <t>Yinying</t>
  </si>
  <si>
    <t>00-520-4376</t>
  </si>
  <si>
    <t>Harembo</t>
  </si>
  <si>
    <t>62-701-1037</t>
  </si>
  <si>
    <t>Lazarevac</t>
  </si>
  <si>
    <t>87-806-4478</t>
  </si>
  <si>
    <t>04-809-8989</t>
  </si>
  <si>
    <t>Zhongcun</t>
  </si>
  <si>
    <t>39-867-1989</t>
  </si>
  <si>
    <t>Gaopeng</t>
  </si>
  <si>
    <t>45-584-7333</t>
  </si>
  <si>
    <t>Tabonok</t>
  </si>
  <si>
    <t>85-885-6579</t>
  </si>
  <si>
    <t>Tirana</t>
  </si>
  <si>
    <t>65-457-2840</t>
  </si>
  <si>
    <t>Maralal</t>
  </si>
  <si>
    <t>82-726-1255</t>
  </si>
  <si>
    <t>Xinjiang</t>
  </si>
  <si>
    <t>90-602-3583</t>
  </si>
  <si>
    <t>Mocho</t>
  </si>
  <si>
    <t>02-711-1034</t>
  </si>
  <si>
    <t>Likhoy</t>
  </si>
  <si>
    <t>27-347-7437</t>
  </si>
  <si>
    <t>Mineiros</t>
  </si>
  <si>
    <t>95-675-7816</t>
  </si>
  <si>
    <t>Noisy-le-Grand</t>
  </si>
  <si>
    <t>87-418-1400</t>
  </si>
  <si>
    <t>Taoyuan</t>
  </si>
  <si>
    <t>73-991-0066</t>
  </si>
  <si>
    <t>San Marcos de ColÃ³n</t>
  </si>
  <si>
    <t>62-273-8089</t>
  </si>
  <si>
    <t>Pokrovka</t>
  </si>
  <si>
    <t>51-220-3072</t>
  </si>
  <si>
    <t>Shuntian</t>
  </si>
  <si>
    <t>17-648-0171</t>
  </si>
  <si>
    <t>JoÃ£o CÃ¢mara</t>
  </si>
  <si>
    <t>11-975-9054</t>
  </si>
  <si>
    <t>Cunha</t>
  </si>
  <si>
    <t>75-518-2831</t>
  </si>
  <si>
    <t>Fengyi</t>
  </si>
  <si>
    <t>13-297-9777</t>
  </si>
  <si>
    <t>Myshkin</t>
  </si>
  <si>
    <t>81-604-7906</t>
  </si>
  <si>
    <t>Tewulike</t>
  </si>
  <si>
    <t>87-518-0375</t>
  </si>
  <si>
    <t>Bistrinci</t>
  </si>
  <si>
    <t>53-437-2629</t>
  </si>
  <si>
    <t>Chenguang</t>
  </si>
  <si>
    <t>46-681-0764</t>
  </si>
  <si>
    <t>Muara</t>
  </si>
  <si>
    <t>43-990-6454</t>
  </si>
  <si>
    <t>Qorveh</t>
  </si>
  <si>
    <t>55-570-3804</t>
  </si>
  <si>
    <t>Bom Despacho</t>
  </si>
  <si>
    <t>29-067-4901</t>
  </si>
  <si>
    <t>Arhust</t>
  </si>
  <si>
    <t>93-957-6269</t>
  </si>
  <si>
    <t>Thaton</t>
  </si>
  <si>
    <t>81-225-6647</t>
  </si>
  <si>
    <t>Changbai</t>
  </si>
  <si>
    <t>64-706-7841</t>
  </si>
  <si>
    <t>Kragan</t>
  </si>
  <si>
    <t>47-178-9529</t>
  </si>
  <si>
    <t>Bida</t>
  </si>
  <si>
    <t>63-808-3641</t>
  </si>
  <si>
    <t>Pointe Michel</t>
  </si>
  <si>
    <t>85-738-8909</t>
  </si>
  <si>
    <t>Juyuan</t>
  </si>
  <si>
    <t>40-224-1057</t>
  </si>
  <si>
    <t>Sabugo</t>
  </si>
  <si>
    <t>24-853-1635</t>
  </si>
  <si>
    <t>Huangjin</t>
  </si>
  <si>
    <t>61-627-1822</t>
  </si>
  <si>
    <t>Huquan</t>
  </si>
  <si>
    <t>89-392-5002</t>
  </si>
  <si>
    <t>Xinqiao</t>
  </si>
  <si>
    <t>71-573-6085</t>
  </si>
  <si>
    <t>Trzemeszno</t>
  </si>
  <si>
    <t>91-810-3612</t>
  </si>
  <si>
    <t>Dashkawka</t>
  </si>
  <si>
    <t>07-323-0255</t>
  </si>
  <si>
    <t>Sakura</t>
  </si>
  <si>
    <t>81-054-5343</t>
  </si>
  <si>
    <t>Lianghu</t>
  </si>
  <si>
    <t>14-854-9545</t>
  </si>
  <si>
    <t>Karabash</t>
  </si>
  <si>
    <t>52-150-4629</t>
  </si>
  <si>
    <t>Maomiaoji</t>
  </si>
  <si>
    <t>48-918-4473</t>
  </si>
  <si>
    <t>Pingtian</t>
  </si>
  <si>
    <t>06-764-5496</t>
  </si>
  <si>
    <t>TiÅ¡ina</t>
  </si>
  <si>
    <t>67-036-4295</t>
  </si>
  <si>
    <t>Montceau-les-Mines</t>
  </si>
  <si>
    <t>35-880-9374</t>
  </si>
  <si>
    <t>Karengan</t>
  </si>
  <si>
    <t>08-614-6177</t>
  </si>
  <si>
    <t>Sungai Raya</t>
  </si>
  <si>
    <t>35-879-0014</t>
  </si>
  <si>
    <t>Zwedru</t>
  </si>
  <si>
    <t>91-570-2695</t>
  </si>
  <si>
    <t>Å¢ahÅ£Ä</t>
  </si>
  <si>
    <t>54-193-3526</t>
  </si>
  <si>
    <t>Masaran</t>
  </si>
  <si>
    <t>55-237-7991</t>
  </si>
  <si>
    <t>Huangtang</t>
  </si>
  <si>
    <t>90-569-7391</t>
  </si>
  <si>
    <t>SkoÃºtari</t>
  </si>
  <si>
    <t>88-395-8741</t>
  </si>
  <si>
    <t>Jelat</t>
  </si>
  <si>
    <t>06-638-0433</t>
  </si>
  <si>
    <t>Doibang</t>
  </si>
  <si>
    <t>84-208-7045</t>
  </si>
  <si>
    <t>Kazimierz Dolny</t>
  </si>
  <si>
    <t>71-568-0867</t>
  </si>
  <si>
    <t>Margasari</t>
  </si>
  <si>
    <t>18-925-1867</t>
  </si>
  <si>
    <t>GarÃ§a</t>
  </si>
  <si>
    <t>69-394-1424</t>
  </si>
  <si>
    <t>Muff</t>
  </si>
  <si>
    <t>91-695-8237</t>
  </si>
  <si>
    <t>Kryva Hora</t>
  </si>
  <si>
    <t>68-458-0904</t>
  </si>
  <si>
    <t>Pyra</t>
  </si>
  <si>
    <t>28-862-5550</t>
  </si>
  <si>
    <t>General Lavalle</t>
  </si>
  <si>
    <t>85-666-7449</t>
  </si>
  <si>
    <t>Zhongzhang</t>
  </si>
  <si>
    <t>30-987-7421</t>
  </si>
  <si>
    <t>Estacion</t>
  </si>
  <si>
    <t>39-107-6852</t>
  </si>
  <si>
    <t>Xinglongchang</t>
  </si>
  <si>
    <t>85-467-6564</t>
  </si>
  <si>
    <t>San Nicolas</t>
  </si>
  <si>
    <t>82-692-9306</t>
  </si>
  <si>
    <t>Ropa</t>
  </si>
  <si>
    <t>18-593-8611</t>
  </si>
  <si>
    <t>San Diego</t>
  </si>
  <si>
    <t>93-093-0556</t>
  </si>
  <si>
    <t>Pan-an</t>
  </si>
  <si>
    <t>59-080-5779</t>
  </si>
  <si>
    <t>Shu</t>
  </si>
  <si>
    <t>64-915-2968</t>
  </si>
  <si>
    <t>94-495-3402</t>
  </si>
  <si>
    <t>Mojogajeh</t>
  </si>
  <si>
    <t>84-458-6432</t>
  </si>
  <si>
    <t>Mawu</t>
  </si>
  <si>
    <t>46-452-3822</t>
  </si>
  <si>
    <t>Genting</t>
  </si>
  <si>
    <t>54-877-5699</t>
  </si>
  <si>
    <t>Madan</t>
  </si>
  <si>
    <t>15-146-4456</t>
  </si>
  <si>
    <t>Hexiangqiao</t>
  </si>
  <si>
    <t>76-620-2994</t>
  </si>
  <si>
    <t>Na Muen</t>
  </si>
  <si>
    <t>60-834-3348</t>
  </si>
  <si>
    <t>Gafargaon</t>
  </si>
  <si>
    <t>77-742-5663</t>
  </si>
  <si>
    <t>Qingban</t>
  </si>
  <si>
    <t>05-167-0833</t>
  </si>
  <si>
    <t>LabÃ¨ge</t>
  </si>
  <si>
    <t>86-182-9556</t>
  </si>
  <si>
    <t>Port Elizabeth</t>
  </si>
  <si>
    <t>14-415-2802</t>
  </si>
  <si>
    <t>Sauri</t>
  </si>
  <si>
    <t>49-469-9163</t>
  </si>
  <si>
    <t>Desakolot</t>
  </si>
  <si>
    <t>67-937-6624</t>
  </si>
  <si>
    <t>Huambo</t>
  </si>
  <si>
    <t>91-761-9492</t>
  </si>
  <si>
    <t>Luoting</t>
  </si>
  <si>
    <t>19-184-7665</t>
  </si>
  <si>
    <t>Stepnogorsk</t>
  </si>
  <si>
    <t>19-383-9741</t>
  </si>
  <si>
    <t>Zarechnyy</t>
  </si>
  <si>
    <t>15-625-4047</t>
  </si>
  <si>
    <t>81-820-4735</t>
  </si>
  <si>
    <t>Banjar Medura</t>
  </si>
  <si>
    <t>71-436-6908</t>
  </si>
  <si>
    <t>Arnprior</t>
  </si>
  <si>
    <t>73-145-5784</t>
  </si>
  <si>
    <t>Donglu</t>
  </si>
  <si>
    <t>50-637-1630</t>
  </si>
  <si>
    <t>Inderka</t>
  </si>
  <si>
    <t>44-938-7475</t>
  </si>
  <si>
    <t>Tochio-honchÅ</t>
  </si>
  <si>
    <t>55-279-3045</t>
  </si>
  <si>
    <t>Pasadena</t>
  </si>
  <si>
    <t>59-997-3903</t>
  </si>
  <si>
    <t>BarishÄl</t>
  </si>
  <si>
    <t>12-029-9344</t>
  </si>
  <si>
    <t>Kihurio</t>
  </si>
  <si>
    <t>41-130-2570</t>
  </si>
  <si>
    <t>Oekero</t>
  </si>
  <si>
    <t>25-285-7453</t>
  </si>
  <si>
    <t>Cluses</t>
  </si>
  <si>
    <t>47-225-8686</t>
  </si>
  <si>
    <t>WrzÄ…sowice</t>
  </si>
  <si>
    <t>33-519-4214</t>
  </si>
  <si>
    <t>Hengfeng</t>
  </si>
  <si>
    <t>03-991-2098</t>
  </si>
  <si>
    <t>Bor</t>
  </si>
  <si>
    <t>30-735-8744</t>
  </si>
  <si>
    <t>Nawu</t>
  </si>
  <si>
    <t>13-848-5757</t>
  </si>
  <si>
    <t>Longotea</t>
  </si>
  <si>
    <t>21-300-2001</t>
  </si>
  <si>
    <t>á¸¨abÄ«l al Jabr</t>
  </si>
  <si>
    <t>38-587-1781</t>
  </si>
  <si>
    <t>Gueset</t>
  </si>
  <si>
    <t>66-557-1474</t>
  </si>
  <si>
    <t>LÄ«kak</t>
  </si>
  <si>
    <t>03-422-8710</t>
  </si>
  <si>
    <t>Yuanguping</t>
  </si>
  <si>
    <t>39-731-8532</t>
  </si>
  <si>
    <t>ColÃ³n</t>
  </si>
  <si>
    <t>80-830-3184</t>
  </si>
  <si>
    <t>Lyon</t>
  </si>
  <si>
    <t>97-505-8416</t>
  </si>
  <si>
    <t>Chamical</t>
  </si>
  <si>
    <t>98-585-4742</t>
  </si>
  <si>
    <t>Ãgios AndrÃ©as</t>
  </si>
  <si>
    <t>51-302-9537</t>
  </si>
  <si>
    <t>Cibeusi</t>
  </si>
  <si>
    <t>88-313-2633</t>
  </si>
  <si>
    <t>ItsandzÃ©ni</t>
  </si>
  <si>
    <t>61-286-0069</t>
  </si>
  <si>
    <t>Kosh-Agach</t>
  </si>
  <si>
    <t>35-907-0586</t>
  </si>
  <si>
    <t>Kuafeu</t>
  </si>
  <si>
    <t>30-522-1574</t>
  </si>
  <si>
    <t>Xincheng</t>
  </si>
  <si>
    <t>43-715-8777</t>
  </si>
  <si>
    <t>Minneapolis</t>
  </si>
  <si>
    <t>94-692-4313</t>
  </si>
  <si>
    <t>PÃ©fki</t>
  </si>
  <si>
    <t>96-915-4091</t>
  </si>
  <si>
    <t>á¸¨awallÄ«</t>
  </si>
  <si>
    <t>67-073-5578</t>
  </si>
  <si>
    <t>27-010-9462</t>
  </si>
  <si>
    <t>Imielin</t>
  </si>
  <si>
    <t>19-689-4556</t>
  </si>
  <si>
    <t>Przeworsk</t>
  </si>
  <si>
    <t>53-143-6147</t>
  </si>
  <si>
    <t>Amsterdam Nieuw West</t>
  </si>
  <si>
    <t>02-725-7664</t>
  </si>
  <si>
    <t>Klishkivtsi</t>
  </si>
  <si>
    <t>54-439-4748</t>
  </si>
  <si>
    <t>Borova</t>
  </si>
  <si>
    <t>66-949-9895</t>
  </si>
  <si>
    <t>Vendargues</t>
  </si>
  <si>
    <t>20-648-1010</t>
  </si>
  <si>
    <t>Zilang</t>
  </si>
  <si>
    <t>79-939-5393</t>
  </si>
  <si>
    <t>Camalote</t>
  </si>
  <si>
    <t>89-249-8369</t>
  </si>
  <si>
    <t>Julayjilah</t>
  </si>
  <si>
    <t>85-366-1482</t>
  </si>
  <si>
    <t>Badajoz</t>
  </si>
  <si>
    <t>34-874-7357</t>
  </si>
  <si>
    <t>Fort Wayne</t>
  </si>
  <si>
    <t>11-820-5039</t>
  </si>
  <si>
    <t>GalÃ¡n</t>
  </si>
  <si>
    <t>73-846-1423</t>
  </si>
  <si>
    <t>Saint Joseph</t>
  </si>
  <si>
    <t>90-363-8040</t>
  </si>
  <si>
    <t>Hospitalet De Llobregat, L'</t>
  </si>
  <si>
    <t>65-533-1660</t>
  </si>
  <si>
    <t>Palma De Mallorca</t>
  </si>
  <si>
    <t>98-376-8787</t>
  </si>
  <si>
    <t>Pho Duc</t>
  </si>
  <si>
    <t>18-938-9896</t>
  </si>
  <si>
    <t>Åeba</t>
  </si>
  <si>
    <t>04-829-7037</t>
  </si>
  <si>
    <t>Yaguaraparo</t>
  </si>
  <si>
    <t>93-455-0576</t>
  </si>
  <si>
    <t>Novoorsk</t>
  </si>
  <si>
    <t>84-637-9188</t>
  </si>
  <si>
    <t>Wuyang</t>
  </si>
  <si>
    <t>81-111-7832</t>
  </si>
  <si>
    <t>PelasgÃ­a</t>
  </si>
  <si>
    <t>77-401-8183</t>
  </si>
  <si>
    <t>PhÃºc Thá»</t>
  </si>
  <si>
    <t>01-484-8220</t>
  </si>
  <si>
    <t>Vsevolozhsk</t>
  </si>
  <si>
    <t>11-121-0709</t>
  </si>
  <si>
    <t>Kara Suu</t>
  </si>
  <si>
    <t>36-649-0081</t>
  </si>
  <si>
    <t>Beigucheng</t>
  </si>
  <si>
    <t>61-176-8712</t>
  </si>
  <si>
    <t>Cerro</t>
  </si>
  <si>
    <t>75-526-2611</t>
  </si>
  <si>
    <t>Yamaga</t>
  </si>
  <si>
    <t>72-339-1854</t>
  </si>
  <si>
    <t>Sacramento</t>
  </si>
  <si>
    <t>80-360-6324</t>
  </si>
  <si>
    <t>Foso</t>
  </si>
  <si>
    <t>24-591-4327</t>
  </si>
  <si>
    <t>Nowe Brzesko</t>
  </si>
  <si>
    <t>58-487-8848</t>
  </si>
  <si>
    <t>KonÄrak</t>
  </si>
  <si>
    <t>61-453-3503</t>
  </si>
  <si>
    <t>Qingshandi</t>
  </si>
  <si>
    <t>63-680-7694</t>
  </si>
  <si>
    <t>Mbala</t>
  </si>
  <si>
    <t>51-431-7150</t>
  </si>
  <si>
    <t>Shiqiao</t>
  </si>
  <si>
    <t>23-039-9347</t>
  </si>
  <si>
    <t>Yatsuomachi-higashikumisaka</t>
  </si>
  <si>
    <t>18-832-6916</t>
  </si>
  <si>
    <t>Czarna DÄ…brÃ³wka</t>
  </si>
  <si>
    <t>29-438-8126</t>
  </si>
  <si>
    <t>Pasirmadang</t>
  </si>
  <si>
    <t>68-201-1633</t>
  </si>
  <si>
    <t>MaÃ±o</t>
  </si>
  <si>
    <t>07-314-2945</t>
  </si>
  <si>
    <t>Tiwi</t>
  </si>
  <si>
    <t>64-490-6975</t>
  </si>
  <si>
    <t>Ahar</t>
  </si>
  <si>
    <t>91-789-3191</t>
  </si>
  <si>
    <t>Dake</t>
  </si>
  <si>
    <t>83-714-9649</t>
  </si>
  <si>
    <t>Harstad</t>
  </si>
  <si>
    <t>33-203-4230</t>
  </si>
  <si>
    <t>Perbaungan</t>
  </si>
  <si>
    <t>90-918-2833</t>
  </si>
  <si>
    <t>Soroti</t>
  </si>
  <si>
    <t>53-409-1176</t>
  </si>
  <si>
    <t>Caruaru</t>
  </si>
  <si>
    <t>52-491-3386</t>
  </si>
  <si>
    <t>Kamiennik</t>
  </si>
  <si>
    <t>10-870-3357</t>
  </si>
  <si>
    <t>Boundiali</t>
  </si>
  <si>
    <t>41-816-7753</t>
  </si>
  <si>
    <t>GÃ¶tene</t>
  </si>
  <si>
    <t>68-296-5978</t>
  </si>
  <si>
    <t>Kadumelati</t>
  </si>
  <si>
    <t>03-874-9055</t>
  </si>
  <si>
    <t>Amparo</t>
  </si>
  <si>
    <t>28-123-8406</t>
  </si>
  <si>
    <t>Shimen</t>
  </si>
  <si>
    <t>01-089-2223</t>
  </si>
  <si>
    <t>Philadelphia</t>
  </si>
  <si>
    <t>23-758-1012</t>
  </si>
  <si>
    <t>Myingyan</t>
  </si>
  <si>
    <t>34-788-8387</t>
  </si>
  <si>
    <t>Qingqu</t>
  </si>
  <si>
    <t>53-865-9342</t>
  </si>
  <si>
    <t>Poste de Flacq</t>
  </si>
  <si>
    <t>79-052-8470</t>
  </si>
  <si>
    <t>Å¢awr al BÄá¸©ah</t>
  </si>
  <si>
    <t>86-359-7320</t>
  </si>
  <si>
    <t>Phu Loc</t>
  </si>
  <si>
    <t>27-111-2242</t>
  </si>
  <si>
    <t>Jembangan</t>
  </si>
  <si>
    <t>84-538-0238</t>
  </si>
  <si>
    <t>Harhorin</t>
  </si>
  <si>
    <t>04-660-2742</t>
  </si>
  <si>
    <t>Meijiang</t>
  </si>
  <si>
    <t>96-496-9833</t>
  </si>
  <si>
    <t>LaÃ±gub</t>
  </si>
  <si>
    <t>27-672-6081</t>
  </si>
  <si>
    <t>Bangbayang</t>
  </si>
  <si>
    <t>66-033-0540</t>
  </si>
  <si>
    <t>StÄ›boÅ™ice</t>
  </si>
  <si>
    <t>99-643-9845</t>
  </si>
  <si>
    <t>Banturkrajan</t>
  </si>
  <si>
    <t>27-571-9402</t>
  </si>
  <si>
    <t>SÃ£o Torcato</t>
  </si>
  <si>
    <t>10-430-5821</t>
  </si>
  <si>
    <t>Kapan</t>
  </si>
  <si>
    <t>36-835-7445</t>
  </si>
  <si>
    <t>VÄƒn Giang</t>
  </si>
  <si>
    <t>41-602-4042</t>
  </si>
  <si>
    <t>63-743-6962</t>
  </si>
  <si>
    <t>Tanushimarumachi-toyoki</t>
  </si>
  <si>
    <t>66-772-9922</t>
  </si>
  <si>
    <t>Kazo</t>
  </si>
  <si>
    <t>23-246-5927</t>
  </si>
  <si>
    <t>Rawa Mazowiecka</t>
  </si>
  <si>
    <t>74-022-7557</t>
  </si>
  <si>
    <t>WÅnsan</t>
  </si>
  <si>
    <t>78-214-5658</t>
  </si>
  <si>
    <t>Villavicencio</t>
  </si>
  <si>
    <t>25-286-8786</t>
  </si>
  <si>
    <t>Berlin</t>
  </si>
  <si>
    <t>55-955-9889</t>
  </si>
  <si>
    <t>Wailang</t>
  </si>
  <si>
    <t>34-237-3943</t>
  </si>
  <si>
    <t>Fangshan</t>
  </si>
  <si>
    <t>19-386-9088</t>
  </si>
  <si>
    <t>Tallahassee</t>
  </si>
  <si>
    <t>16-583-2801</t>
  </si>
  <si>
    <t>Anchorage</t>
  </si>
  <si>
    <t>83-752-5439</t>
  </si>
  <si>
    <t>Mulhouse</t>
  </si>
  <si>
    <t>25-485-2023</t>
  </si>
  <si>
    <t>Tangkilsari</t>
  </si>
  <si>
    <t>90-822-7664</t>
  </si>
  <si>
    <t>San Carlos</t>
  </si>
  <si>
    <t>22-039-6819</t>
  </si>
  <si>
    <t>Queluz</t>
  </si>
  <si>
    <t>50-395-1941</t>
  </si>
  <si>
    <t>SÃ¤rkisalo</t>
  </si>
  <si>
    <t>99-771-9310</t>
  </si>
  <si>
    <t>Vitoria-Gasteiz</t>
  </si>
  <si>
    <t>18-518-0140</t>
  </si>
  <si>
    <t>Coro</t>
  </si>
  <si>
    <t>57-000-8646</t>
  </si>
  <si>
    <t>Purwa</t>
  </si>
  <si>
    <t>81-926-9297</t>
  </si>
  <si>
    <t>GÃ¤vle</t>
  </si>
  <si>
    <t>53-070-2625</t>
  </si>
  <si>
    <t>Embu GuaÃ§u</t>
  </si>
  <si>
    <t>63-217-7638</t>
  </si>
  <si>
    <t>64-120-6212</t>
  </si>
  <si>
    <t>Fubin</t>
  </si>
  <si>
    <t>01-404-3425</t>
  </si>
  <si>
    <t>Talshand</t>
  </si>
  <si>
    <t>68-971-6148</t>
  </si>
  <si>
    <t>Palampal</t>
  </si>
  <si>
    <t>22-053-4627</t>
  </si>
  <si>
    <t>KamÃ¡rai</t>
  </si>
  <si>
    <t>09-258-0424</t>
  </si>
  <si>
    <t>Ettelbruck</t>
  </si>
  <si>
    <t>56-782-9001</t>
  </si>
  <si>
    <t>Cawayan</t>
  </si>
  <si>
    <t>05-506-7216</t>
  </si>
  <si>
    <t>Don Carlos</t>
  </si>
  <si>
    <t>47-356-9730</t>
  </si>
  <si>
    <t>42-898-6421</t>
  </si>
  <si>
    <t>Cervantes</t>
  </si>
  <si>
    <t>17-364-8685</t>
  </si>
  <si>
    <t>Ebebiyin</t>
  </si>
  <si>
    <t>13-618-9438</t>
  </si>
  <si>
    <t>Chuquitira</t>
  </si>
  <si>
    <t>32-457-2982</t>
  </si>
  <si>
    <t>Proletarsk</t>
  </si>
  <si>
    <t>43-386-2489</t>
  </si>
  <si>
    <t>Naghalin</t>
  </si>
  <si>
    <t>67-438-2378</t>
  </si>
  <si>
    <t>Honolulu</t>
  </si>
  <si>
    <t>65-431-1264</t>
  </si>
  <si>
    <t>Dhalie</t>
  </si>
  <si>
    <t>73-367-8478</t>
  </si>
  <si>
    <t>Giesteira</t>
  </si>
  <si>
    <t>84-162-8799</t>
  </si>
  <si>
    <t>Khilok</t>
  </si>
  <si>
    <t>51-546-9992</t>
  </si>
  <si>
    <t>89-189-3295</t>
  </si>
  <si>
    <t>Vereshchagino</t>
  </si>
  <si>
    <t>45-776-7217</t>
  </si>
  <si>
    <t>Binagadi</t>
  </si>
  <si>
    <t>71-354-5174</t>
  </si>
  <si>
    <t>Tsuen Wan</t>
  </si>
  <si>
    <t>05-975-6985</t>
  </si>
  <si>
    <t>Banjar Batanpoh</t>
  </si>
  <si>
    <t>42-859-2475</t>
  </si>
  <si>
    <t>Yenakiyeve</t>
  </si>
  <si>
    <t>34-094-1923</t>
  </si>
  <si>
    <t>San Ramon</t>
  </si>
  <si>
    <t>57-797-8139</t>
  </si>
  <si>
    <t>SakÃ©tÃ©</t>
  </si>
  <si>
    <t>21-048-8669</t>
  </si>
  <si>
    <t>Pantenan</t>
  </si>
  <si>
    <t>30-038-8752</t>
  </si>
  <si>
    <t>Antrukan</t>
  </si>
  <si>
    <t>06-237-7338</t>
  </si>
  <si>
    <t>Dhahab</t>
  </si>
  <si>
    <t>71-817-5422</t>
  </si>
  <si>
    <t>Vetluga</t>
  </si>
  <si>
    <t>68-512-0568</t>
  </si>
  <si>
    <t>Wolfsberg</t>
  </si>
  <si>
    <t>18-633-9387</t>
  </si>
  <si>
    <t>San Bautista</t>
  </si>
  <si>
    <t>08-977-4418</t>
  </si>
  <si>
    <t>Reuleuet</t>
  </si>
  <si>
    <t>97-738-8095</t>
  </si>
  <si>
    <t>Lonpao Dajah</t>
  </si>
  <si>
    <t>15-421-1255</t>
  </si>
  <si>
    <t>Nanqiao</t>
  </si>
  <si>
    <t>92-142-4328</t>
  </si>
  <si>
    <t>06-357-6548</t>
  </si>
  <si>
    <t>Ishikawa</t>
  </si>
  <si>
    <t>59-261-4453</t>
  </si>
  <si>
    <t>Oguma</t>
  </si>
  <si>
    <t>35-644-3184</t>
  </si>
  <si>
    <t>TÄ›Å¡any</t>
  </si>
  <si>
    <t>30-528-9105</t>
  </si>
  <si>
    <t>Aksha</t>
  </si>
  <si>
    <t>14-709-8547</t>
  </si>
  <si>
    <t>Lahan Sai</t>
  </si>
  <si>
    <t>80-508-9866</t>
  </si>
  <si>
    <t>EstÃ¢ncia</t>
  </si>
  <si>
    <t>27-100-0661</t>
  </si>
  <si>
    <t>Las Lomas</t>
  </si>
  <si>
    <t>68-488-7343</t>
  </si>
  <si>
    <t>Xiamayu</t>
  </si>
  <si>
    <t>63-304-1852</t>
  </si>
  <si>
    <t>IÃ±apari</t>
  </si>
  <si>
    <t>53-843-5619</t>
  </si>
  <si>
    <t>Orsay</t>
  </si>
  <si>
    <t>44-786-7696</t>
  </si>
  <si>
    <t>Zhongying</t>
  </si>
  <si>
    <t>45-631-4619</t>
  </si>
  <si>
    <t>Bayá¸©Än</t>
  </si>
  <si>
    <t>11-850-1953</t>
  </si>
  <si>
    <t>Beizhakou</t>
  </si>
  <si>
    <t>20-421-2544</t>
  </si>
  <si>
    <t>KyÅngsÅng</t>
  </si>
  <si>
    <t>37-100-8709</t>
  </si>
  <si>
    <t>Turinsk</t>
  </si>
  <si>
    <t>78-361-5100</t>
  </si>
  <si>
    <t>As SawdÄ</t>
  </si>
  <si>
    <t>67-676-5945</t>
  </si>
  <si>
    <t>Legaspi</t>
  </si>
  <si>
    <t>67-639-5838</t>
  </si>
  <si>
    <t>Shimorskoye</t>
  </si>
  <si>
    <t>51-415-1931</t>
  </si>
  <si>
    <t>KoÅ›cielec</t>
  </si>
  <si>
    <t>96-764-3843</t>
  </si>
  <si>
    <t>Yongfu</t>
  </si>
  <si>
    <t>16-730-2056</t>
  </si>
  <si>
    <t>VinkkilÃ¤</t>
  </si>
  <si>
    <t>22-157-2494</t>
  </si>
  <si>
    <t>Revolucion Verde</t>
  </si>
  <si>
    <t>29-341-6463</t>
  </si>
  <si>
    <t>Newton</t>
  </si>
  <si>
    <t>64-906-4475</t>
  </si>
  <si>
    <t>Nantang</t>
  </si>
  <si>
    <t>36-340-8494</t>
  </si>
  <si>
    <t>Perugia</t>
  </si>
  <si>
    <t>77-031-4898</t>
  </si>
  <si>
    <t>Tancheng</t>
  </si>
  <si>
    <t>86-097-9642</t>
  </si>
  <si>
    <t>Leon Postigo</t>
  </si>
  <si>
    <t>64-090-3433</t>
  </si>
  <si>
    <t>BollÃ¨ne</t>
  </si>
  <si>
    <t>96-140-1936</t>
  </si>
  <si>
    <t>Baihe</t>
  </si>
  <si>
    <t>38-830-6976</t>
  </si>
  <si>
    <t>Puqi</t>
  </si>
  <si>
    <t>82-864-1154</t>
  </si>
  <si>
    <t>Pedraza</t>
  </si>
  <si>
    <t>79-711-6779</t>
  </si>
  <si>
    <t>22-860-9860</t>
  </si>
  <si>
    <t>Pasinan Barat</t>
  </si>
  <si>
    <t>72-590-6161</t>
  </si>
  <si>
    <t>Saltpond</t>
  </si>
  <si>
    <t>76-213-5806</t>
  </si>
  <si>
    <t>Rende</t>
  </si>
  <si>
    <t>66-894-5431</t>
  </si>
  <si>
    <t>Zarasai</t>
  </si>
  <si>
    <t>20-939-3906</t>
  </si>
  <si>
    <t>Nanchangshan</t>
  </si>
  <si>
    <t>86-390-9555</t>
  </si>
  <si>
    <t>PegÃµes</t>
  </si>
  <si>
    <t>91-602-0761</t>
  </si>
  <si>
    <t>EspÃ­rito Santo do Pinhal</t>
  </si>
  <si>
    <t>62-974-7965</t>
  </si>
  <si>
    <t>Ãšjezd</t>
  </si>
  <si>
    <t>21-232-1397</t>
  </si>
  <si>
    <t>Bhadrapur</t>
  </si>
  <si>
    <t>31-364-4144</t>
  </si>
  <si>
    <t>Kostrovo</t>
  </si>
  <si>
    <t>99-945-7193</t>
  </si>
  <si>
    <t>Lemery</t>
  </si>
  <si>
    <t>91-053-3261</t>
  </si>
  <si>
    <t>Youcheng</t>
  </si>
  <si>
    <t>50-447-5171</t>
  </si>
  <si>
    <t>Napoli</t>
  </si>
  <si>
    <t>89-754-7244</t>
  </si>
  <si>
    <t>El CaÃ±o</t>
  </si>
  <si>
    <t>56-072-7011</t>
  </si>
  <si>
    <t>Heemstede</t>
  </si>
  <si>
    <t>74-281-3421</t>
  </si>
  <si>
    <t>Panyam</t>
  </si>
  <si>
    <t>86-068-2133</t>
  </si>
  <si>
    <t>Faraulep</t>
  </si>
  <si>
    <t>03-102-0288</t>
  </si>
  <si>
    <t>San Isidro</t>
  </si>
  <si>
    <t>74-033-1145</t>
  </si>
  <si>
    <t>Mranggen</t>
  </si>
  <si>
    <t>24-272-6205</t>
  </si>
  <si>
    <t>Cigadog</t>
  </si>
  <si>
    <t>90-170-1951</t>
  </si>
  <si>
    <t>Caitang</t>
  </si>
  <si>
    <t>73-259-8940</t>
  </si>
  <si>
    <t>Masoyila</t>
  </si>
  <si>
    <t>77-796-5786</t>
  </si>
  <si>
    <t>Beiyuan</t>
  </si>
  <si>
    <t>23-949-1954</t>
  </si>
  <si>
    <t>Kariya</t>
  </si>
  <si>
    <t>51-313-7293</t>
  </si>
  <si>
    <t>Malakhovka</t>
  </si>
  <si>
    <t>62-797-9254</t>
  </si>
  <si>
    <t>At-Bashi</t>
  </si>
  <si>
    <t>27-941-4995</t>
  </si>
  <si>
    <t>Sankeyushu</t>
  </si>
  <si>
    <t>01-799-2615</t>
  </si>
  <si>
    <t>Limoges</t>
  </si>
  <si>
    <t>82-133-0444</t>
  </si>
  <si>
    <t>HÃ¤gersten</t>
  </si>
  <si>
    <t>43-920-9499</t>
  </si>
  <si>
    <t>Tarata</t>
  </si>
  <si>
    <t>17-551-9779</t>
  </si>
  <si>
    <t>Marabahan</t>
  </si>
  <si>
    <t>49-037-2300</t>
  </si>
  <si>
    <t>EslÄmÄbÄd</t>
  </si>
  <si>
    <t>95-876-9757</t>
  </si>
  <si>
    <t>Emar</t>
  </si>
  <si>
    <t>47-947-4888</t>
  </si>
  <si>
    <t>Baisha</t>
  </si>
  <si>
    <t>83-003-2165</t>
  </si>
  <si>
    <t>27-619-9264</t>
  </si>
  <si>
    <t>49-476-1729</t>
  </si>
  <si>
    <t>SkÃ³rzec</t>
  </si>
  <si>
    <t>64-803-7087</t>
  </si>
  <si>
    <t>SÃ£o JoÃ£o dos Inhamuns</t>
  </si>
  <si>
    <t>01-925-4021</t>
  </si>
  <si>
    <t>Tambaksari</t>
  </si>
  <si>
    <t>51-116-5937</t>
  </si>
  <si>
    <t>Lazarat</t>
  </si>
  <si>
    <t>72-454-2741</t>
  </si>
  <si>
    <t>Belene</t>
  </si>
  <si>
    <t>96-484-1000</t>
  </si>
  <si>
    <t>Xiangshan</t>
  </si>
  <si>
    <t>07-834-3350</t>
  </si>
  <si>
    <t>11-802-5604</t>
  </si>
  <si>
    <t>Zengfu</t>
  </si>
  <si>
    <t>41-750-4105</t>
  </si>
  <si>
    <t>Tingsryd</t>
  </si>
  <si>
    <t>31-491-8457</t>
  </si>
  <si>
    <t>Tipaz</t>
  </si>
  <si>
    <t>86-257-9581</t>
  </si>
  <si>
    <t>WÄdÄ« as SalqÄ</t>
  </si>
  <si>
    <t>22-981-6595</t>
  </si>
  <si>
    <t>Wasagu</t>
  </si>
  <si>
    <t>54-002-5845</t>
  </si>
  <si>
    <t>Wangsi</t>
  </si>
  <si>
    <t>31-927-7787</t>
  </si>
  <si>
    <t>Esmeralda</t>
  </si>
  <si>
    <t>46-098-9737</t>
  </si>
  <si>
    <t>Chivilcoy</t>
  </si>
  <si>
    <t>27-017-7173</t>
  </si>
  <si>
    <t>SÃ£o Miguel do Araguaia</t>
  </si>
  <si>
    <t>53-102-9949</t>
  </si>
  <si>
    <t>Libei</t>
  </si>
  <si>
    <t>02-676-9312</t>
  </si>
  <si>
    <t>28-969-7540</t>
  </si>
  <si>
    <t>KuÃ§ovÃ«</t>
  </si>
  <si>
    <t>30-083-9565</t>
  </si>
  <si>
    <t>Bokong Timur</t>
  </si>
  <si>
    <t>30-975-0306</t>
  </si>
  <si>
    <t>Gaowu</t>
  </si>
  <si>
    <t>14-364-4904</t>
  </si>
  <si>
    <t>GuÃ©ret</t>
  </si>
  <si>
    <t>08-652-2085</t>
  </si>
  <si>
    <t>PostÅ™ekov</t>
  </si>
  <si>
    <t>67-037-2087</t>
  </si>
  <si>
    <t>Gobojango</t>
  </si>
  <si>
    <t>09-737-8354</t>
  </si>
  <si>
    <t>Tandahimba</t>
  </si>
  <si>
    <t>12-417-5609</t>
  </si>
  <si>
    <t>Iwade</t>
  </si>
  <si>
    <t>25-096-6830</t>
  </si>
  <si>
    <t>La Guata</t>
  </si>
  <si>
    <t>91-558-5922</t>
  </si>
  <si>
    <t>Saint-Brieuc</t>
  </si>
  <si>
    <t>25-560-4506</t>
  </si>
  <si>
    <t>Paya Dapur</t>
  </si>
  <si>
    <t>33-609-0598</t>
  </si>
  <si>
    <t>Xinzha</t>
  </si>
  <si>
    <t>45-337-1798</t>
  </si>
  <si>
    <t>Al QÄrah</t>
  </si>
  <si>
    <t>34-265-8558</t>
  </si>
  <si>
    <t>Antipolo</t>
  </si>
  <si>
    <t>67-323-7406</t>
  </si>
  <si>
    <t>Yuyangguan</t>
  </si>
  <si>
    <t>40-149-8247</t>
  </si>
  <si>
    <t>Qiman</t>
  </si>
  <si>
    <t>37-361-8691</t>
  </si>
  <si>
    <t>Maguwon</t>
  </si>
  <si>
    <t>17-763-9416</t>
  </si>
  <si>
    <t>Tsibulev</t>
  </si>
  <si>
    <t>56-453-8263</t>
  </si>
  <si>
    <t>San Antonio Aguas Calientes</t>
  </si>
  <si>
    <t>19-560-0717</t>
  </si>
  <si>
    <t>Pombas</t>
  </si>
  <si>
    <t>40-199-1803</t>
  </si>
  <si>
    <t>Kuâ€˜aydinah</t>
  </si>
  <si>
    <t>09-332-0236</t>
  </si>
  <si>
    <t>San Marcos</t>
  </si>
  <si>
    <t>83-982-5300</t>
  </si>
  <si>
    <t>Chum Phae</t>
  </si>
  <si>
    <t>46-662-1571</t>
  </si>
  <si>
    <t>La Laja</t>
  </si>
  <si>
    <t>20-699-9217</t>
  </si>
  <si>
    <t>San Juan del Cesar</t>
  </si>
  <si>
    <t>26-150-0209</t>
  </si>
  <si>
    <t>Taiyigong</t>
  </si>
  <si>
    <t>94-985-5336</t>
  </si>
  <si>
    <t>97-715-3606</t>
  </si>
  <si>
    <t>Tayabamba</t>
  </si>
  <si>
    <t>02-100-4320</t>
  </si>
  <si>
    <t>Majennang</t>
  </si>
  <si>
    <t>16-070-0138</t>
  </si>
  <si>
    <t>Njeru</t>
  </si>
  <si>
    <t>82-474-5074</t>
  </si>
  <si>
    <t>Ambatolaona</t>
  </si>
  <si>
    <t>36-444-5336</t>
  </si>
  <si>
    <t>Jianggang</t>
  </si>
  <si>
    <t>54-680-5344</t>
  </si>
  <si>
    <t>Langkou</t>
  </si>
  <si>
    <t>16-364-8096</t>
  </si>
  <si>
    <t>HornÃ­ SuchÃ¡</t>
  </si>
  <si>
    <t>62-644-8183</t>
  </si>
  <si>
    <t>Haradok</t>
  </si>
  <si>
    <t>59-971-0799</t>
  </si>
  <si>
    <t>Vichuga</t>
  </si>
  <si>
    <t>64-031-2046</t>
  </si>
  <si>
    <t>Luci</t>
  </si>
  <si>
    <t>87-079-0237</t>
  </si>
  <si>
    <t>Guolemude</t>
  </si>
  <si>
    <t>78-091-8662</t>
  </si>
  <si>
    <t>Prengtale</t>
  </si>
  <si>
    <t>62-720-2922</t>
  </si>
  <si>
    <t>Cabanas</t>
  </si>
  <si>
    <t>47-528-3961</t>
  </si>
  <si>
    <t>FaÄ«áº•ÄbÄd</t>
  </si>
  <si>
    <t>21-808-2293</t>
  </si>
  <si>
    <t>Sukumo</t>
  </si>
  <si>
    <t>22-022-9256</t>
  </si>
  <si>
    <t>Fenglu</t>
  </si>
  <si>
    <t>96-772-7220</t>
  </si>
  <si>
    <t>Tanjungbalai</t>
  </si>
  <si>
    <t>25-866-7286</t>
  </si>
  <si>
    <t>Carrefour</t>
  </si>
  <si>
    <t>72-694-4159</t>
  </si>
  <si>
    <t>10-079-8237</t>
  </si>
  <si>
    <t>Hejiang</t>
  </si>
  <si>
    <t>47-460-8015</t>
  </si>
  <si>
    <t>Yaizu</t>
  </si>
  <si>
    <t>06-061-0023</t>
  </si>
  <si>
    <t>KembÃ©</t>
  </si>
  <si>
    <t>80-487-2550</t>
  </si>
  <si>
    <t>Novokayakent</t>
  </si>
  <si>
    <t>23-617-2637</t>
  </si>
  <si>
    <t>Hekou</t>
  </si>
  <si>
    <t>60-005-5187</t>
  </si>
  <si>
    <t>Bailadores</t>
  </si>
  <si>
    <t>24-371-5870</t>
  </si>
  <si>
    <t>Masuda</t>
  </si>
  <si>
    <t>02-055-8248</t>
  </si>
  <si>
    <t>Martanesh</t>
  </si>
  <si>
    <t>54-238-5459</t>
  </si>
  <si>
    <t>Xinzhou</t>
  </si>
  <si>
    <t>85-922-0190</t>
  </si>
  <si>
    <t>Nanfeng</t>
  </si>
  <si>
    <t>48-271-1908</t>
  </si>
  <si>
    <t>Oke Ila</t>
  </si>
  <si>
    <t>46-978-3874</t>
  </si>
  <si>
    <t>Rio Pardo</t>
  </si>
  <si>
    <t>53-595-7635</t>
  </si>
  <si>
    <t>Pingtang</t>
  </si>
  <si>
    <t>08-185-6608</t>
  </si>
  <si>
    <t>Podbrdo</t>
  </si>
  <si>
    <t>20-562-2569</t>
  </si>
  <si>
    <t>Aramayuan</t>
  </si>
  <si>
    <t>41-366-4205</t>
  </si>
  <si>
    <t>Paquera</t>
  </si>
  <si>
    <t>77-241-7621</t>
  </si>
  <si>
    <t>Warudoyong</t>
  </si>
  <si>
    <t>53-091-2176</t>
  </si>
  <si>
    <t>BÃ©ziers</t>
  </si>
  <si>
    <t>48-203-9118</t>
  </si>
  <si>
    <t>Dongzhou</t>
  </si>
  <si>
    <t>Month</t>
  </si>
  <si>
    <t>Year</t>
  </si>
  <si>
    <t>Sum of Purchase_Amount</t>
  </si>
  <si>
    <t>Row Labels</t>
  </si>
  <si>
    <t>Age-Group</t>
  </si>
  <si>
    <t>0-18</t>
  </si>
  <si>
    <t>19-29</t>
  </si>
  <si>
    <t>30-49</t>
  </si>
  <si>
    <t>70+</t>
  </si>
  <si>
    <t>2024</t>
  </si>
  <si>
    <t>2025</t>
  </si>
  <si>
    <t>2026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</si>
  <si>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</si>
  <si>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</si>
  <si>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</si>
  <si>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</si>
  <si>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</si>
  <si>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</si>
  <si>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</si>
  <si>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</si>
  <si>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</si>
  <si>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</si>
  <si>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</si>
  <si>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</si>
  <si>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FALSE</t>
  </si>
  <si>
    <t>TRUE</t>
  </si>
  <si>
    <t>Average of Purchase_Amount</t>
  </si>
  <si>
    <t>Average of Customer_Satisfaction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</si>
</sst>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&quot;₹&quot;\ #,##0.00"/>
    <numFmt numFmtId="165" formatCode="[$-14009]dd/mm/yyyy;@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8">
    <xf numFmtId="0" fontId="0" fillId="0" borderId="0" xfId="0"/>
    <xf numFmtId="14" fontId="0" fillId="0" borderId="0" xfId="0" applyNumberFormat="1"/>
    <xf numFmtId="164" fontId="0" fillId="0" borderId="0" xfId="0" applyNumberFormat="1"/>
    <xf numFmtId="165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9" fontId="0" fillId="0" borderId="0" xfId="0" applyNumberFormat="1"/>
    <xf numFmtId="10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6.xml"/><Relationship Id="rId13" Type="http://schemas.openxmlformats.org/officeDocument/2006/relationships/pivotCacheDefinition" Target="pivotCache/pivotCacheDefinition11.xml"/><Relationship Id="rId18" Type="http://schemas.openxmlformats.org/officeDocument/2006/relationships/pivotCacheDefinition" Target="pivotCache/pivotCacheDefinition16.xml"/><Relationship Id="rId26" Type="http://schemas.openxmlformats.org/officeDocument/2006/relationships/sharedStrings" Target="sharedStrings.xml"/><Relationship Id="rId3" Type="http://schemas.openxmlformats.org/officeDocument/2006/relationships/pivotCacheDefinition" Target="pivotCache/pivotCacheDefinition1.xml"/><Relationship Id="rId21" Type="http://schemas.openxmlformats.org/officeDocument/2006/relationships/pivotCacheDefinition" Target="pivotCache/pivotCacheDefinition19.xml"/><Relationship Id="rId7" Type="http://schemas.openxmlformats.org/officeDocument/2006/relationships/pivotCacheDefinition" Target="pivotCache/pivotCacheDefinition5.xml"/><Relationship Id="rId12" Type="http://schemas.openxmlformats.org/officeDocument/2006/relationships/pivotCacheDefinition" Target="pivotCache/pivotCacheDefinition10.xml"/><Relationship Id="rId17" Type="http://schemas.openxmlformats.org/officeDocument/2006/relationships/pivotCacheDefinition" Target="pivotCache/pivotCacheDefinition15.xml"/><Relationship Id="rId25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pivotCacheDefinition" Target="pivotCache/pivotCacheDefinition14.xml"/><Relationship Id="rId20" Type="http://schemas.openxmlformats.org/officeDocument/2006/relationships/pivotCacheDefinition" Target="pivotCache/pivotCacheDefinition18.xml"/><Relationship Id="rId29" Type="http://schemas.microsoft.com/office/2017/10/relationships/person" Target="persons/person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4.xml"/><Relationship Id="rId11" Type="http://schemas.openxmlformats.org/officeDocument/2006/relationships/pivotCacheDefinition" Target="pivotCache/pivotCacheDefinition9.xml"/><Relationship Id="rId24" Type="http://schemas.openxmlformats.org/officeDocument/2006/relationships/connections" Target="connections.xml"/><Relationship Id="rId5" Type="http://schemas.openxmlformats.org/officeDocument/2006/relationships/pivotCacheDefinition" Target="pivotCache/pivotCacheDefinition3.xml"/><Relationship Id="rId15" Type="http://schemas.openxmlformats.org/officeDocument/2006/relationships/pivotCacheDefinition" Target="pivotCache/pivotCacheDefinition13.xml"/><Relationship Id="rId23" Type="http://schemas.openxmlformats.org/officeDocument/2006/relationships/theme" Target="theme/theme1.xml"/><Relationship Id="rId28" Type="http://schemas.openxmlformats.org/officeDocument/2006/relationships/powerPivotData" Target="model/item.data"/><Relationship Id="rId10" Type="http://schemas.openxmlformats.org/officeDocument/2006/relationships/pivotCacheDefinition" Target="pivotCache/pivotCacheDefinition8.xml"/><Relationship Id="rId19" Type="http://schemas.openxmlformats.org/officeDocument/2006/relationships/pivotCacheDefinition" Target="pivotCache/pivotCacheDefinition17.xml"/><Relationship Id="rId31" Type="http://schemas.openxmlformats.org/officeDocument/2006/relationships/customXml" Target="../customXml/item1.xml"/><Relationship Id="rId4" Type="http://schemas.openxmlformats.org/officeDocument/2006/relationships/pivotCacheDefinition" Target="pivotCache/pivotCacheDefinition2.xml"/><Relationship Id="rId9" Type="http://schemas.openxmlformats.org/officeDocument/2006/relationships/pivotCacheDefinition" Target="pivotCache/pivotCacheDefinition7.xml"/><Relationship Id="rId14" Type="http://schemas.openxmlformats.org/officeDocument/2006/relationships/pivotCacheDefinition" Target="pivotCache/pivotCacheDefinition12.xml"/><Relationship Id="rId22" Type="http://schemas.openxmlformats.org/officeDocument/2006/relationships/pivotCacheDefinition" Target="pivotCache/pivotCacheDefinition20.xml"/><Relationship Id="rId27" Type="http://schemas.openxmlformats.org/officeDocument/2006/relationships/sheetMetadata" Target="metadata.xml"/><Relationship Id="rId30" Type="http://schemas.openxmlformats.org/officeDocument/2006/relationships/calcChain" Target="calcChain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SHILPA ROY" refreshedDate="46174.040704513885" backgroundQuery="1" createdVersion="8" refreshedVersion="8" minRefreshableVersion="3" recordCount="0" supportSubquery="1" supportAdvancedDrill="1" xr:uid="{1D538100-784E-4EA2-B188-4A66C3618422}">
  <cacheSource type="external" connectionId="1"/>
  <cacheFields count="2">
    <cacheField name="[Range].[Year].[Year]" caption="Year" numFmtId="0" hierarchy="25" level="1">
      <sharedItems count="3">
        <s v="2024"/>
        <s v="2025"/>
        <s v="2026"/>
      </sharedItems>
    </cacheField>
    <cacheField name="[Measures].[Sum of Purchase_Amount]" caption="Sum of Purchase_Amount" numFmtId="0" hierarchy="37" level="32767"/>
  </cacheFields>
  <cacheHierarchies count="46">
    <cacheHierarchy uniqueName="[Range].[Customer_ID]" caption="Customer_ID" attribute="1" defaultMemberUniqueName="[Range].[Customer_ID].[All]" allUniqueName="[Range].[Customer_ID].[All]" dimensionUniqueName="[Range]" displayFolder="" count="0" memberValueDatatype="130" unbalanced="0"/>
    <cacheHierarchy uniqueName="[Range].[Age]" caption="Age" attribute="1" defaultMemberUniqueName="[Range].[Age].[All]" allUniqueName="[Range].[Age].[All]" dimensionUniqueName="[Range]" displayFolder="" count="0" memberValueDatatype="20" unbalanced="0"/>
    <cacheHierarchy uniqueName="[Range].[Age-Group]" caption="Age-Group" attribute="1" defaultMemberUniqueName="[Range].[Age-Group].[All]" allUniqueName="[Range].[Age-Group].[All]" dimensionUniqueName="[Range]" displayFolder="" count="0" memberValueDatatype="130" unbalanced="0"/>
    <cacheHierarchy uniqueName="[Range].[Gender]" caption="Gender" attribute="1" defaultMemberUniqueName="[Range].[Gender].[All]" allUniqueName="[Range].[Gender].[All]" dimensionUniqueName="[Range]" displayFolder="" count="0" memberValueDatatype="130" unbalanced="0"/>
    <cacheHierarchy uniqueName="[Range].[Income_Level]" caption="Income_Level" attribute="1" defaultMemberUniqueName="[Range].[Income_Level].[All]" allUniqueName="[Range].[Income_Level].[All]" dimensionUniqueName="[Range]" displayFolder="" count="0" memberValueDatatype="130" unbalanced="0"/>
    <cacheHierarchy uniqueName="[Range].[Marital_Status]" caption="Marital_Status" attribute="1" defaultMemberUniqueName="[Range].[Marital_Status].[All]" allUniqueName="[Range].[Marital_Status].[All]" dimensionUniqueName="[Range]" displayFolder="" count="0" memberValueDatatype="130" unbalanced="0"/>
    <cacheHierarchy uniqueName="[Range].[Education_Level]" caption="Education_Level" attribute="1" defaultMemberUniqueName="[Range].[Education_Level].[All]" allUniqueName="[Range].[Education_Level].[All]" dimensionUniqueName="[Range]" displayFolder="" count="0" memberValueDatatype="130" unbalanced="0"/>
    <cacheHierarchy uniqueName="[Range].[Occupation]" caption="Occupation" attribute="1" defaultMemberUniqueName="[Range].[Occupation].[All]" allUniqueName="[Range].[Occupation].[All]" dimensionUniqueName="[Range]" displayFolder="" count="0" memberValueDatatype="130" unbalanced="0"/>
    <cacheHierarchy uniqueName="[Range].[Location]" caption="Location" attribute="1" defaultMemberUniqueName="[Range].[Location].[All]" allUniqueName="[Range].[Location].[All]" dimensionUniqueName="[Range]" displayFolder="" count="0" memberValueDatatype="130" unbalanced="0"/>
    <cacheHierarchy uniqueName="[Range].[Purchase_Category]" caption="Purchase_Category" attribute="1" defaultMemberUniqueName="[Range].[Purchase_Category].[All]" allUniqueName="[Range].[Purchase_Category].[All]" dimensionUniqueName="[Range]" displayFolder="" count="0" memberValueDatatype="130" unbalanced="0"/>
    <cacheHierarchy uniqueName="[Range].[Purchase_Amount]" caption="Purchase_Amount" attribute="1" defaultMemberUniqueName="[Range].[Purchase_Amount].[All]" allUniqueName="[Range].[Purchase_Amount].[All]" dimensionUniqueName="[Range]" displayFolder="" count="0" memberValueDatatype="5" unbalanced="0"/>
    <cacheHierarchy uniqueName="[Range].[Frequency_of_Purchase]" caption="Frequency_of_Purchase" attribute="1" defaultMemberUniqueName="[Range].[Frequency_of_Purchase].[All]" allUniqueName="[Range].[Frequency_of_Purchase].[All]" dimensionUniqueName="[Range]" displayFolder="" count="0" memberValueDatatype="20" unbalanced="0"/>
    <cacheHierarchy uniqueName="[Range].[Purchase_Channel]" caption="Purchase_Channel" attribute="1" defaultMemberUniqueName="[Range].[Purchase_Channel].[All]" allUniqueName="[Range].[Purchase_Channel].[All]" dimensionUniqueName="[Range]" displayFolder="" count="0" memberValueDatatype="130" unbalanced="0"/>
    <cacheHierarchy uniqueName="[Range].[Brand_Loyalty]" caption="Brand_Loyalty" attribute="1" defaultMemberUniqueName="[Range].[Brand_Loyalty].[All]" allUniqueName="[Range].[Brand_Loyalty].[All]" dimensionUniqueName="[Range]" displayFolder="" count="0" memberValueDatatype="20" unbalanced="0"/>
    <cacheHierarchy uniqueName="[Range].[Product_Rating]" caption="Product_Rating" attribute="1" defaultMemberUniqueName="[Range].[Product_Rating].[All]" allUniqueName="[Range].[Product_Rating].[All]" dimensionUniqueName="[Range]" displayFolder="" count="0" memberValueDatatype="20" unbalanced="0"/>
    <cacheHierarchy uniqueName="[Range].[Time_Spent_on_Product_Research(hours)]" caption="Time_Spent_on_Product_Research(hours)" attribute="1" defaultMemberUniqueName="[Range].[Time_Spent_on_Product_Research(hours)].[All]" allUniqueName="[Range].[Time_Spent_on_Product_Research(hours)].[All]" dimensionUniqueName="[Range]" displayFolder="" count="0" memberValueDatatype="5" unbalanced="0"/>
    <cacheHierarchy uniqueName="[Range].[Social_Media_Influence]" caption="Social_Media_Influence" attribute="1" defaultMemberUniqueName="[Range].[Social_Media_Influence].[All]" allUniqueName="[Range].[Social_Media_Influence].[All]" dimensionUniqueName="[Range]" displayFolder="" count="0" memberValueDatatype="130" unbalanced="0"/>
    <cacheHierarchy uniqueName="[Range].[Discount_Sensitivity]" caption="Discount_Sensitivity" attribute="1" defaultMemberUniqueName="[Range].[Discount_Sensitivity].[All]" allUniqueName="[Range].[Discount_Sensitivity].[All]" dimensionUniqueName="[Range]" displayFolder="" count="0" memberValueDatatype="130" unbalanced="0"/>
    <cacheHierarchy uniqueName="[Range].[Return_Rate]" caption="Return_Rate" attribute="1" defaultMemberUniqueName="[Range].[Return_Rate].[All]" allUniqueName="[Range].[Return_Rate].[All]" dimensionUniqueName="[Range]" displayFolder="" count="0" memberValueDatatype="20" unbalanced="0"/>
    <cacheHierarchy uniqueName="[Range].[Customer_Satisfaction]" caption="Customer_Satisfaction" attribute="1" defaultMemberUniqueName="[Range].[Customer_Satisfaction].[All]" allUniqueName="[Range].[Customer_Satisfaction].[All]" dimensionUniqueName="[Range]" displayFolder="" count="0" memberValueDatatype="20" unbalanced="0"/>
    <cacheHierarchy uniqueName="[Range].[Engagement_with_Ads]" caption="Engagement_with_Ads" attribute="1" defaultMemberUniqueName="[Range].[Engagement_with_Ads].[All]" allUniqueName="[Range].[Engagement_with_Ads].[All]" dimensionUniqueName="[Range]" displayFolder="" count="0" memberValueDatatype="130" unbalanced="0"/>
    <cacheHierarchy uniqueName="[Range].[Device_Used_for_Shopping]" caption="Device_Used_for_Shopping" attribute="1" defaultMemberUniqueName="[Range].[Device_Used_for_Shopping].[All]" allUniqueName="[Range].[Device_Used_for_Shopping].[All]" dimensionUniqueName="[Range]" displayFolder="" count="0" memberValueDatatype="130" unbalanced="0"/>
    <cacheHierarchy uniqueName="[Range].[Payment_Method]" caption="Payment_Method" attribute="1" defaultMemberUniqueName="[Range].[Payment_Method].[All]" allUniqueName="[Range].[Payment_Method].[All]" dimensionUniqueName="[Range]" displayFolder="" count="0" memberValueDatatype="130" unbalanced="0"/>
    <cacheHierarchy uniqueName="[Range].[Time_of_Purchase]" caption="Time_of_Purchase" attribute="1" time="1" defaultMemberUniqueName="[Range].[Time_of_Purchase].[All]" allUniqueName="[Range].[Time_of_Purchase].[All]" dimensionUniqueName="[Range]" displayFolder="" count="0" memberValueDatatype="7" unbalanced="0"/>
    <cacheHierarchy uniqueName="[Range].[Month]" caption="Month" attribute="1" defaultMemberUniqueName="[Range].[Month].[All]" allUniqueName="[Range].[Month].[All]" dimensionUniqueName="[Range]" displayFolder="" count="0" memberValueDatatype="130" unbalanced="0"/>
    <cacheHierarchy uniqueName="[Range].[Year]" caption="Year" attribute="1" defaultMemberUniqueName="[Range].[Year].[All]" allUniqueName="[Range].[Year].[All]" dimensionUniqueName="[Range]" displayFolder="" count="2" memberValueDatatype="130" unbalanced="0">
      <fieldsUsage count="2">
        <fieldUsage x="-1"/>
        <fieldUsage x="0"/>
      </fieldsUsage>
    </cacheHierarchy>
    <cacheHierarchy uniqueName="[Range].[Discount_Used]" caption="Discount_Used" attribute="1" defaultMemberUniqueName="[Range].[Discount_Used].[All]" allUniqueName="[Range].[Discount_Used].[All]" dimensionUniqueName="[Range]" displayFolder="" count="0" memberValueDatatype="11" unbalanced="0"/>
    <cacheHierarchy uniqueName="[Range].[Customer_Loyalty_Program_Member]" caption="Customer_Loyalty_Program_Member" attribute="1" defaultMemberUniqueName="[Range].[Customer_Loyalty_Program_Member].[All]" allUniqueName="[Range].[Customer_Loyalty_Program_Member].[All]" dimensionUniqueName="[Range]" displayFolder="" count="0" memberValueDatatype="11" unbalanced="0"/>
    <cacheHierarchy uniqueName="[Range].[Purchase_Intent]" caption="Purchase_Intent" attribute="1" defaultMemberUniqueName="[Range].[Purchase_Intent].[All]" allUniqueName="[Range].[Purchase_Intent].[All]" dimensionUniqueName="[Range]" displayFolder="" count="0" memberValueDatatype="130" unbalanced="0"/>
    <cacheHierarchy uniqueName="[Range].[Shipping_Preference]" caption="Shipping_Preference" attribute="1" defaultMemberUniqueName="[Range].[Shipping_Preference].[All]" allUniqueName="[Range].[Shipping_Preference].[All]" dimensionUniqueName="[Range]" displayFolder="" count="0" memberValueDatatype="130" unbalanced="0"/>
    <cacheHierarchy uniqueName="[Range].[Time_to_Decision]" caption="Time_to_Decision" attribute="1" defaultMemberUniqueName="[Range].[Time_to_Decision].[All]" allUniqueName="[Range].[Time_to_Decision].[All]" dimensionUniqueName="[Range]" displayFolder="" count="0" memberValueDatatype="20" unbalanced="0"/>
    <cacheHierarchy uniqueName="[Range].[Time_of_Purchase (Year)]" caption="Time_of_Purchase (Year)" attribute="1" defaultMemberUniqueName="[Range].[Time_of_Purchase (Year)].[All]" allUniqueName="[Range].[Time_of_Purchase (Year)].[All]" dimensionUniqueName="[Range]" displayFolder="" count="0" memberValueDatatype="130" unbalanced="0"/>
    <cacheHierarchy uniqueName="[Range].[Time_of_Purchase (Quarter)]" caption="Time_of_Purchase (Quarter)" attribute="1" defaultMemberUniqueName="[Range].[Time_of_Purchase (Quarter)].[All]" allUniqueName="[Range].[Time_of_Purchase (Quarter)].[All]" dimensionUniqueName="[Range]" displayFolder="" count="0" memberValueDatatype="130" unbalanced="0"/>
    <cacheHierarchy uniqueName="[Range].[Time_of_Purchase (Month)]" caption="Time_of_Purchase (Month)" attribute="1" defaultMemberUniqueName="[Range].[Time_of_Purchase (Month)].[All]" allUniqueName="[Range].[Time_of_Purchase (Month)].[All]" dimensionUniqueName="[Range]" displayFolder="" count="0" memberValueDatatype="130" unbalanced="0"/>
    <cacheHierarchy uniqueName="[Range].[Time_of_Purchase (Month Index)]" caption="Time_of_Purchase (Month Index)" attribute="1" defaultMemberUniqueName="[Range].[Time_of_Purchase (Month Index)].[All]" allUniqueName="[Range].[Time_of_Purchase (Month Index)].[All]" dimensionUniqueName="[Range]" displayFolder="" count="0" memberValueDatatype="20" unbalanced="0" hidden="1"/>
    <cacheHierarchy uniqueName="[Measures].[__XL_Count Range]" caption="__XL_Count Range" measure="1" displayFolder="" measureGroup="Range" count="0" hidden="1"/>
    <cacheHierarchy uniqueName="[Measures].[__No measures defined]" caption="__No measures defined" measure="1" displayFolder="" count="0" hidden="1"/>
    <cacheHierarchy uniqueName="[Measures].[Sum of Purchase_Amount]" caption="Sum of Purchase_Amount" measure="1" displayFolder="" measureGroup="Range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10"/>
        </ext>
      </extLst>
    </cacheHierarchy>
    <cacheHierarchy uniqueName="[Measures].[Sum of Time_Spent_on_Product_Research(hours)]" caption="Sum of Time_Spent_on_Product_Research(hours)" measure="1" displayFolder="" measureGroup="Range" count="0" hidden="1">
      <extLst>
        <ext xmlns:x15="http://schemas.microsoft.com/office/spreadsheetml/2010/11/main" uri="{B97F6D7D-B522-45F9-BDA1-12C45D357490}">
          <x15:cacheHierarchy aggregatedColumn="15"/>
        </ext>
      </extLst>
    </cacheHierarchy>
    <cacheHierarchy uniqueName="[Measures].[Sum of Time_to_Decision]" caption="Sum of Time_to_Decision" measure="1" displayFolder="" measureGroup="Range" count="0" hidden="1">
      <extLst>
        <ext xmlns:x15="http://schemas.microsoft.com/office/spreadsheetml/2010/11/main" uri="{B97F6D7D-B522-45F9-BDA1-12C45D357490}">
          <x15:cacheHierarchy aggregatedColumn="30"/>
        </ext>
      </extLst>
    </cacheHierarchy>
    <cacheHierarchy uniqueName="[Measures].[Sum of Brand_Loyalty]" caption="Sum of Brand_Loyalty" measure="1" displayFolder="" measureGroup="Range" count="0" hidden="1"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Average of Purchase_Amount]" caption="Average of Purchase_Amount" measure="1" displayFolder="" measureGroup="Range" count="0" hidden="1">
      <extLst>
        <ext xmlns:x15="http://schemas.microsoft.com/office/spreadsheetml/2010/11/main" uri="{B97F6D7D-B522-45F9-BDA1-12C45D357490}">
          <x15:cacheHierarchy aggregatedColumn="10"/>
        </ext>
      </extLst>
    </cacheHierarchy>
    <cacheHierarchy uniqueName="[Measures].[Sum of Return_Rate]" caption="Sum of Return_Rate" measure="1" displayFolder="" measureGroup="Range" count="0" hidden="1">
      <extLst>
        <ext xmlns:x15="http://schemas.microsoft.com/office/spreadsheetml/2010/11/main" uri="{B97F6D7D-B522-45F9-BDA1-12C45D357490}">
          <x15:cacheHierarchy aggregatedColumn="18"/>
        </ext>
      </extLst>
    </cacheHierarchy>
    <cacheHierarchy uniqueName="[Measures].[Sum of Product_Rating]" caption="Sum of Product_Rating" measure="1" displayFolder="" measureGroup="Range" count="0" hidden="1">
      <extLst>
        <ext xmlns:x15="http://schemas.microsoft.com/office/spreadsheetml/2010/11/main" uri="{B97F6D7D-B522-45F9-BDA1-12C45D357490}">
          <x15:cacheHierarchy aggregatedColumn="14"/>
        </ext>
      </extLst>
    </cacheHierarchy>
    <cacheHierarchy uniqueName="[Measures].[Sum of Customer_Satisfaction]" caption="Sum of Customer_Satisfaction" measure="1" displayFolder="" measureGroup="Range" count="0" hidden="1">
      <extLst>
        <ext xmlns:x15="http://schemas.microsoft.com/office/spreadsheetml/2010/11/main" uri="{B97F6D7D-B522-45F9-BDA1-12C45D357490}">
          <x15:cacheHierarchy aggregatedColumn="19"/>
        </ext>
      </extLst>
    </cacheHierarchy>
    <cacheHierarchy uniqueName="[Measures].[Average of Customer_Satisfaction]" caption="Average of Customer_Satisfaction" measure="1" displayFolder="" measureGroup="Range" count="0" hidden="1">
      <extLst>
        <ext xmlns:x15="http://schemas.microsoft.com/office/spreadsheetml/2010/11/main" uri="{B97F6D7D-B522-45F9-BDA1-12C45D357490}">
          <x15:cacheHierarchy aggregatedColumn="19"/>
        </ext>
      </extLst>
    </cacheHierarchy>
  </cacheHierarchies>
  <kpis count="0"/>
  <dimensions count="2">
    <dimension measure="1" name="Measures" uniqueName="[Measures]" caption="Measures"/>
    <dimension name="Range" uniqueName="[Range]" caption="Range"/>
  </dimensions>
  <measureGroups count="1">
    <measureGroup name="Range" caption="Range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SHILPA ROY" refreshedDate="46174.026180555556" backgroundQuery="1" createdVersion="8" refreshedVersion="8" minRefreshableVersion="3" recordCount="0" supportSubquery="1" supportAdvancedDrill="1" xr:uid="{D1438E45-38B8-4BF8-8C65-F14ADBCFB66A}">
  <cacheSource type="external" connectionId="1"/>
  <cacheFields count="2">
    <cacheField name="[Range].[Purchase_Channel].[Purchase_Channel]" caption="Purchase_Channel" numFmtId="0" hierarchy="12" level="1">
      <sharedItems count="3">
        <s v="In-Store"/>
        <s v="Mixed"/>
        <s v="Online"/>
      </sharedItems>
    </cacheField>
    <cacheField name="[Measures].[Sum of Purchase_Amount]" caption="Sum of Purchase_Amount" numFmtId="0" hierarchy="37" level="32767"/>
  </cacheFields>
  <cacheHierarchies count="46">
    <cacheHierarchy uniqueName="[Range].[Customer_ID]" caption="Customer_ID" attribute="1" defaultMemberUniqueName="[Range].[Customer_ID].[All]" allUniqueName="[Range].[Customer_ID].[All]" dimensionUniqueName="[Range]" displayFolder="" count="0" memberValueDatatype="130" unbalanced="0"/>
    <cacheHierarchy uniqueName="[Range].[Age]" caption="Age" attribute="1" defaultMemberUniqueName="[Range].[Age].[All]" allUniqueName="[Range].[Age].[All]" dimensionUniqueName="[Range]" displayFolder="" count="0" memberValueDatatype="20" unbalanced="0"/>
    <cacheHierarchy uniqueName="[Range].[Age-Group]" caption="Age-Group" attribute="1" defaultMemberUniqueName="[Range].[Age-Group].[All]" allUniqueName="[Range].[Age-Group].[All]" dimensionUniqueName="[Range]" displayFolder="" count="0" memberValueDatatype="130" unbalanced="0"/>
    <cacheHierarchy uniqueName="[Range].[Gender]" caption="Gender" attribute="1" defaultMemberUniqueName="[Range].[Gender].[All]" allUniqueName="[Range].[Gender].[All]" dimensionUniqueName="[Range]" displayFolder="" count="0" memberValueDatatype="130" unbalanced="0"/>
    <cacheHierarchy uniqueName="[Range].[Income_Level]" caption="Income_Level" attribute="1" defaultMemberUniqueName="[Range].[Income_Level].[All]" allUniqueName="[Range].[Income_Level].[All]" dimensionUniqueName="[Range]" displayFolder="" count="0" memberValueDatatype="130" unbalanced="0"/>
    <cacheHierarchy uniqueName="[Range].[Marital_Status]" caption="Marital_Status" attribute="1" defaultMemberUniqueName="[Range].[Marital_Status].[All]" allUniqueName="[Range].[Marital_Status].[All]" dimensionUniqueName="[Range]" displayFolder="" count="0" memberValueDatatype="130" unbalanced="0"/>
    <cacheHierarchy uniqueName="[Range].[Education_Level]" caption="Education_Level" attribute="1" defaultMemberUniqueName="[Range].[Education_Level].[All]" allUniqueName="[Range].[Education_Level].[All]" dimensionUniqueName="[Range]" displayFolder="" count="0" memberValueDatatype="130" unbalanced="0"/>
    <cacheHierarchy uniqueName="[Range].[Occupation]" caption="Occupation" attribute="1" defaultMemberUniqueName="[Range].[Occupation].[All]" allUniqueName="[Range].[Occupation].[All]" dimensionUniqueName="[Range]" displayFolder="" count="0" memberValueDatatype="130" unbalanced="0"/>
    <cacheHierarchy uniqueName="[Range].[Location]" caption="Location" attribute="1" defaultMemberUniqueName="[Range].[Location].[All]" allUniqueName="[Range].[Location].[All]" dimensionUniqueName="[Range]" displayFolder="" count="0" memberValueDatatype="130" unbalanced="0"/>
    <cacheHierarchy uniqueName="[Range].[Purchase_Category]" caption="Purchase_Category" attribute="1" defaultMemberUniqueName="[Range].[Purchase_Category].[All]" allUniqueName="[Range].[Purchase_Category].[All]" dimensionUniqueName="[Range]" displayFolder="" count="0" memberValueDatatype="130" unbalanced="0"/>
    <cacheHierarchy uniqueName="[Range].[Purchase_Amount]" caption="Purchase_Amount" attribute="1" defaultMemberUniqueName="[Range].[Purchase_Amount].[All]" allUniqueName="[Range].[Purchase_Amount].[All]" dimensionUniqueName="[Range]" displayFolder="" count="0" memberValueDatatype="5" unbalanced="0"/>
    <cacheHierarchy uniqueName="[Range].[Frequency_of_Purchase]" caption="Frequency_of_Purchase" attribute="1" defaultMemberUniqueName="[Range].[Frequency_of_Purchase].[All]" allUniqueName="[Range].[Frequency_of_Purchase].[All]" dimensionUniqueName="[Range]" displayFolder="" count="0" memberValueDatatype="20" unbalanced="0"/>
    <cacheHierarchy uniqueName="[Range].[Purchase_Channel]" caption="Purchase_Channel" attribute="1" defaultMemberUniqueName="[Range].[Purchase_Channel].[All]" allUniqueName="[Range].[Purchase_Channel].[All]" dimensionUniqueName="[Range]" displayFolder="" count="2" memberValueDatatype="130" unbalanced="0">
      <fieldsUsage count="2">
        <fieldUsage x="-1"/>
        <fieldUsage x="0"/>
      </fieldsUsage>
    </cacheHierarchy>
    <cacheHierarchy uniqueName="[Range].[Brand_Loyalty]" caption="Brand_Loyalty" attribute="1" defaultMemberUniqueName="[Range].[Brand_Loyalty].[All]" allUniqueName="[Range].[Brand_Loyalty].[All]" dimensionUniqueName="[Range]" displayFolder="" count="0" memberValueDatatype="20" unbalanced="0"/>
    <cacheHierarchy uniqueName="[Range].[Product_Rating]" caption="Product_Rating" attribute="1" defaultMemberUniqueName="[Range].[Product_Rating].[All]" allUniqueName="[Range].[Product_Rating].[All]" dimensionUniqueName="[Range]" displayFolder="" count="0" memberValueDatatype="20" unbalanced="0"/>
    <cacheHierarchy uniqueName="[Range].[Time_Spent_on_Product_Research(hours)]" caption="Time_Spent_on_Product_Research(hours)" attribute="1" defaultMemberUniqueName="[Range].[Time_Spent_on_Product_Research(hours)].[All]" allUniqueName="[Range].[Time_Spent_on_Product_Research(hours)].[All]" dimensionUniqueName="[Range]" displayFolder="" count="0" memberValueDatatype="5" unbalanced="0"/>
    <cacheHierarchy uniqueName="[Range].[Social_Media_Influence]" caption="Social_Media_Influence" attribute="1" defaultMemberUniqueName="[Range].[Social_Media_Influence].[All]" allUniqueName="[Range].[Social_Media_Influence].[All]" dimensionUniqueName="[Range]" displayFolder="" count="0" memberValueDatatype="130" unbalanced="0"/>
    <cacheHierarchy uniqueName="[Range].[Discount_Sensitivity]" caption="Discount_Sensitivity" attribute="1" defaultMemberUniqueName="[Range].[Discount_Sensitivity].[All]" allUniqueName="[Range].[Discount_Sensitivity].[All]" dimensionUniqueName="[Range]" displayFolder="" count="0" memberValueDatatype="130" unbalanced="0"/>
    <cacheHierarchy uniqueName="[Range].[Return_Rate]" caption="Return_Rate" attribute="1" defaultMemberUniqueName="[Range].[Return_Rate].[All]" allUniqueName="[Range].[Return_Rate].[All]" dimensionUniqueName="[Range]" displayFolder="" count="0" memberValueDatatype="20" unbalanced="0"/>
    <cacheHierarchy uniqueName="[Range].[Customer_Satisfaction]" caption="Customer_Satisfaction" attribute="1" defaultMemberUniqueName="[Range].[Customer_Satisfaction].[All]" allUniqueName="[Range].[Customer_Satisfaction].[All]" dimensionUniqueName="[Range]" displayFolder="" count="0" memberValueDatatype="20" unbalanced="0"/>
    <cacheHierarchy uniqueName="[Range].[Engagement_with_Ads]" caption="Engagement_with_Ads" attribute="1" defaultMemberUniqueName="[Range].[Engagement_with_Ads].[All]" allUniqueName="[Range].[Engagement_with_Ads].[All]" dimensionUniqueName="[Range]" displayFolder="" count="0" memberValueDatatype="130" unbalanced="0"/>
    <cacheHierarchy uniqueName="[Range].[Device_Used_for_Shopping]" caption="Device_Used_for_Shopping" attribute="1" defaultMemberUniqueName="[Range].[Device_Used_for_Shopping].[All]" allUniqueName="[Range].[Device_Used_for_Shopping].[All]" dimensionUniqueName="[Range]" displayFolder="" count="0" memberValueDatatype="130" unbalanced="0"/>
    <cacheHierarchy uniqueName="[Range].[Payment_Method]" caption="Payment_Method" attribute="1" defaultMemberUniqueName="[Range].[Payment_Method].[All]" allUniqueName="[Range].[Payment_Method].[All]" dimensionUniqueName="[Range]" displayFolder="" count="0" memberValueDatatype="130" unbalanced="0"/>
    <cacheHierarchy uniqueName="[Range].[Time_of_Purchase]" caption="Time_of_Purchase" attribute="1" time="1" defaultMemberUniqueName="[Range].[Time_of_Purchase].[All]" allUniqueName="[Range].[Time_of_Purchase].[All]" dimensionUniqueName="[Range]" displayFolder="" count="0" memberValueDatatype="7" unbalanced="0"/>
    <cacheHierarchy uniqueName="[Range].[Month]" caption="Month" attribute="1" defaultMemberUniqueName="[Range].[Month].[All]" allUniqueName="[Range].[Month].[All]" dimensionUniqueName="[Range]" displayFolder="" count="0" memberValueDatatype="130" unbalanced="0"/>
    <cacheHierarchy uniqueName="[Range].[Year]" caption="Year" attribute="1" defaultMemberUniqueName="[Range].[Year].[All]" allUniqueName="[Range].[Year].[All]" dimensionUniqueName="[Range]" displayFolder="" count="0" memberValueDatatype="130" unbalanced="0"/>
    <cacheHierarchy uniqueName="[Range].[Discount_Used]" caption="Discount_Used" attribute="1" defaultMemberUniqueName="[Range].[Discount_Used].[All]" allUniqueName="[Range].[Discount_Used].[All]" dimensionUniqueName="[Range]" displayFolder="" count="0" memberValueDatatype="11" unbalanced="0"/>
    <cacheHierarchy uniqueName="[Range].[Customer_Loyalty_Program_Member]" caption="Customer_Loyalty_Program_Member" attribute="1" defaultMemberUniqueName="[Range].[Customer_Loyalty_Program_Member].[All]" allUniqueName="[Range].[Customer_Loyalty_Program_Member].[All]" dimensionUniqueName="[Range]" displayFolder="" count="0" memberValueDatatype="11" unbalanced="0"/>
    <cacheHierarchy uniqueName="[Range].[Purchase_Intent]" caption="Purchase_Intent" attribute="1" defaultMemberUniqueName="[Range].[Purchase_Intent].[All]" allUniqueName="[Range].[Purchase_Intent].[All]" dimensionUniqueName="[Range]" displayFolder="" count="0" memberValueDatatype="130" unbalanced="0"/>
    <cacheHierarchy uniqueName="[Range].[Shipping_Preference]" caption="Shipping_Preference" attribute="1" defaultMemberUniqueName="[Range].[Shipping_Preference].[All]" allUniqueName="[Range].[Shipping_Preference].[All]" dimensionUniqueName="[Range]" displayFolder="" count="0" memberValueDatatype="130" unbalanced="0"/>
    <cacheHierarchy uniqueName="[Range].[Time_to_Decision]" caption="Time_to_Decision" attribute="1" defaultMemberUniqueName="[Range].[Time_to_Decision].[All]" allUniqueName="[Range].[Time_to_Decision].[All]" dimensionUniqueName="[Range]" displayFolder="" count="0" memberValueDatatype="20" unbalanced="0"/>
    <cacheHierarchy uniqueName="[Range].[Time_of_Purchase (Year)]" caption="Time_of_Purchase (Year)" attribute="1" defaultMemberUniqueName="[Range].[Time_of_Purchase (Year)].[All]" allUniqueName="[Range].[Time_of_Purchase (Year)].[All]" dimensionUniqueName="[Range]" displayFolder="" count="0" memberValueDatatype="130" unbalanced="0"/>
    <cacheHierarchy uniqueName="[Range].[Time_of_Purchase (Quarter)]" caption="Time_of_Purchase (Quarter)" attribute="1" defaultMemberUniqueName="[Range].[Time_of_Purchase (Quarter)].[All]" allUniqueName="[Range].[Time_of_Purchase (Quarter)].[All]" dimensionUniqueName="[Range]" displayFolder="" count="0" memberValueDatatype="130" unbalanced="0"/>
    <cacheHierarchy uniqueName="[Range].[Time_of_Purchase (Month)]" caption="Time_of_Purchase (Month)" attribute="1" defaultMemberUniqueName="[Range].[Time_of_Purchase (Month)].[All]" allUniqueName="[Range].[Time_of_Purchase (Month)].[All]" dimensionUniqueName="[Range]" displayFolder="" count="0" memberValueDatatype="130" unbalanced="0"/>
    <cacheHierarchy uniqueName="[Range].[Time_of_Purchase (Month Index)]" caption="Time_of_Purchase (Month Index)" attribute="1" defaultMemberUniqueName="[Range].[Time_of_Purchase (Month Index)].[All]" allUniqueName="[Range].[Time_of_Purchase (Month Index)].[All]" dimensionUniqueName="[Range]" displayFolder="" count="0" memberValueDatatype="20" unbalanced="0" hidden="1"/>
    <cacheHierarchy uniqueName="[Measures].[__XL_Count Range]" caption="__XL_Count Range" measure="1" displayFolder="" measureGroup="Range" count="0" hidden="1"/>
    <cacheHierarchy uniqueName="[Measures].[__No measures defined]" caption="__No measures defined" measure="1" displayFolder="" count="0" hidden="1"/>
    <cacheHierarchy uniqueName="[Measures].[Sum of Purchase_Amount]" caption="Sum of Purchase_Amount" measure="1" displayFolder="" measureGroup="Range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10"/>
        </ext>
      </extLst>
    </cacheHierarchy>
    <cacheHierarchy uniqueName="[Measures].[Sum of Time_Spent_on_Product_Research(hours)]" caption="Sum of Time_Spent_on_Product_Research(hours)" measure="1" displayFolder="" measureGroup="Range" count="0" hidden="1">
      <extLst>
        <ext xmlns:x15="http://schemas.microsoft.com/office/spreadsheetml/2010/11/main" uri="{B97F6D7D-B522-45F9-BDA1-12C45D357490}">
          <x15:cacheHierarchy aggregatedColumn="15"/>
        </ext>
      </extLst>
    </cacheHierarchy>
    <cacheHierarchy uniqueName="[Measures].[Sum of Time_to_Decision]" caption="Sum of Time_to_Decision" measure="1" displayFolder="" measureGroup="Range" count="0" hidden="1">
      <extLst>
        <ext xmlns:x15="http://schemas.microsoft.com/office/spreadsheetml/2010/11/main" uri="{B97F6D7D-B522-45F9-BDA1-12C45D357490}">
          <x15:cacheHierarchy aggregatedColumn="30"/>
        </ext>
      </extLst>
    </cacheHierarchy>
    <cacheHierarchy uniqueName="[Measures].[Sum of Brand_Loyalty]" caption="Sum of Brand_Loyalty" measure="1" displayFolder="" measureGroup="Range" count="0" hidden="1"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Average of Purchase_Amount]" caption="Average of Purchase_Amount" measure="1" displayFolder="" measureGroup="Range" count="0" hidden="1">
      <extLst>
        <ext xmlns:x15="http://schemas.microsoft.com/office/spreadsheetml/2010/11/main" uri="{B97F6D7D-B522-45F9-BDA1-12C45D357490}">
          <x15:cacheHierarchy aggregatedColumn="10"/>
        </ext>
      </extLst>
    </cacheHierarchy>
    <cacheHierarchy uniqueName="[Measures].[Sum of Return_Rate]" caption="Sum of Return_Rate" measure="1" displayFolder="" measureGroup="Range" count="0" hidden="1">
      <extLst>
        <ext xmlns:x15="http://schemas.microsoft.com/office/spreadsheetml/2010/11/main" uri="{B97F6D7D-B522-45F9-BDA1-12C45D357490}">
          <x15:cacheHierarchy aggregatedColumn="18"/>
        </ext>
      </extLst>
    </cacheHierarchy>
    <cacheHierarchy uniqueName="[Measures].[Sum of Product_Rating]" caption="Sum of Product_Rating" measure="1" displayFolder="" measureGroup="Range" count="0" hidden="1">
      <extLst>
        <ext xmlns:x15="http://schemas.microsoft.com/office/spreadsheetml/2010/11/main" uri="{B97F6D7D-B522-45F9-BDA1-12C45D357490}">
          <x15:cacheHierarchy aggregatedColumn="14"/>
        </ext>
      </extLst>
    </cacheHierarchy>
    <cacheHierarchy uniqueName="[Measures].[Sum of Customer_Satisfaction]" caption="Sum of Customer_Satisfaction" measure="1" displayFolder="" measureGroup="Range" count="0" hidden="1">
      <extLst>
        <ext xmlns:x15="http://schemas.microsoft.com/office/spreadsheetml/2010/11/main" uri="{B97F6D7D-B522-45F9-BDA1-12C45D357490}">
          <x15:cacheHierarchy aggregatedColumn="19"/>
        </ext>
      </extLst>
    </cacheHierarchy>
    <cacheHierarchy uniqueName="[Measures].[Average of Customer_Satisfaction]" caption="Average of Customer_Satisfaction" measure="1" displayFolder="" measureGroup="Range" count="0" hidden="1">
      <extLst>
        <ext xmlns:x15="http://schemas.microsoft.com/office/spreadsheetml/2010/11/main" uri="{B97F6D7D-B522-45F9-BDA1-12C45D357490}">
          <x15:cacheHierarchy aggregatedColumn="19"/>
        </ext>
      </extLst>
    </cacheHierarchy>
  </cacheHierarchies>
  <kpis count="0"/>
  <dimensions count="2">
    <dimension measure="1" name="Measures" uniqueName="[Measures]" caption="Measures"/>
    <dimension name="Range" uniqueName="[Range]" caption="Range"/>
  </dimensions>
  <measureGroups count="1">
    <measureGroup name="Range" caption="Range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SHILPA ROY" refreshedDate="46174.026182291665" backgroundQuery="1" createdVersion="8" refreshedVersion="8" minRefreshableVersion="3" recordCount="0" supportSubquery="1" supportAdvancedDrill="1" xr:uid="{40F2A3AF-C306-4D99-9C32-959814F8C16A}">
  <cacheSource type="external" connectionId="1"/>
  <cacheFields count="2">
    <cacheField name="[Range].[Device_Used_for_Shopping].[Device_Used_for_Shopping]" caption="Device_Used_for_Shopping" numFmtId="0" hierarchy="21" level="1">
      <sharedItems count="3">
        <s v="Desktop"/>
        <s v="Smartphone"/>
        <s v="Tablet"/>
      </sharedItems>
    </cacheField>
    <cacheField name="[Measures].[Sum of Purchase_Amount]" caption="Sum of Purchase_Amount" numFmtId="0" hierarchy="37" level="32767"/>
  </cacheFields>
  <cacheHierarchies count="46">
    <cacheHierarchy uniqueName="[Range].[Customer_ID]" caption="Customer_ID" attribute="1" defaultMemberUniqueName="[Range].[Customer_ID].[All]" allUniqueName="[Range].[Customer_ID].[All]" dimensionUniqueName="[Range]" displayFolder="" count="0" memberValueDatatype="130" unbalanced="0"/>
    <cacheHierarchy uniqueName="[Range].[Age]" caption="Age" attribute="1" defaultMemberUniqueName="[Range].[Age].[All]" allUniqueName="[Range].[Age].[All]" dimensionUniqueName="[Range]" displayFolder="" count="0" memberValueDatatype="20" unbalanced="0"/>
    <cacheHierarchy uniqueName="[Range].[Age-Group]" caption="Age-Group" attribute="1" defaultMemberUniqueName="[Range].[Age-Group].[All]" allUniqueName="[Range].[Age-Group].[All]" dimensionUniqueName="[Range]" displayFolder="" count="0" memberValueDatatype="130" unbalanced="0"/>
    <cacheHierarchy uniqueName="[Range].[Gender]" caption="Gender" attribute="1" defaultMemberUniqueName="[Range].[Gender].[All]" allUniqueName="[Range].[Gender].[All]" dimensionUniqueName="[Range]" displayFolder="" count="0" memberValueDatatype="130" unbalanced="0"/>
    <cacheHierarchy uniqueName="[Range].[Income_Level]" caption="Income_Level" attribute="1" defaultMemberUniqueName="[Range].[Income_Level].[All]" allUniqueName="[Range].[Income_Level].[All]" dimensionUniqueName="[Range]" displayFolder="" count="0" memberValueDatatype="130" unbalanced="0"/>
    <cacheHierarchy uniqueName="[Range].[Marital_Status]" caption="Marital_Status" attribute="1" defaultMemberUniqueName="[Range].[Marital_Status].[All]" allUniqueName="[Range].[Marital_Status].[All]" dimensionUniqueName="[Range]" displayFolder="" count="0" memberValueDatatype="130" unbalanced="0"/>
    <cacheHierarchy uniqueName="[Range].[Education_Level]" caption="Education_Level" attribute="1" defaultMemberUniqueName="[Range].[Education_Level].[All]" allUniqueName="[Range].[Education_Level].[All]" dimensionUniqueName="[Range]" displayFolder="" count="0" memberValueDatatype="130" unbalanced="0"/>
    <cacheHierarchy uniqueName="[Range].[Occupation]" caption="Occupation" attribute="1" defaultMemberUniqueName="[Range].[Occupation].[All]" allUniqueName="[Range].[Occupation].[All]" dimensionUniqueName="[Range]" displayFolder="" count="0" memberValueDatatype="130" unbalanced="0"/>
    <cacheHierarchy uniqueName="[Range].[Location]" caption="Location" attribute="1" defaultMemberUniqueName="[Range].[Location].[All]" allUniqueName="[Range].[Location].[All]" dimensionUniqueName="[Range]" displayFolder="" count="0" memberValueDatatype="130" unbalanced="0"/>
    <cacheHierarchy uniqueName="[Range].[Purchase_Category]" caption="Purchase_Category" attribute="1" defaultMemberUniqueName="[Range].[Purchase_Category].[All]" allUniqueName="[Range].[Purchase_Category].[All]" dimensionUniqueName="[Range]" displayFolder="" count="0" memberValueDatatype="130" unbalanced="0"/>
    <cacheHierarchy uniqueName="[Range].[Purchase_Amount]" caption="Purchase_Amount" attribute="1" defaultMemberUniqueName="[Range].[Purchase_Amount].[All]" allUniqueName="[Range].[Purchase_Amount].[All]" dimensionUniqueName="[Range]" displayFolder="" count="0" memberValueDatatype="5" unbalanced="0"/>
    <cacheHierarchy uniqueName="[Range].[Frequency_of_Purchase]" caption="Frequency_of_Purchase" attribute="1" defaultMemberUniqueName="[Range].[Frequency_of_Purchase].[All]" allUniqueName="[Range].[Frequency_of_Purchase].[All]" dimensionUniqueName="[Range]" displayFolder="" count="0" memberValueDatatype="20" unbalanced="0"/>
    <cacheHierarchy uniqueName="[Range].[Purchase_Channel]" caption="Purchase_Channel" attribute="1" defaultMemberUniqueName="[Range].[Purchase_Channel].[All]" allUniqueName="[Range].[Purchase_Channel].[All]" dimensionUniqueName="[Range]" displayFolder="" count="0" memberValueDatatype="130" unbalanced="0"/>
    <cacheHierarchy uniqueName="[Range].[Brand_Loyalty]" caption="Brand_Loyalty" attribute="1" defaultMemberUniqueName="[Range].[Brand_Loyalty].[All]" allUniqueName="[Range].[Brand_Loyalty].[All]" dimensionUniqueName="[Range]" displayFolder="" count="0" memberValueDatatype="20" unbalanced="0"/>
    <cacheHierarchy uniqueName="[Range].[Product_Rating]" caption="Product_Rating" attribute="1" defaultMemberUniqueName="[Range].[Product_Rating].[All]" allUniqueName="[Range].[Product_Rating].[All]" dimensionUniqueName="[Range]" displayFolder="" count="0" memberValueDatatype="20" unbalanced="0"/>
    <cacheHierarchy uniqueName="[Range].[Time_Spent_on_Product_Research(hours)]" caption="Time_Spent_on_Product_Research(hours)" attribute="1" defaultMemberUniqueName="[Range].[Time_Spent_on_Product_Research(hours)].[All]" allUniqueName="[Range].[Time_Spent_on_Product_Research(hours)].[All]" dimensionUniqueName="[Range]" displayFolder="" count="0" memberValueDatatype="5" unbalanced="0"/>
    <cacheHierarchy uniqueName="[Range].[Social_Media_Influence]" caption="Social_Media_Influence" attribute="1" defaultMemberUniqueName="[Range].[Social_Media_Influence].[All]" allUniqueName="[Range].[Social_Media_Influence].[All]" dimensionUniqueName="[Range]" displayFolder="" count="0" memberValueDatatype="130" unbalanced="0"/>
    <cacheHierarchy uniqueName="[Range].[Discount_Sensitivity]" caption="Discount_Sensitivity" attribute="1" defaultMemberUniqueName="[Range].[Discount_Sensitivity].[All]" allUniqueName="[Range].[Discount_Sensitivity].[All]" dimensionUniqueName="[Range]" displayFolder="" count="0" memberValueDatatype="130" unbalanced="0"/>
    <cacheHierarchy uniqueName="[Range].[Return_Rate]" caption="Return_Rate" attribute="1" defaultMemberUniqueName="[Range].[Return_Rate].[All]" allUniqueName="[Range].[Return_Rate].[All]" dimensionUniqueName="[Range]" displayFolder="" count="0" memberValueDatatype="20" unbalanced="0"/>
    <cacheHierarchy uniqueName="[Range].[Customer_Satisfaction]" caption="Customer_Satisfaction" attribute="1" defaultMemberUniqueName="[Range].[Customer_Satisfaction].[All]" allUniqueName="[Range].[Customer_Satisfaction].[All]" dimensionUniqueName="[Range]" displayFolder="" count="0" memberValueDatatype="20" unbalanced="0"/>
    <cacheHierarchy uniqueName="[Range].[Engagement_with_Ads]" caption="Engagement_with_Ads" attribute="1" defaultMemberUniqueName="[Range].[Engagement_with_Ads].[All]" allUniqueName="[Range].[Engagement_with_Ads].[All]" dimensionUniqueName="[Range]" displayFolder="" count="0" memberValueDatatype="130" unbalanced="0"/>
    <cacheHierarchy uniqueName="[Range].[Device_Used_for_Shopping]" caption="Device_Used_for_Shopping" attribute="1" defaultMemberUniqueName="[Range].[Device_Used_for_Shopping].[All]" allUniqueName="[Range].[Device_Used_for_Shopping].[All]" dimensionUniqueName="[Range]" displayFolder="" count="2" memberValueDatatype="130" unbalanced="0">
      <fieldsUsage count="2">
        <fieldUsage x="-1"/>
        <fieldUsage x="0"/>
      </fieldsUsage>
    </cacheHierarchy>
    <cacheHierarchy uniqueName="[Range].[Payment_Method]" caption="Payment_Method" attribute="1" defaultMemberUniqueName="[Range].[Payment_Method].[All]" allUniqueName="[Range].[Payment_Method].[All]" dimensionUniqueName="[Range]" displayFolder="" count="0" memberValueDatatype="130" unbalanced="0"/>
    <cacheHierarchy uniqueName="[Range].[Time_of_Purchase]" caption="Time_of_Purchase" attribute="1" time="1" defaultMemberUniqueName="[Range].[Time_of_Purchase].[All]" allUniqueName="[Range].[Time_of_Purchase].[All]" dimensionUniqueName="[Range]" displayFolder="" count="0" memberValueDatatype="7" unbalanced="0"/>
    <cacheHierarchy uniqueName="[Range].[Month]" caption="Month" attribute="1" defaultMemberUniqueName="[Range].[Month].[All]" allUniqueName="[Range].[Month].[All]" dimensionUniqueName="[Range]" displayFolder="" count="0" memberValueDatatype="130" unbalanced="0"/>
    <cacheHierarchy uniqueName="[Range].[Year]" caption="Year" attribute="1" defaultMemberUniqueName="[Range].[Year].[All]" allUniqueName="[Range].[Year].[All]" dimensionUniqueName="[Range]" displayFolder="" count="0" memberValueDatatype="130" unbalanced="0"/>
    <cacheHierarchy uniqueName="[Range].[Discount_Used]" caption="Discount_Used" attribute="1" defaultMemberUniqueName="[Range].[Discount_Used].[All]" allUniqueName="[Range].[Discount_Used].[All]" dimensionUniqueName="[Range]" displayFolder="" count="0" memberValueDatatype="11" unbalanced="0"/>
    <cacheHierarchy uniqueName="[Range].[Customer_Loyalty_Program_Member]" caption="Customer_Loyalty_Program_Member" attribute="1" defaultMemberUniqueName="[Range].[Customer_Loyalty_Program_Member].[All]" allUniqueName="[Range].[Customer_Loyalty_Program_Member].[All]" dimensionUniqueName="[Range]" displayFolder="" count="0" memberValueDatatype="11" unbalanced="0"/>
    <cacheHierarchy uniqueName="[Range].[Purchase_Intent]" caption="Purchase_Intent" attribute="1" defaultMemberUniqueName="[Range].[Purchase_Intent].[All]" allUniqueName="[Range].[Purchase_Intent].[All]" dimensionUniqueName="[Range]" displayFolder="" count="0" memberValueDatatype="130" unbalanced="0"/>
    <cacheHierarchy uniqueName="[Range].[Shipping_Preference]" caption="Shipping_Preference" attribute="1" defaultMemberUniqueName="[Range].[Shipping_Preference].[All]" allUniqueName="[Range].[Shipping_Preference].[All]" dimensionUniqueName="[Range]" displayFolder="" count="0" memberValueDatatype="130" unbalanced="0"/>
    <cacheHierarchy uniqueName="[Range].[Time_to_Decision]" caption="Time_to_Decision" attribute="1" defaultMemberUniqueName="[Range].[Time_to_Decision].[All]" allUniqueName="[Range].[Time_to_Decision].[All]" dimensionUniqueName="[Range]" displayFolder="" count="0" memberValueDatatype="20" unbalanced="0"/>
    <cacheHierarchy uniqueName="[Range].[Time_of_Purchase (Year)]" caption="Time_of_Purchase (Year)" attribute="1" defaultMemberUniqueName="[Range].[Time_of_Purchase (Year)].[All]" allUniqueName="[Range].[Time_of_Purchase (Year)].[All]" dimensionUniqueName="[Range]" displayFolder="" count="0" memberValueDatatype="130" unbalanced="0"/>
    <cacheHierarchy uniqueName="[Range].[Time_of_Purchase (Quarter)]" caption="Time_of_Purchase (Quarter)" attribute="1" defaultMemberUniqueName="[Range].[Time_of_Purchase (Quarter)].[All]" allUniqueName="[Range].[Time_of_Purchase (Quarter)].[All]" dimensionUniqueName="[Range]" displayFolder="" count="0" memberValueDatatype="130" unbalanced="0"/>
    <cacheHierarchy uniqueName="[Range].[Time_of_Purchase (Month)]" caption="Time_of_Purchase (Month)" attribute="1" defaultMemberUniqueName="[Range].[Time_of_Purchase (Month)].[All]" allUniqueName="[Range].[Time_of_Purchase (Month)].[All]" dimensionUniqueName="[Range]" displayFolder="" count="0" memberValueDatatype="130" unbalanced="0"/>
    <cacheHierarchy uniqueName="[Range].[Time_of_Purchase (Month Index)]" caption="Time_of_Purchase (Month Index)" attribute="1" defaultMemberUniqueName="[Range].[Time_of_Purchase (Month Index)].[All]" allUniqueName="[Range].[Time_of_Purchase (Month Index)].[All]" dimensionUniqueName="[Range]" displayFolder="" count="0" memberValueDatatype="20" unbalanced="0" hidden="1"/>
    <cacheHierarchy uniqueName="[Measures].[__XL_Count Range]" caption="__XL_Count Range" measure="1" displayFolder="" measureGroup="Range" count="0" hidden="1"/>
    <cacheHierarchy uniqueName="[Measures].[__No measures defined]" caption="__No measures defined" measure="1" displayFolder="" count="0" hidden="1"/>
    <cacheHierarchy uniqueName="[Measures].[Sum of Purchase_Amount]" caption="Sum of Purchase_Amount" measure="1" displayFolder="" measureGroup="Range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10"/>
        </ext>
      </extLst>
    </cacheHierarchy>
    <cacheHierarchy uniqueName="[Measures].[Sum of Time_Spent_on_Product_Research(hours)]" caption="Sum of Time_Spent_on_Product_Research(hours)" measure="1" displayFolder="" measureGroup="Range" count="0" hidden="1">
      <extLst>
        <ext xmlns:x15="http://schemas.microsoft.com/office/spreadsheetml/2010/11/main" uri="{B97F6D7D-B522-45F9-BDA1-12C45D357490}">
          <x15:cacheHierarchy aggregatedColumn="15"/>
        </ext>
      </extLst>
    </cacheHierarchy>
    <cacheHierarchy uniqueName="[Measures].[Sum of Time_to_Decision]" caption="Sum of Time_to_Decision" measure="1" displayFolder="" measureGroup="Range" count="0" hidden="1">
      <extLst>
        <ext xmlns:x15="http://schemas.microsoft.com/office/spreadsheetml/2010/11/main" uri="{B97F6D7D-B522-45F9-BDA1-12C45D357490}">
          <x15:cacheHierarchy aggregatedColumn="30"/>
        </ext>
      </extLst>
    </cacheHierarchy>
    <cacheHierarchy uniqueName="[Measures].[Sum of Brand_Loyalty]" caption="Sum of Brand_Loyalty" measure="1" displayFolder="" measureGroup="Range" count="0" hidden="1"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Average of Purchase_Amount]" caption="Average of Purchase_Amount" measure="1" displayFolder="" measureGroup="Range" count="0" hidden="1">
      <extLst>
        <ext xmlns:x15="http://schemas.microsoft.com/office/spreadsheetml/2010/11/main" uri="{B97F6D7D-B522-45F9-BDA1-12C45D357490}">
          <x15:cacheHierarchy aggregatedColumn="10"/>
        </ext>
      </extLst>
    </cacheHierarchy>
    <cacheHierarchy uniqueName="[Measures].[Sum of Return_Rate]" caption="Sum of Return_Rate" measure="1" displayFolder="" measureGroup="Range" count="0" hidden="1">
      <extLst>
        <ext xmlns:x15="http://schemas.microsoft.com/office/spreadsheetml/2010/11/main" uri="{B97F6D7D-B522-45F9-BDA1-12C45D357490}">
          <x15:cacheHierarchy aggregatedColumn="18"/>
        </ext>
      </extLst>
    </cacheHierarchy>
    <cacheHierarchy uniqueName="[Measures].[Sum of Product_Rating]" caption="Sum of Product_Rating" measure="1" displayFolder="" measureGroup="Range" count="0" hidden="1">
      <extLst>
        <ext xmlns:x15="http://schemas.microsoft.com/office/spreadsheetml/2010/11/main" uri="{B97F6D7D-B522-45F9-BDA1-12C45D357490}">
          <x15:cacheHierarchy aggregatedColumn="14"/>
        </ext>
      </extLst>
    </cacheHierarchy>
    <cacheHierarchy uniqueName="[Measures].[Sum of Customer_Satisfaction]" caption="Sum of Customer_Satisfaction" measure="1" displayFolder="" measureGroup="Range" count="0" hidden="1">
      <extLst>
        <ext xmlns:x15="http://schemas.microsoft.com/office/spreadsheetml/2010/11/main" uri="{B97F6D7D-B522-45F9-BDA1-12C45D357490}">
          <x15:cacheHierarchy aggregatedColumn="19"/>
        </ext>
      </extLst>
    </cacheHierarchy>
    <cacheHierarchy uniqueName="[Measures].[Average of Customer_Satisfaction]" caption="Average of Customer_Satisfaction" measure="1" displayFolder="" measureGroup="Range" count="0" hidden="1">
      <extLst>
        <ext xmlns:x15="http://schemas.microsoft.com/office/spreadsheetml/2010/11/main" uri="{B97F6D7D-B522-45F9-BDA1-12C45D357490}">
          <x15:cacheHierarchy aggregatedColumn="19"/>
        </ext>
      </extLst>
    </cacheHierarchy>
  </cacheHierarchies>
  <kpis count="0"/>
  <dimensions count="2">
    <dimension measure="1" name="Measures" uniqueName="[Measures]" caption="Measures"/>
    <dimension name="Range" uniqueName="[Range]" caption="Range"/>
  </dimensions>
  <measureGroups count="1">
    <measureGroup name="Range" caption="Range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SHILPA ROY" refreshedDate="46174.026178703702" backgroundQuery="1" createdVersion="8" refreshedVersion="8" minRefreshableVersion="3" recordCount="0" supportSubquery="1" supportAdvancedDrill="1" xr:uid="{3ACC702D-86C7-428D-8634-14971258C14C}">
  <cacheSource type="external" connectionId="1"/>
  <cacheFields count="2">
    <cacheField name="[Range].[Occupation].[Occupation]" caption="Occupation" numFmtId="0" hierarchy="7" level="1">
      <sharedItems count="2">
        <s v="High"/>
        <s v="Middle"/>
      </sharedItems>
    </cacheField>
    <cacheField name="[Measures].[Sum of Purchase_Amount]" caption="Sum of Purchase_Amount" numFmtId="0" hierarchy="37" level="32767"/>
  </cacheFields>
  <cacheHierarchies count="46">
    <cacheHierarchy uniqueName="[Range].[Customer_ID]" caption="Customer_ID" attribute="1" defaultMemberUniqueName="[Range].[Customer_ID].[All]" allUniqueName="[Range].[Customer_ID].[All]" dimensionUniqueName="[Range]" displayFolder="" count="0" memberValueDatatype="130" unbalanced="0"/>
    <cacheHierarchy uniqueName="[Range].[Age]" caption="Age" attribute="1" defaultMemberUniqueName="[Range].[Age].[All]" allUniqueName="[Range].[Age].[All]" dimensionUniqueName="[Range]" displayFolder="" count="0" memberValueDatatype="20" unbalanced="0"/>
    <cacheHierarchy uniqueName="[Range].[Age-Group]" caption="Age-Group" attribute="1" defaultMemberUniqueName="[Range].[Age-Group].[All]" allUniqueName="[Range].[Age-Group].[All]" dimensionUniqueName="[Range]" displayFolder="" count="0" memberValueDatatype="130" unbalanced="0"/>
    <cacheHierarchy uniqueName="[Range].[Gender]" caption="Gender" attribute="1" defaultMemberUniqueName="[Range].[Gender].[All]" allUniqueName="[Range].[Gender].[All]" dimensionUniqueName="[Range]" displayFolder="" count="0" memberValueDatatype="130" unbalanced="0"/>
    <cacheHierarchy uniqueName="[Range].[Income_Level]" caption="Income_Level" attribute="1" defaultMemberUniqueName="[Range].[Income_Level].[All]" allUniqueName="[Range].[Income_Level].[All]" dimensionUniqueName="[Range]" displayFolder="" count="0" memberValueDatatype="130" unbalanced="0"/>
    <cacheHierarchy uniqueName="[Range].[Marital_Status]" caption="Marital_Status" attribute="1" defaultMemberUniqueName="[Range].[Marital_Status].[All]" allUniqueName="[Range].[Marital_Status].[All]" dimensionUniqueName="[Range]" displayFolder="" count="0" memberValueDatatype="130" unbalanced="0"/>
    <cacheHierarchy uniqueName="[Range].[Education_Level]" caption="Education_Level" attribute="1" defaultMemberUniqueName="[Range].[Education_Level].[All]" allUniqueName="[Range].[Education_Level].[All]" dimensionUniqueName="[Range]" displayFolder="" count="0" memberValueDatatype="130" unbalanced="0"/>
    <cacheHierarchy uniqueName="[Range].[Occupation]" caption="Occupation" attribute="1" defaultMemberUniqueName="[Range].[Occupation].[All]" allUniqueName="[Range].[Occupation].[All]" dimensionUniqueName="[Range]" displayFolder="" count="2" memberValueDatatype="130" unbalanced="0">
      <fieldsUsage count="2">
        <fieldUsage x="-1"/>
        <fieldUsage x="0"/>
      </fieldsUsage>
    </cacheHierarchy>
    <cacheHierarchy uniqueName="[Range].[Location]" caption="Location" attribute="1" defaultMemberUniqueName="[Range].[Location].[All]" allUniqueName="[Range].[Location].[All]" dimensionUniqueName="[Range]" displayFolder="" count="0" memberValueDatatype="130" unbalanced="0"/>
    <cacheHierarchy uniqueName="[Range].[Purchase_Category]" caption="Purchase_Category" attribute="1" defaultMemberUniqueName="[Range].[Purchase_Category].[All]" allUniqueName="[Range].[Purchase_Category].[All]" dimensionUniqueName="[Range]" displayFolder="" count="0" memberValueDatatype="130" unbalanced="0"/>
    <cacheHierarchy uniqueName="[Range].[Purchase_Amount]" caption="Purchase_Amount" attribute="1" defaultMemberUniqueName="[Range].[Purchase_Amount].[All]" allUniqueName="[Range].[Purchase_Amount].[All]" dimensionUniqueName="[Range]" displayFolder="" count="0" memberValueDatatype="5" unbalanced="0"/>
    <cacheHierarchy uniqueName="[Range].[Frequency_of_Purchase]" caption="Frequency_of_Purchase" attribute="1" defaultMemberUniqueName="[Range].[Frequency_of_Purchase].[All]" allUniqueName="[Range].[Frequency_of_Purchase].[All]" dimensionUniqueName="[Range]" displayFolder="" count="0" memberValueDatatype="20" unbalanced="0"/>
    <cacheHierarchy uniqueName="[Range].[Purchase_Channel]" caption="Purchase_Channel" attribute="1" defaultMemberUniqueName="[Range].[Purchase_Channel].[All]" allUniqueName="[Range].[Purchase_Channel].[All]" dimensionUniqueName="[Range]" displayFolder="" count="0" memberValueDatatype="130" unbalanced="0"/>
    <cacheHierarchy uniqueName="[Range].[Brand_Loyalty]" caption="Brand_Loyalty" attribute="1" defaultMemberUniqueName="[Range].[Brand_Loyalty].[All]" allUniqueName="[Range].[Brand_Loyalty].[All]" dimensionUniqueName="[Range]" displayFolder="" count="0" memberValueDatatype="20" unbalanced="0"/>
    <cacheHierarchy uniqueName="[Range].[Product_Rating]" caption="Product_Rating" attribute="1" defaultMemberUniqueName="[Range].[Product_Rating].[All]" allUniqueName="[Range].[Product_Rating].[All]" dimensionUniqueName="[Range]" displayFolder="" count="0" memberValueDatatype="20" unbalanced="0"/>
    <cacheHierarchy uniqueName="[Range].[Time_Spent_on_Product_Research(hours)]" caption="Time_Spent_on_Product_Research(hours)" attribute="1" defaultMemberUniqueName="[Range].[Time_Spent_on_Product_Research(hours)].[All]" allUniqueName="[Range].[Time_Spent_on_Product_Research(hours)].[All]" dimensionUniqueName="[Range]" displayFolder="" count="0" memberValueDatatype="5" unbalanced="0"/>
    <cacheHierarchy uniqueName="[Range].[Social_Media_Influence]" caption="Social_Media_Influence" attribute="1" defaultMemberUniqueName="[Range].[Social_Media_Influence].[All]" allUniqueName="[Range].[Social_Media_Influence].[All]" dimensionUniqueName="[Range]" displayFolder="" count="0" memberValueDatatype="130" unbalanced="0"/>
    <cacheHierarchy uniqueName="[Range].[Discount_Sensitivity]" caption="Discount_Sensitivity" attribute="1" defaultMemberUniqueName="[Range].[Discount_Sensitivity].[All]" allUniqueName="[Range].[Discount_Sensitivity].[All]" dimensionUniqueName="[Range]" displayFolder="" count="0" memberValueDatatype="130" unbalanced="0"/>
    <cacheHierarchy uniqueName="[Range].[Return_Rate]" caption="Return_Rate" attribute="1" defaultMemberUniqueName="[Range].[Return_Rate].[All]" allUniqueName="[Range].[Return_Rate].[All]" dimensionUniqueName="[Range]" displayFolder="" count="0" memberValueDatatype="20" unbalanced="0"/>
    <cacheHierarchy uniqueName="[Range].[Customer_Satisfaction]" caption="Customer_Satisfaction" attribute="1" defaultMemberUniqueName="[Range].[Customer_Satisfaction].[All]" allUniqueName="[Range].[Customer_Satisfaction].[All]" dimensionUniqueName="[Range]" displayFolder="" count="0" memberValueDatatype="20" unbalanced="0"/>
    <cacheHierarchy uniqueName="[Range].[Engagement_with_Ads]" caption="Engagement_with_Ads" attribute="1" defaultMemberUniqueName="[Range].[Engagement_with_Ads].[All]" allUniqueName="[Range].[Engagement_with_Ads].[All]" dimensionUniqueName="[Range]" displayFolder="" count="0" memberValueDatatype="130" unbalanced="0"/>
    <cacheHierarchy uniqueName="[Range].[Device_Used_for_Shopping]" caption="Device_Used_for_Shopping" attribute="1" defaultMemberUniqueName="[Range].[Device_Used_for_Shopping].[All]" allUniqueName="[Range].[Device_Used_for_Shopping].[All]" dimensionUniqueName="[Range]" displayFolder="" count="0" memberValueDatatype="130" unbalanced="0"/>
    <cacheHierarchy uniqueName="[Range].[Payment_Method]" caption="Payment_Method" attribute="1" defaultMemberUniqueName="[Range].[Payment_Method].[All]" allUniqueName="[Range].[Payment_Method].[All]" dimensionUniqueName="[Range]" displayFolder="" count="0" memberValueDatatype="130" unbalanced="0"/>
    <cacheHierarchy uniqueName="[Range].[Time_of_Purchase]" caption="Time_of_Purchase" attribute="1" time="1" defaultMemberUniqueName="[Range].[Time_of_Purchase].[All]" allUniqueName="[Range].[Time_of_Purchase].[All]" dimensionUniqueName="[Range]" displayFolder="" count="0" memberValueDatatype="7" unbalanced="0"/>
    <cacheHierarchy uniqueName="[Range].[Month]" caption="Month" attribute="1" defaultMemberUniqueName="[Range].[Month].[All]" allUniqueName="[Range].[Month].[All]" dimensionUniqueName="[Range]" displayFolder="" count="0" memberValueDatatype="130" unbalanced="0"/>
    <cacheHierarchy uniqueName="[Range].[Year]" caption="Year" attribute="1" defaultMemberUniqueName="[Range].[Year].[All]" allUniqueName="[Range].[Year].[All]" dimensionUniqueName="[Range]" displayFolder="" count="0" memberValueDatatype="130" unbalanced="0"/>
    <cacheHierarchy uniqueName="[Range].[Discount_Used]" caption="Discount_Used" attribute="1" defaultMemberUniqueName="[Range].[Discount_Used].[All]" allUniqueName="[Range].[Discount_Used].[All]" dimensionUniqueName="[Range]" displayFolder="" count="0" memberValueDatatype="11" unbalanced="0"/>
    <cacheHierarchy uniqueName="[Range].[Customer_Loyalty_Program_Member]" caption="Customer_Loyalty_Program_Member" attribute="1" defaultMemberUniqueName="[Range].[Customer_Loyalty_Program_Member].[All]" allUniqueName="[Range].[Customer_Loyalty_Program_Member].[All]" dimensionUniqueName="[Range]" displayFolder="" count="0" memberValueDatatype="11" unbalanced="0"/>
    <cacheHierarchy uniqueName="[Range].[Purchase_Intent]" caption="Purchase_Intent" attribute="1" defaultMemberUniqueName="[Range].[Purchase_Intent].[All]" allUniqueName="[Range].[Purchase_Intent].[All]" dimensionUniqueName="[Range]" displayFolder="" count="0" memberValueDatatype="130" unbalanced="0"/>
    <cacheHierarchy uniqueName="[Range].[Shipping_Preference]" caption="Shipping_Preference" attribute="1" defaultMemberUniqueName="[Range].[Shipping_Preference].[All]" allUniqueName="[Range].[Shipping_Preference].[All]" dimensionUniqueName="[Range]" displayFolder="" count="0" memberValueDatatype="130" unbalanced="0"/>
    <cacheHierarchy uniqueName="[Range].[Time_to_Decision]" caption="Time_to_Decision" attribute="1" defaultMemberUniqueName="[Range].[Time_to_Decision].[All]" allUniqueName="[Range].[Time_to_Decision].[All]" dimensionUniqueName="[Range]" displayFolder="" count="0" memberValueDatatype="20" unbalanced="0"/>
    <cacheHierarchy uniqueName="[Range].[Time_of_Purchase (Year)]" caption="Time_of_Purchase (Year)" attribute="1" defaultMemberUniqueName="[Range].[Time_of_Purchase (Year)].[All]" allUniqueName="[Range].[Time_of_Purchase (Year)].[All]" dimensionUniqueName="[Range]" displayFolder="" count="0" memberValueDatatype="130" unbalanced="0"/>
    <cacheHierarchy uniqueName="[Range].[Time_of_Purchase (Quarter)]" caption="Time_of_Purchase (Quarter)" attribute="1" defaultMemberUniqueName="[Range].[Time_of_Purchase (Quarter)].[All]" allUniqueName="[Range].[Time_of_Purchase (Quarter)].[All]" dimensionUniqueName="[Range]" displayFolder="" count="0" memberValueDatatype="130" unbalanced="0"/>
    <cacheHierarchy uniqueName="[Range].[Time_of_Purchase (Month)]" caption="Time_of_Purchase (Month)" attribute="1" defaultMemberUniqueName="[Range].[Time_of_Purchase (Month)].[All]" allUniqueName="[Range].[Time_of_Purchase (Month)].[All]" dimensionUniqueName="[Range]" displayFolder="" count="0" memberValueDatatype="130" unbalanced="0"/>
    <cacheHierarchy uniqueName="[Range].[Time_of_Purchase (Month Index)]" caption="Time_of_Purchase (Month Index)" attribute="1" defaultMemberUniqueName="[Range].[Time_of_Purchase (Month Index)].[All]" allUniqueName="[Range].[Time_of_Purchase (Month Index)].[All]" dimensionUniqueName="[Range]" displayFolder="" count="0" memberValueDatatype="20" unbalanced="0" hidden="1"/>
    <cacheHierarchy uniqueName="[Measures].[__XL_Count Range]" caption="__XL_Count Range" measure="1" displayFolder="" measureGroup="Range" count="0" hidden="1"/>
    <cacheHierarchy uniqueName="[Measures].[__No measures defined]" caption="__No measures defined" measure="1" displayFolder="" count="0" hidden="1"/>
    <cacheHierarchy uniqueName="[Measures].[Sum of Purchase_Amount]" caption="Sum of Purchase_Amount" measure="1" displayFolder="" measureGroup="Range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10"/>
        </ext>
      </extLst>
    </cacheHierarchy>
    <cacheHierarchy uniqueName="[Measures].[Sum of Time_Spent_on_Product_Research(hours)]" caption="Sum of Time_Spent_on_Product_Research(hours)" measure="1" displayFolder="" measureGroup="Range" count="0" hidden="1">
      <extLst>
        <ext xmlns:x15="http://schemas.microsoft.com/office/spreadsheetml/2010/11/main" uri="{B97F6D7D-B522-45F9-BDA1-12C45D357490}">
          <x15:cacheHierarchy aggregatedColumn="15"/>
        </ext>
      </extLst>
    </cacheHierarchy>
    <cacheHierarchy uniqueName="[Measures].[Sum of Time_to_Decision]" caption="Sum of Time_to_Decision" measure="1" displayFolder="" measureGroup="Range" count="0" hidden="1">
      <extLst>
        <ext xmlns:x15="http://schemas.microsoft.com/office/spreadsheetml/2010/11/main" uri="{B97F6D7D-B522-45F9-BDA1-12C45D357490}">
          <x15:cacheHierarchy aggregatedColumn="30"/>
        </ext>
      </extLst>
    </cacheHierarchy>
    <cacheHierarchy uniqueName="[Measures].[Sum of Brand_Loyalty]" caption="Sum of Brand_Loyalty" measure="1" displayFolder="" measureGroup="Range" count="0" hidden="1"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Average of Purchase_Amount]" caption="Average of Purchase_Amount" measure="1" displayFolder="" measureGroup="Range" count="0" hidden="1">
      <extLst>
        <ext xmlns:x15="http://schemas.microsoft.com/office/spreadsheetml/2010/11/main" uri="{B97F6D7D-B522-45F9-BDA1-12C45D357490}">
          <x15:cacheHierarchy aggregatedColumn="10"/>
        </ext>
      </extLst>
    </cacheHierarchy>
    <cacheHierarchy uniqueName="[Measures].[Sum of Return_Rate]" caption="Sum of Return_Rate" measure="1" displayFolder="" measureGroup="Range" count="0" hidden="1">
      <extLst>
        <ext xmlns:x15="http://schemas.microsoft.com/office/spreadsheetml/2010/11/main" uri="{B97F6D7D-B522-45F9-BDA1-12C45D357490}">
          <x15:cacheHierarchy aggregatedColumn="18"/>
        </ext>
      </extLst>
    </cacheHierarchy>
    <cacheHierarchy uniqueName="[Measures].[Sum of Product_Rating]" caption="Sum of Product_Rating" measure="1" displayFolder="" measureGroup="Range" count="0" hidden="1">
      <extLst>
        <ext xmlns:x15="http://schemas.microsoft.com/office/spreadsheetml/2010/11/main" uri="{B97F6D7D-B522-45F9-BDA1-12C45D357490}">
          <x15:cacheHierarchy aggregatedColumn="14"/>
        </ext>
      </extLst>
    </cacheHierarchy>
    <cacheHierarchy uniqueName="[Measures].[Sum of Customer_Satisfaction]" caption="Sum of Customer_Satisfaction" measure="1" displayFolder="" measureGroup="Range" count="0" hidden="1">
      <extLst>
        <ext xmlns:x15="http://schemas.microsoft.com/office/spreadsheetml/2010/11/main" uri="{B97F6D7D-B522-45F9-BDA1-12C45D357490}">
          <x15:cacheHierarchy aggregatedColumn="19"/>
        </ext>
      </extLst>
    </cacheHierarchy>
    <cacheHierarchy uniqueName="[Measures].[Average of Customer_Satisfaction]" caption="Average of Customer_Satisfaction" measure="1" displayFolder="" measureGroup="Range" count="0" hidden="1">
      <extLst>
        <ext xmlns:x15="http://schemas.microsoft.com/office/spreadsheetml/2010/11/main" uri="{B97F6D7D-B522-45F9-BDA1-12C45D357490}">
          <x15:cacheHierarchy aggregatedColumn="19"/>
        </ext>
      </extLst>
    </cacheHierarchy>
  </cacheHierarchies>
  <kpis count="0"/>
  <dimensions count="2">
    <dimension measure="1" name="Measures" uniqueName="[Measures]" caption="Measures"/>
    <dimension name="Range" uniqueName="[Range]" caption="Range"/>
  </dimensions>
  <measureGroups count="1">
    <measureGroup name="Range" caption="Range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SHILPA ROY" refreshedDate="46174.026176851854" backgroundQuery="1" createdVersion="8" refreshedVersion="8" minRefreshableVersion="3" recordCount="0" supportSubquery="1" supportAdvancedDrill="1" xr:uid="{2FA4A143-87CB-4234-84D6-02A6C5173366}">
  <cacheSource type="external" connectionId="1"/>
  <cacheFields count="2">
    <cacheField name="[Range].[Gender].[Gender]" caption="Gender" numFmtId="0" hierarchy="3" level="1">
      <sharedItems count="2">
        <s v="Female"/>
        <s v="Male"/>
      </sharedItems>
    </cacheField>
    <cacheField name="[Measures].[Sum of Purchase_Amount]" caption="Sum of Purchase_Amount" numFmtId="0" hierarchy="37" level="32767"/>
  </cacheFields>
  <cacheHierarchies count="46">
    <cacheHierarchy uniqueName="[Range].[Customer_ID]" caption="Customer_ID" attribute="1" defaultMemberUniqueName="[Range].[Customer_ID].[All]" allUniqueName="[Range].[Customer_ID].[All]" dimensionUniqueName="[Range]" displayFolder="" count="0" memberValueDatatype="130" unbalanced="0"/>
    <cacheHierarchy uniqueName="[Range].[Age]" caption="Age" attribute="1" defaultMemberUniqueName="[Range].[Age].[All]" allUniqueName="[Range].[Age].[All]" dimensionUniqueName="[Range]" displayFolder="" count="0" memberValueDatatype="20" unbalanced="0"/>
    <cacheHierarchy uniqueName="[Range].[Age-Group]" caption="Age-Group" attribute="1" defaultMemberUniqueName="[Range].[Age-Group].[All]" allUniqueName="[Range].[Age-Group].[All]" dimensionUniqueName="[Range]" displayFolder="" count="0" memberValueDatatype="130" unbalanced="0"/>
    <cacheHierarchy uniqueName="[Range].[Gender]" caption="Gender" attribute="1" defaultMemberUniqueName="[Range].[Gender].[All]" allUniqueName="[Range].[Gender].[All]" dimensionUniqueName="[Range]" displayFolder="" count="2" memberValueDatatype="130" unbalanced="0">
      <fieldsUsage count="2">
        <fieldUsage x="-1"/>
        <fieldUsage x="0"/>
      </fieldsUsage>
    </cacheHierarchy>
    <cacheHierarchy uniqueName="[Range].[Income_Level]" caption="Income_Level" attribute="1" defaultMemberUniqueName="[Range].[Income_Level].[All]" allUniqueName="[Range].[Income_Level].[All]" dimensionUniqueName="[Range]" displayFolder="" count="0" memberValueDatatype="130" unbalanced="0"/>
    <cacheHierarchy uniqueName="[Range].[Marital_Status]" caption="Marital_Status" attribute="1" defaultMemberUniqueName="[Range].[Marital_Status].[All]" allUniqueName="[Range].[Marital_Status].[All]" dimensionUniqueName="[Range]" displayFolder="" count="0" memberValueDatatype="130" unbalanced="0"/>
    <cacheHierarchy uniqueName="[Range].[Education_Level]" caption="Education_Level" attribute="1" defaultMemberUniqueName="[Range].[Education_Level].[All]" allUniqueName="[Range].[Education_Level].[All]" dimensionUniqueName="[Range]" displayFolder="" count="0" memberValueDatatype="130" unbalanced="0"/>
    <cacheHierarchy uniqueName="[Range].[Occupation]" caption="Occupation" attribute="1" defaultMemberUniqueName="[Range].[Occupation].[All]" allUniqueName="[Range].[Occupation].[All]" dimensionUniqueName="[Range]" displayFolder="" count="0" memberValueDatatype="130" unbalanced="0"/>
    <cacheHierarchy uniqueName="[Range].[Location]" caption="Location" attribute="1" defaultMemberUniqueName="[Range].[Location].[All]" allUniqueName="[Range].[Location].[All]" dimensionUniqueName="[Range]" displayFolder="" count="0" memberValueDatatype="130" unbalanced="0"/>
    <cacheHierarchy uniqueName="[Range].[Purchase_Category]" caption="Purchase_Category" attribute="1" defaultMemberUniqueName="[Range].[Purchase_Category].[All]" allUniqueName="[Range].[Purchase_Category].[All]" dimensionUniqueName="[Range]" displayFolder="" count="0" memberValueDatatype="130" unbalanced="0"/>
    <cacheHierarchy uniqueName="[Range].[Purchase_Amount]" caption="Purchase_Amount" attribute="1" defaultMemberUniqueName="[Range].[Purchase_Amount].[All]" allUniqueName="[Range].[Purchase_Amount].[All]" dimensionUniqueName="[Range]" displayFolder="" count="0" memberValueDatatype="5" unbalanced="0"/>
    <cacheHierarchy uniqueName="[Range].[Frequency_of_Purchase]" caption="Frequency_of_Purchase" attribute="1" defaultMemberUniqueName="[Range].[Frequency_of_Purchase].[All]" allUniqueName="[Range].[Frequency_of_Purchase].[All]" dimensionUniqueName="[Range]" displayFolder="" count="0" memberValueDatatype="20" unbalanced="0"/>
    <cacheHierarchy uniqueName="[Range].[Purchase_Channel]" caption="Purchase_Channel" attribute="1" defaultMemberUniqueName="[Range].[Purchase_Channel].[All]" allUniqueName="[Range].[Purchase_Channel].[All]" dimensionUniqueName="[Range]" displayFolder="" count="0" memberValueDatatype="130" unbalanced="0"/>
    <cacheHierarchy uniqueName="[Range].[Brand_Loyalty]" caption="Brand_Loyalty" attribute="1" defaultMemberUniqueName="[Range].[Brand_Loyalty].[All]" allUniqueName="[Range].[Brand_Loyalty].[All]" dimensionUniqueName="[Range]" displayFolder="" count="0" memberValueDatatype="20" unbalanced="0"/>
    <cacheHierarchy uniqueName="[Range].[Product_Rating]" caption="Product_Rating" attribute="1" defaultMemberUniqueName="[Range].[Product_Rating].[All]" allUniqueName="[Range].[Product_Rating].[All]" dimensionUniqueName="[Range]" displayFolder="" count="0" memberValueDatatype="20" unbalanced="0"/>
    <cacheHierarchy uniqueName="[Range].[Time_Spent_on_Product_Research(hours)]" caption="Time_Spent_on_Product_Research(hours)" attribute="1" defaultMemberUniqueName="[Range].[Time_Spent_on_Product_Research(hours)].[All]" allUniqueName="[Range].[Time_Spent_on_Product_Research(hours)].[All]" dimensionUniqueName="[Range]" displayFolder="" count="0" memberValueDatatype="5" unbalanced="0"/>
    <cacheHierarchy uniqueName="[Range].[Social_Media_Influence]" caption="Social_Media_Influence" attribute="1" defaultMemberUniqueName="[Range].[Social_Media_Influence].[All]" allUniqueName="[Range].[Social_Media_Influence].[All]" dimensionUniqueName="[Range]" displayFolder="" count="0" memberValueDatatype="130" unbalanced="0"/>
    <cacheHierarchy uniqueName="[Range].[Discount_Sensitivity]" caption="Discount_Sensitivity" attribute="1" defaultMemberUniqueName="[Range].[Discount_Sensitivity].[All]" allUniqueName="[Range].[Discount_Sensitivity].[All]" dimensionUniqueName="[Range]" displayFolder="" count="0" memberValueDatatype="130" unbalanced="0"/>
    <cacheHierarchy uniqueName="[Range].[Return_Rate]" caption="Return_Rate" attribute="1" defaultMemberUniqueName="[Range].[Return_Rate].[All]" allUniqueName="[Range].[Return_Rate].[All]" dimensionUniqueName="[Range]" displayFolder="" count="0" memberValueDatatype="20" unbalanced="0"/>
    <cacheHierarchy uniqueName="[Range].[Customer_Satisfaction]" caption="Customer_Satisfaction" attribute="1" defaultMemberUniqueName="[Range].[Customer_Satisfaction].[All]" allUniqueName="[Range].[Customer_Satisfaction].[All]" dimensionUniqueName="[Range]" displayFolder="" count="0" memberValueDatatype="20" unbalanced="0"/>
    <cacheHierarchy uniqueName="[Range].[Engagement_with_Ads]" caption="Engagement_with_Ads" attribute="1" defaultMemberUniqueName="[Range].[Engagement_with_Ads].[All]" allUniqueName="[Range].[Engagement_with_Ads].[All]" dimensionUniqueName="[Range]" displayFolder="" count="0" memberValueDatatype="130" unbalanced="0"/>
    <cacheHierarchy uniqueName="[Range].[Device_Used_for_Shopping]" caption="Device_Used_for_Shopping" attribute="1" defaultMemberUniqueName="[Range].[Device_Used_for_Shopping].[All]" allUniqueName="[Range].[Device_Used_for_Shopping].[All]" dimensionUniqueName="[Range]" displayFolder="" count="0" memberValueDatatype="130" unbalanced="0"/>
    <cacheHierarchy uniqueName="[Range].[Payment_Method]" caption="Payment_Method" attribute="1" defaultMemberUniqueName="[Range].[Payment_Method].[All]" allUniqueName="[Range].[Payment_Method].[All]" dimensionUniqueName="[Range]" displayFolder="" count="0" memberValueDatatype="130" unbalanced="0"/>
    <cacheHierarchy uniqueName="[Range].[Time_of_Purchase]" caption="Time_of_Purchase" attribute="1" time="1" defaultMemberUniqueName="[Range].[Time_of_Purchase].[All]" allUniqueName="[Range].[Time_of_Purchase].[All]" dimensionUniqueName="[Range]" displayFolder="" count="0" memberValueDatatype="7" unbalanced="0"/>
    <cacheHierarchy uniqueName="[Range].[Month]" caption="Month" attribute="1" defaultMemberUniqueName="[Range].[Month].[All]" allUniqueName="[Range].[Month].[All]" dimensionUniqueName="[Range]" displayFolder="" count="0" memberValueDatatype="130" unbalanced="0"/>
    <cacheHierarchy uniqueName="[Range].[Year]" caption="Year" attribute="1" defaultMemberUniqueName="[Range].[Year].[All]" allUniqueName="[Range].[Year].[All]" dimensionUniqueName="[Range]" displayFolder="" count="0" memberValueDatatype="130" unbalanced="0"/>
    <cacheHierarchy uniqueName="[Range].[Discount_Used]" caption="Discount_Used" attribute="1" defaultMemberUniqueName="[Range].[Discount_Used].[All]" allUniqueName="[Range].[Discount_Used].[All]" dimensionUniqueName="[Range]" displayFolder="" count="0" memberValueDatatype="11" unbalanced="0"/>
    <cacheHierarchy uniqueName="[Range].[Customer_Loyalty_Program_Member]" caption="Customer_Loyalty_Program_Member" attribute="1" defaultMemberUniqueName="[Range].[Customer_Loyalty_Program_Member].[All]" allUniqueName="[Range].[Customer_Loyalty_Program_Member].[All]" dimensionUniqueName="[Range]" displayFolder="" count="0" memberValueDatatype="11" unbalanced="0"/>
    <cacheHierarchy uniqueName="[Range].[Purchase_Intent]" caption="Purchase_Intent" attribute="1" defaultMemberUniqueName="[Range].[Purchase_Intent].[All]" allUniqueName="[Range].[Purchase_Intent].[All]" dimensionUniqueName="[Range]" displayFolder="" count="0" memberValueDatatype="130" unbalanced="0"/>
    <cacheHierarchy uniqueName="[Range].[Shipping_Preference]" caption="Shipping_Preference" attribute="1" defaultMemberUniqueName="[Range].[Shipping_Preference].[All]" allUniqueName="[Range].[Shipping_Preference].[All]" dimensionUniqueName="[Range]" displayFolder="" count="0" memberValueDatatype="130" unbalanced="0"/>
    <cacheHierarchy uniqueName="[Range].[Time_to_Decision]" caption="Time_to_Decision" attribute="1" defaultMemberUniqueName="[Range].[Time_to_Decision].[All]" allUniqueName="[Range].[Time_to_Decision].[All]" dimensionUniqueName="[Range]" displayFolder="" count="0" memberValueDatatype="20" unbalanced="0"/>
    <cacheHierarchy uniqueName="[Range].[Time_of_Purchase (Year)]" caption="Time_of_Purchase (Year)" attribute="1" defaultMemberUniqueName="[Range].[Time_of_Purchase (Year)].[All]" allUniqueName="[Range].[Time_of_Purchase (Year)].[All]" dimensionUniqueName="[Range]" displayFolder="" count="0" memberValueDatatype="130" unbalanced="0"/>
    <cacheHierarchy uniqueName="[Range].[Time_of_Purchase (Quarter)]" caption="Time_of_Purchase (Quarter)" attribute="1" defaultMemberUniqueName="[Range].[Time_of_Purchase (Quarter)].[All]" allUniqueName="[Range].[Time_of_Purchase (Quarter)].[All]" dimensionUniqueName="[Range]" displayFolder="" count="0" memberValueDatatype="130" unbalanced="0"/>
    <cacheHierarchy uniqueName="[Range].[Time_of_Purchase (Month)]" caption="Time_of_Purchase (Month)" attribute="1" defaultMemberUniqueName="[Range].[Time_of_Purchase (Month)].[All]" allUniqueName="[Range].[Time_of_Purchase (Month)].[All]" dimensionUniqueName="[Range]" displayFolder="" count="0" memberValueDatatype="130" unbalanced="0"/>
    <cacheHierarchy uniqueName="[Range].[Time_of_Purchase (Month Index)]" caption="Time_of_Purchase (Month Index)" attribute="1" defaultMemberUniqueName="[Range].[Time_of_Purchase (Month Index)].[All]" allUniqueName="[Range].[Time_of_Purchase (Month Index)].[All]" dimensionUniqueName="[Range]" displayFolder="" count="0" memberValueDatatype="20" unbalanced="0" hidden="1"/>
    <cacheHierarchy uniqueName="[Measures].[__XL_Count Range]" caption="__XL_Count Range" measure="1" displayFolder="" measureGroup="Range" count="0" hidden="1"/>
    <cacheHierarchy uniqueName="[Measures].[__No measures defined]" caption="__No measures defined" measure="1" displayFolder="" count="0" hidden="1"/>
    <cacheHierarchy uniqueName="[Measures].[Sum of Purchase_Amount]" caption="Sum of Purchase_Amount" measure="1" displayFolder="" measureGroup="Range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10"/>
        </ext>
      </extLst>
    </cacheHierarchy>
    <cacheHierarchy uniqueName="[Measures].[Sum of Time_Spent_on_Product_Research(hours)]" caption="Sum of Time_Spent_on_Product_Research(hours)" measure="1" displayFolder="" measureGroup="Range" count="0" hidden="1">
      <extLst>
        <ext xmlns:x15="http://schemas.microsoft.com/office/spreadsheetml/2010/11/main" uri="{B97F6D7D-B522-45F9-BDA1-12C45D357490}">
          <x15:cacheHierarchy aggregatedColumn="15"/>
        </ext>
      </extLst>
    </cacheHierarchy>
    <cacheHierarchy uniqueName="[Measures].[Sum of Time_to_Decision]" caption="Sum of Time_to_Decision" measure="1" displayFolder="" measureGroup="Range" count="0" hidden="1">
      <extLst>
        <ext xmlns:x15="http://schemas.microsoft.com/office/spreadsheetml/2010/11/main" uri="{B97F6D7D-B522-45F9-BDA1-12C45D357490}">
          <x15:cacheHierarchy aggregatedColumn="30"/>
        </ext>
      </extLst>
    </cacheHierarchy>
    <cacheHierarchy uniqueName="[Measures].[Sum of Brand_Loyalty]" caption="Sum of Brand_Loyalty" measure="1" displayFolder="" measureGroup="Range" count="0" hidden="1"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Average of Purchase_Amount]" caption="Average of Purchase_Amount" measure="1" displayFolder="" measureGroup="Range" count="0" hidden="1">
      <extLst>
        <ext xmlns:x15="http://schemas.microsoft.com/office/spreadsheetml/2010/11/main" uri="{B97F6D7D-B522-45F9-BDA1-12C45D357490}">
          <x15:cacheHierarchy aggregatedColumn="10"/>
        </ext>
      </extLst>
    </cacheHierarchy>
    <cacheHierarchy uniqueName="[Measures].[Sum of Return_Rate]" caption="Sum of Return_Rate" measure="1" displayFolder="" measureGroup="Range" count="0" hidden="1">
      <extLst>
        <ext xmlns:x15="http://schemas.microsoft.com/office/spreadsheetml/2010/11/main" uri="{B97F6D7D-B522-45F9-BDA1-12C45D357490}">
          <x15:cacheHierarchy aggregatedColumn="18"/>
        </ext>
      </extLst>
    </cacheHierarchy>
    <cacheHierarchy uniqueName="[Measures].[Sum of Product_Rating]" caption="Sum of Product_Rating" measure="1" displayFolder="" measureGroup="Range" count="0" hidden="1">
      <extLst>
        <ext xmlns:x15="http://schemas.microsoft.com/office/spreadsheetml/2010/11/main" uri="{B97F6D7D-B522-45F9-BDA1-12C45D357490}">
          <x15:cacheHierarchy aggregatedColumn="14"/>
        </ext>
      </extLst>
    </cacheHierarchy>
    <cacheHierarchy uniqueName="[Measures].[Sum of Customer_Satisfaction]" caption="Sum of Customer_Satisfaction" measure="1" displayFolder="" measureGroup="Range" count="0" hidden="1">
      <extLst>
        <ext xmlns:x15="http://schemas.microsoft.com/office/spreadsheetml/2010/11/main" uri="{B97F6D7D-B522-45F9-BDA1-12C45D357490}">
          <x15:cacheHierarchy aggregatedColumn="19"/>
        </ext>
      </extLst>
    </cacheHierarchy>
    <cacheHierarchy uniqueName="[Measures].[Average of Customer_Satisfaction]" caption="Average of Customer_Satisfaction" measure="1" displayFolder="" measureGroup="Range" count="0" hidden="1">
      <extLst>
        <ext xmlns:x15="http://schemas.microsoft.com/office/spreadsheetml/2010/11/main" uri="{B97F6D7D-B522-45F9-BDA1-12C45D357490}">
          <x15:cacheHierarchy aggregatedColumn="19"/>
        </ext>
      </extLst>
    </cacheHierarchy>
  </cacheHierarchies>
  <kpis count="0"/>
  <dimensions count="2">
    <dimension measure="1" name="Measures" uniqueName="[Measures]" caption="Measures"/>
    <dimension name="Range" uniqueName="[Range]" caption="Range"/>
  </dimensions>
  <measureGroups count="1">
    <measureGroup name="Range" caption="Range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6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SHILPA ROY" refreshedDate="46174.040349305556" backgroundQuery="1" createdVersion="8" refreshedVersion="8" minRefreshableVersion="3" recordCount="0" supportSubquery="1" supportAdvancedDrill="1" xr:uid="{1ED9FD44-7717-4A14-94B0-3F68977CECE1}">
  <cacheSource type="external" connectionId="1"/>
  <cacheFields count="2">
    <cacheField name="[Range].[Month].[Month]" caption="Month" numFmtId="0" hierarchy="24" level="1">
      <sharedItems count="12">
        <s v="Apr"/>
        <s v="Aug"/>
        <s v="Dec"/>
        <s v="Feb"/>
        <s v="Jan"/>
        <s v="Jul"/>
        <s v="Jun"/>
        <s v="Mar"/>
        <s v="May"/>
        <s v="Nov"/>
        <s v="Oct"/>
        <s v="Sep"/>
      </sharedItems>
    </cacheField>
    <cacheField name="[Measures].[Sum of Purchase_Amount]" caption="Sum of Purchase_Amount" numFmtId="0" hierarchy="37" level="32767"/>
  </cacheFields>
  <cacheHierarchies count="46">
    <cacheHierarchy uniqueName="[Range].[Customer_ID]" caption="Customer_ID" attribute="1" defaultMemberUniqueName="[Range].[Customer_ID].[All]" allUniqueName="[Range].[Customer_ID].[All]" dimensionUniqueName="[Range]" displayFolder="" count="0" memberValueDatatype="130" unbalanced="0"/>
    <cacheHierarchy uniqueName="[Range].[Age]" caption="Age" attribute="1" defaultMemberUniqueName="[Range].[Age].[All]" allUniqueName="[Range].[Age].[All]" dimensionUniqueName="[Range]" displayFolder="" count="0" memberValueDatatype="20" unbalanced="0"/>
    <cacheHierarchy uniqueName="[Range].[Age-Group]" caption="Age-Group" attribute="1" defaultMemberUniqueName="[Range].[Age-Group].[All]" allUniqueName="[Range].[Age-Group].[All]" dimensionUniqueName="[Range]" displayFolder="" count="0" memberValueDatatype="130" unbalanced="0"/>
    <cacheHierarchy uniqueName="[Range].[Gender]" caption="Gender" attribute="1" defaultMemberUniqueName="[Range].[Gender].[All]" allUniqueName="[Range].[Gender].[All]" dimensionUniqueName="[Range]" displayFolder="" count="0" memberValueDatatype="130" unbalanced="0"/>
    <cacheHierarchy uniqueName="[Range].[Income_Level]" caption="Income_Level" attribute="1" defaultMemberUniqueName="[Range].[Income_Level].[All]" allUniqueName="[Range].[Income_Level].[All]" dimensionUniqueName="[Range]" displayFolder="" count="0" memberValueDatatype="130" unbalanced="0"/>
    <cacheHierarchy uniqueName="[Range].[Marital_Status]" caption="Marital_Status" attribute="1" defaultMemberUniqueName="[Range].[Marital_Status].[All]" allUniqueName="[Range].[Marital_Status].[All]" dimensionUniqueName="[Range]" displayFolder="" count="0" memberValueDatatype="130" unbalanced="0"/>
    <cacheHierarchy uniqueName="[Range].[Education_Level]" caption="Education_Level" attribute="1" defaultMemberUniqueName="[Range].[Education_Level].[All]" allUniqueName="[Range].[Education_Level].[All]" dimensionUniqueName="[Range]" displayFolder="" count="0" memberValueDatatype="130" unbalanced="0"/>
    <cacheHierarchy uniqueName="[Range].[Occupation]" caption="Occupation" attribute="1" defaultMemberUniqueName="[Range].[Occupation].[All]" allUniqueName="[Range].[Occupation].[All]" dimensionUniqueName="[Range]" displayFolder="" count="0" memberValueDatatype="130" unbalanced="0"/>
    <cacheHierarchy uniqueName="[Range].[Location]" caption="Location" attribute="1" defaultMemberUniqueName="[Range].[Location].[All]" allUniqueName="[Range].[Location].[All]" dimensionUniqueName="[Range]" displayFolder="" count="0" memberValueDatatype="130" unbalanced="0"/>
    <cacheHierarchy uniqueName="[Range].[Purchase_Category]" caption="Purchase_Category" attribute="1" defaultMemberUniqueName="[Range].[Purchase_Category].[All]" allUniqueName="[Range].[Purchase_Category].[All]" dimensionUniqueName="[Range]" displayFolder="" count="0" memberValueDatatype="130" unbalanced="0"/>
    <cacheHierarchy uniqueName="[Range].[Purchase_Amount]" caption="Purchase_Amount" attribute="1" defaultMemberUniqueName="[Range].[Purchase_Amount].[All]" allUniqueName="[Range].[Purchase_Amount].[All]" dimensionUniqueName="[Range]" displayFolder="" count="0" memberValueDatatype="5" unbalanced="0"/>
    <cacheHierarchy uniqueName="[Range].[Frequency_of_Purchase]" caption="Frequency_of_Purchase" attribute="1" defaultMemberUniqueName="[Range].[Frequency_of_Purchase].[All]" allUniqueName="[Range].[Frequency_of_Purchase].[All]" dimensionUniqueName="[Range]" displayFolder="" count="0" memberValueDatatype="20" unbalanced="0"/>
    <cacheHierarchy uniqueName="[Range].[Purchase_Channel]" caption="Purchase_Channel" attribute="1" defaultMemberUniqueName="[Range].[Purchase_Channel].[All]" allUniqueName="[Range].[Purchase_Channel].[All]" dimensionUniqueName="[Range]" displayFolder="" count="0" memberValueDatatype="130" unbalanced="0"/>
    <cacheHierarchy uniqueName="[Range].[Brand_Loyalty]" caption="Brand_Loyalty" attribute="1" defaultMemberUniqueName="[Range].[Brand_Loyalty].[All]" allUniqueName="[Range].[Brand_Loyalty].[All]" dimensionUniqueName="[Range]" displayFolder="" count="0" memberValueDatatype="20" unbalanced="0"/>
    <cacheHierarchy uniqueName="[Range].[Product_Rating]" caption="Product_Rating" attribute="1" defaultMemberUniqueName="[Range].[Product_Rating].[All]" allUniqueName="[Range].[Product_Rating].[All]" dimensionUniqueName="[Range]" displayFolder="" count="0" memberValueDatatype="20" unbalanced="0"/>
    <cacheHierarchy uniqueName="[Range].[Time_Spent_on_Product_Research(hours)]" caption="Time_Spent_on_Product_Research(hours)" attribute="1" defaultMemberUniqueName="[Range].[Time_Spent_on_Product_Research(hours)].[All]" allUniqueName="[Range].[Time_Spent_on_Product_Research(hours)].[All]" dimensionUniqueName="[Range]" displayFolder="" count="0" memberValueDatatype="5" unbalanced="0"/>
    <cacheHierarchy uniqueName="[Range].[Social_Media_Influence]" caption="Social_Media_Influence" attribute="1" defaultMemberUniqueName="[Range].[Social_Media_Influence].[All]" allUniqueName="[Range].[Social_Media_Influence].[All]" dimensionUniqueName="[Range]" displayFolder="" count="0" memberValueDatatype="130" unbalanced="0"/>
    <cacheHierarchy uniqueName="[Range].[Discount_Sensitivity]" caption="Discount_Sensitivity" attribute="1" defaultMemberUniqueName="[Range].[Discount_Sensitivity].[All]" allUniqueName="[Range].[Discount_Sensitivity].[All]" dimensionUniqueName="[Range]" displayFolder="" count="0" memberValueDatatype="130" unbalanced="0"/>
    <cacheHierarchy uniqueName="[Range].[Return_Rate]" caption="Return_Rate" attribute="1" defaultMemberUniqueName="[Range].[Return_Rate].[All]" allUniqueName="[Range].[Return_Rate].[All]" dimensionUniqueName="[Range]" displayFolder="" count="0" memberValueDatatype="20" unbalanced="0"/>
    <cacheHierarchy uniqueName="[Range].[Customer_Satisfaction]" caption="Customer_Satisfaction" attribute="1" defaultMemberUniqueName="[Range].[Customer_Satisfaction].[All]" allUniqueName="[Range].[Customer_Satisfaction].[All]" dimensionUniqueName="[Range]" displayFolder="" count="0" memberValueDatatype="20" unbalanced="0"/>
    <cacheHierarchy uniqueName="[Range].[Engagement_with_Ads]" caption="Engagement_with_Ads" attribute="1" defaultMemberUniqueName="[Range].[Engagement_with_Ads].[All]" allUniqueName="[Range].[Engagement_with_Ads].[All]" dimensionUniqueName="[Range]" displayFolder="" count="0" memberValueDatatype="130" unbalanced="0"/>
    <cacheHierarchy uniqueName="[Range].[Device_Used_for_Shopping]" caption="Device_Used_for_Shopping" attribute="1" defaultMemberUniqueName="[Range].[Device_Used_for_Shopping].[All]" allUniqueName="[Range].[Device_Used_for_Shopping].[All]" dimensionUniqueName="[Range]" displayFolder="" count="0" memberValueDatatype="130" unbalanced="0"/>
    <cacheHierarchy uniqueName="[Range].[Payment_Method]" caption="Payment_Method" attribute="1" defaultMemberUniqueName="[Range].[Payment_Method].[All]" allUniqueName="[Range].[Payment_Method].[All]" dimensionUniqueName="[Range]" displayFolder="" count="0" memberValueDatatype="130" unbalanced="0"/>
    <cacheHierarchy uniqueName="[Range].[Time_of_Purchase]" caption="Time_of_Purchase" attribute="1" time="1" defaultMemberUniqueName="[Range].[Time_of_Purchase].[All]" allUniqueName="[Range].[Time_of_Purchase].[All]" dimensionUniqueName="[Range]" displayFolder="" count="0" memberValueDatatype="7" unbalanced="0"/>
    <cacheHierarchy uniqueName="[Range].[Month]" caption="Month" attribute="1" defaultMemberUniqueName="[Range].[Month].[All]" allUniqueName="[Range].[Month].[All]" dimensionUniqueName="[Range]" displayFolder="" count="2" memberValueDatatype="130" unbalanced="0">
      <fieldsUsage count="2">
        <fieldUsage x="-1"/>
        <fieldUsage x="0"/>
      </fieldsUsage>
    </cacheHierarchy>
    <cacheHierarchy uniqueName="[Range].[Year]" caption="Year" attribute="1" defaultMemberUniqueName="[Range].[Year].[All]" allUniqueName="[Range].[Year].[All]" dimensionUniqueName="[Range]" displayFolder="" count="0" memberValueDatatype="130" unbalanced="0"/>
    <cacheHierarchy uniqueName="[Range].[Discount_Used]" caption="Discount_Used" attribute="1" defaultMemberUniqueName="[Range].[Discount_Used].[All]" allUniqueName="[Range].[Discount_Used].[All]" dimensionUniqueName="[Range]" displayFolder="" count="0" memberValueDatatype="11" unbalanced="0"/>
    <cacheHierarchy uniqueName="[Range].[Customer_Loyalty_Program_Member]" caption="Customer_Loyalty_Program_Member" attribute="1" defaultMemberUniqueName="[Range].[Customer_Loyalty_Program_Member].[All]" allUniqueName="[Range].[Customer_Loyalty_Program_Member].[All]" dimensionUniqueName="[Range]" displayFolder="" count="0" memberValueDatatype="11" unbalanced="0"/>
    <cacheHierarchy uniqueName="[Range].[Purchase_Intent]" caption="Purchase_Intent" attribute="1" defaultMemberUniqueName="[Range].[Purchase_Intent].[All]" allUniqueName="[Range].[Purchase_Intent].[All]" dimensionUniqueName="[Range]" displayFolder="" count="0" memberValueDatatype="130" unbalanced="0"/>
    <cacheHierarchy uniqueName="[Range].[Shipping_Preference]" caption="Shipping_Preference" attribute="1" defaultMemberUniqueName="[Range].[Shipping_Preference].[All]" allUniqueName="[Range].[Shipping_Preference].[All]" dimensionUniqueName="[Range]" displayFolder="" count="0" memberValueDatatype="130" unbalanced="0"/>
    <cacheHierarchy uniqueName="[Range].[Time_to_Decision]" caption="Time_to_Decision" attribute="1" defaultMemberUniqueName="[Range].[Time_to_Decision].[All]" allUniqueName="[Range].[Time_to_Decision].[All]" dimensionUniqueName="[Range]" displayFolder="" count="0" memberValueDatatype="20" unbalanced="0"/>
    <cacheHierarchy uniqueName="[Range].[Time_of_Purchase (Year)]" caption="Time_of_Purchase (Year)" attribute="1" defaultMemberUniqueName="[Range].[Time_of_Purchase (Year)].[All]" allUniqueName="[Range].[Time_of_Purchase (Year)].[All]" dimensionUniqueName="[Range]" displayFolder="" count="0" memberValueDatatype="130" unbalanced="0"/>
    <cacheHierarchy uniqueName="[Range].[Time_of_Purchase (Quarter)]" caption="Time_of_Purchase (Quarter)" attribute="1" defaultMemberUniqueName="[Range].[Time_of_Purchase (Quarter)].[All]" allUniqueName="[Range].[Time_of_Purchase (Quarter)].[All]" dimensionUniqueName="[Range]" displayFolder="" count="0" memberValueDatatype="130" unbalanced="0"/>
    <cacheHierarchy uniqueName="[Range].[Time_of_Purchase (Month)]" caption="Time_of_Purchase (Month)" attribute="1" defaultMemberUniqueName="[Range].[Time_of_Purchase (Month)].[All]" allUniqueName="[Range].[Time_of_Purchase (Month)].[All]" dimensionUniqueName="[Range]" displayFolder="" count="0" memberValueDatatype="130" unbalanced="0"/>
    <cacheHierarchy uniqueName="[Range].[Time_of_Purchase (Month Index)]" caption="Time_of_Purchase (Month Index)" attribute="1" defaultMemberUniqueName="[Range].[Time_of_Purchase (Month Index)].[All]" allUniqueName="[Range].[Time_of_Purchase (Month Index)].[All]" dimensionUniqueName="[Range]" displayFolder="" count="0" memberValueDatatype="20" unbalanced="0" hidden="1"/>
    <cacheHierarchy uniqueName="[Measures].[__XL_Count Range]" caption="__XL_Count Range" measure="1" displayFolder="" measureGroup="Range" count="0" hidden="1"/>
    <cacheHierarchy uniqueName="[Measures].[__No measures defined]" caption="__No measures defined" measure="1" displayFolder="" count="0" hidden="1"/>
    <cacheHierarchy uniqueName="[Measures].[Sum of Purchase_Amount]" caption="Sum of Purchase_Amount" measure="1" displayFolder="" measureGroup="Range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10"/>
        </ext>
      </extLst>
    </cacheHierarchy>
    <cacheHierarchy uniqueName="[Measures].[Sum of Time_Spent_on_Product_Research(hours)]" caption="Sum of Time_Spent_on_Product_Research(hours)" measure="1" displayFolder="" measureGroup="Range" count="0" hidden="1">
      <extLst>
        <ext xmlns:x15="http://schemas.microsoft.com/office/spreadsheetml/2010/11/main" uri="{B97F6D7D-B522-45F9-BDA1-12C45D357490}">
          <x15:cacheHierarchy aggregatedColumn="15"/>
        </ext>
      </extLst>
    </cacheHierarchy>
    <cacheHierarchy uniqueName="[Measures].[Sum of Time_to_Decision]" caption="Sum of Time_to_Decision" measure="1" displayFolder="" measureGroup="Range" count="0" hidden="1">
      <extLst>
        <ext xmlns:x15="http://schemas.microsoft.com/office/spreadsheetml/2010/11/main" uri="{B97F6D7D-B522-45F9-BDA1-12C45D357490}">
          <x15:cacheHierarchy aggregatedColumn="30"/>
        </ext>
      </extLst>
    </cacheHierarchy>
    <cacheHierarchy uniqueName="[Measures].[Sum of Brand_Loyalty]" caption="Sum of Brand_Loyalty" measure="1" displayFolder="" measureGroup="Range" count="0" hidden="1"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Average of Purchase_Amount]" caption="Average of Purchase_Amount" measure="1" displayFolder="" measureGroup="Range" count="0" hidden="1">
      <extLst>
        <ext xmlns:x15="http://schemas.microsoft.com/office/spreadsheetml/2010/11/main" uri="{B97F6D7D-B522-45F9-BDA1-12C45D357490}">
          <x15:cacheHierarchy aggregatedColumn="10"/>
        </ext>
      </extLst>
    </cacheHierarchy>
    <cacheHierarchy uniqueName="[Measures].[Sum of Return_Rate]" caption="Sum of Return_Rate" measure="1" displayFolder="" measureGroup="Range" count="0" hidden="1">
      <extLst>
        <ext xmlns:x15="http://schemas.microsoft.com/office/spreadsheetml/2010/11/main" uri="{B97F6D7D-B522-45F9-BDA1-12C45D357490}">
          <x15:cacheHierarchy aggregatedColumn="18"/>
        </ext>
      </extLst>
    </cacheHierarchy>
    <cacheHierarchy uniqueName="[Measures].[Sum of Product_Rating]" caption="Sum of Product_Rating" measure="1" displayFolder="" measureGroup="Range" count="0" hidden="1">
      <extLst>
        <ext xmlns:x15="http://schemas.microsoft.com/office/spreadsheetml/2010/11/main" uri="{B97F6D7D-B522-45F9-BDA1-12C45D357490}">
          <x15:cacheHierarchy aggregatedColumn="14"/>
        </ext>
      </extLst>
    </cacheHierarchy>
    <cacheHierarchy uniqueName="[Measures].[Sum of Customer_Satisfaction]" caption="Sum of Customer_Satisfaction" measure="1" displayFolder="" measureGroup="Range" count="0" hidden="1">
      <extLst>
        <ext xmlns:x15="http://schemas.microsoft.com/office/spreadsheetml/2010/11/main" uri="{B97F6D7D-B522-45F9-BDA1-12C45D357490}">
          <x15:cacheHierarchy aggregatedColumn="19"/>
        </ext>
      </extLst>
    </cacheHierarchy>
    <cacheHierarchy uniqueName="[Measures].[Average of Customer_Satisfaction]" caption="Average of Customer_Satisfaction" measure="1" displayFolder="" measureGroup="Range" count="0" hidden="1">
      <extLst>
        <ext xmlns:x15="http://schemas.microsoft.com/office/spreadsheetml/2010/11/main" uri="{B97F6D7D-B522-45F9-BDA1-12C45D357490}">
          <x15:cacheHierarchy aggregatedColumn="19"/>
        </ext>
      </extLst>
    </cacheHierarchy>
  </cacheHierarchies>
  <kpis count="0"/>
  <dimensions count="2">
    <dimension measure="1" name="Measures" uniqueName="[Measures]" caption="Measures"/>
    <dimension name="Range" uniqueName="[Range]" caption="Range"/>
  </dimensions>
  <measureGroups count="1">
    <measureGroup name="Range" caption="Range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7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SHILPA ROY" refreshedDate="46174.028882986109" backgroundQuery="1" createdVersion="8" refreshedVersion="8" minRefreshableVersion="3" recordCount="0" supportSubquery="1" supportAdvancedDrill="1" xr:uid="{C1B44A7A-515B-4174-B8F5-A509FCDE8B8C}">
  <cacheSource type="external" connectionId="1"/>
  <cacheFields count="2">
    <cacheField name="[Range].[Social_Media_Influence].[Social_Media_Influence]" caption="Social_Media_Influence" numFmtId="0" hierarchy="16" level="1">
      <sharedItems count="4">
        <s v="High"/>
        <s v="Low"/>
        <s v="Medium"/>
        <s v="None"/>
      </sharedItems>
    </cacheField>
    <cacheField name="[Measures].[Sum of Purchase_Amount]" caption="Sum of Purchase_Amount" numFmtId="0" hierarchy="37" level="32767"/>
  </cacheFields>
  <cacheHierarchies count="46">
    <cacheHierarchy uniqueName="[Range].[Customer_ID]" caption="Customer_ID" attribute="1" defaultMemberUniqueName="[Range].[Customer_ID].[All]" allUniqueName="[Range].[Customer_ID].[All]" dimensionUniqueName="[Range]" displayFolder="" count="0" memberValueDatatype="130" unbalanced="0"/>
    <cacheHierarchy uniqueName="[Range].[Age]" caption="Age" attribute="1" defaultMemberUniqueName="[Range].[Age].[All]" allUniqueName="[Range].[Age].[All]" dimensionUniqueName="[Range]" displayFolder="" count="0" memberValueDatatype="20" unbalanced="0"/>
    <cacheHierarchy uniqueName="[Range].[Age-Group]" caption="Age-Group" attribute="1" defaultMemberUniqueName="[Range].[Age-Group].[All]" allUniqueName="[Range].[Age-Group].[All]" dimensionUniqueName="[Range]" displayFolder="" count="0" memberValueDatatype="130" unbalanced="0"/>
    <cacheHierarchy uniqueName="[Range].[Gender]" caption="Gender" attribute="1" defaultMemberUniqueName="[Range].[Gender].[All]" allUniqueName="[Range].[Gender].[All]" dimensionUniqueName="[Range]" displayFolder="" count="0" memberValueDatatype="130" unbalanced="0"/>
    <cacheHierarchy uniqueName="[Range].[Income_Level]" caption="Income_Level" attribute="1" defaultMemberUniqueName="[Range].[Income_Level].[All]" allUniqueName="[Range].[Income_Level].[All]" dimensionUniqueName="[Range]" displayFolder="" count="0" memberValueDatatype="130" unbalanced="0"/>
    <cacheHierarchy uniqueName="[Range].[Marital_Status]" caption="Marital_Status" attribute="1" defaultMemberUniqueName="[Range].[Marital_Status].[All]" allUniqueName="[Range].[Marital_Status].[All]" dimensionUniqueName="[Range]" displayFolder="" count="0" memberValueDatatype="130" unbalanced="0"/>
    <cacheHierarchy uniqueName="[Range].[Education_Level]" caption="Education_Level" attribute="1" defaultMemberUniqueName="[Range].[Education_Level].[All]" allUniqueName="[Range].[Education_Level].[All]" dimensionUniqueName="[Range]" displayFolder="" count="0" memberValueDatatype="130" unbalanced="0"/>
    <cacheHierarchy uniqueName="[Range].[Occupation]" caption="Occupation" attribute="1" defaultMemberUniqueName="[Range].[Occupation].[All]" allUniqueName="[Range].[Occupation].[All]" dimensionUniqueName="[Range]" displayFolder="" count="0" memberValueDatatype="130" unbalanced="0"/>
    <cacheHierarchy uniqueName="[Range].[Location]" caption="Location" attribute="1" defaultMemberUniqueName="[Range].[Location].[All]" allUniqueName="[Range].[Location].[All]" dimensionUniqueName="[Range]" displayFolder="" count="0" memberValueDatatype="130" unbalanced="0"/>
    <cacheHierarchy uniqueName="[Range].[Purchase_Category]" caption="Purchase_Category" attribute="1" defaultMemberUniqueName="[Range].[Purchase_Category].[All]" allUniqueName="[Range].[Purchase_Category].[All]" dimensionUniqueName="[Range]" displayFolder="" count="0" memberValueDatatype="130" unbalanced="0"/>
    <cacheHierarchy uniqueName="[Range].[Purchase_Amount]" caption="Purchase_Amount" attribute="1" defaultMemberUniqueName="[Range].[Purchase_Amount].[All]" allUniqueName="[Range].[Purchase_Amount].[All]" dimensionUniqueName="[Range]" displayFolder="" count="0" memberValueDatatype="5" unbalanced="0"/>
    <cacheHierarchy uniqueName="[Range].[Frequency_of_Purchase]" caption="Frequency_of_Purchase" attribute="1" defaultMemberUniqueName="[Range].[Frequency_of_Purchase].[All]" allUniqueName="[Range].[Frequency_of_Purchase].[All]" dimensionUniqueName="[Range]" displayFolder="" count="0" memberValueDatatype="20" unbalanced="0"/>
    <cacheHierarchy uniqueName="[Range].[Purchase_Channel]" caption="Purchase_Channel" attribute="1" defaultMemberUniqueName="[Range].[Purchase_Channel].[All]" allUniqueName="[Range].[Purchase_Channel].[All]" dimensionUniqueName="[Range]" displayFolder="" count="0" memberValueDatatype="130" unbalanced="0"/>
    <cacheHierarchy uniqueName="[Range].[Brand_Loyalty]" caption="Brand_Loyalty" attribute="1" defaultMemberUniqueName="[Range].[Brand_Loyalty].[All]" allUniqueName="[Range].[Brand_Loyalty].[All]" dimensionUniqueName="[Range]" displayFolder="" count="0" memberValueDatatype="20" unbalanced="0"/>
    <cacheHierarchy uniqueName="[Range].[Product_Rating]" caption="Product_Rating" attribute="1" defaultMemberUniqueName="[Range].[Product_Rating].[All]" allUniqueName="[Range].[Product_Rating].[All]" dimensionUniqueName="[Range]" displayFolder="" count="0" memberValueDatatype="20" unbalanced="0"/>
    <cacheHierarchy uniqueName="[Range].[Time_Spent_on_Product_Research(hours)]" caption="Time_Spent_on_Product_Research(hours)" attribute="1" defaultMemberUniqueName="[Range].[Time_Spent_on_Product_Research(hours)].[All]" allUniqueName="[Range].[Time_Spent_on_Product_Research(hours)].[All]" dimensionUniqueName="[Range]" displayFolder="" count="0" memberValueDatatype="5" unbalanced="0"/>
    <cacheHierarchy uniqueName="[Range].[Social_Media_Influence]" caption="Social_Media_Influence" attribute="1" defaultMemberUniqueName="[Range].[Social_Media_Influence].[All]" allUniqueName="[Range].[Social_Media_Influence].[All]" dimensionUniqueName="[Range]" displayFolder="" count="2" memberValueDatatype="130" unbalanced="0">
      <fieldsUsage count="2">
        <fieldUsage x="-1"/>
        <fieldUsage x="0"/>
      </fieldsUsage>
    </cacheHierarchy>
    <cacheHierarchy uniqueName="[Range].[Discount_Sensitivity]" caption="Discount_Sensitivity" attribute="1" defaultMemberUniqueName="[Range].[Discount_Sensitivity].[All]" allUniqueName="[Range].[Discount_Sensitivity].[All]" dimensionUniqueName="[Range]" displayFolder="" count="0" memberValueDatatype="130" unbalanced="0"/>
    <cacheHierarchy uniqueName="[Range].[Return_Rate]" caption="Return_Rate" attribute="1" defaultMemberUniqueName="[Range].[Return_Rate].[All]" allUniqueName="[Range].[Return_Rate].[All]" dimensionUniqueName="[Range]" displayFolder="" count="0" memberValueDatatype="20" unbalanced="0"/>
    <cacheHierarchy uniqueName="[Range].[Customer_Satisfaction]" caption="Customer_Satisfaction" attribute="1" defaultMemberUniqueName="[Range].[Customer_Satisfaction].[All]" allUniqueName="[Range].[Customer_Satisfaction].[All]" dimensionUniqueName="[Range]" displayFolder="" count="0" memberValueDatatype="20" unbalanced="0"/>
    <cacheHierarchy uniqueName="[Range].[Engagement_with_Ads]" caption="Engagement_with_Ads" attribute="1" defaultMemberUniqueName="[Range].[Engagement_with_Ads].[All]" allUniqueName="[Range].[Engagement_with_Ads].[All]" dimensionUniqueName="[Range]" displayFolder="" count="0" memberValueDatatype="130" unbalanced="0"/>
    <cacheHierarchy uniqueName="[Range].[Device_Used_for_Shopping]" caption="Device_Used_for_Shopping" attribute="1" defaultMemberUniqueName="[Range].[Device_Used_for_Shopping].[All]" allUniqueName="[Range].[Device_Used_for_Shopping].[All]" dimensionUniqueName="[Range]" displayFolder="" count="0" memberValueDatatype="130" unbalanced="0"/>
    <cacheHierarchy uniqueName="[Range].[Payment_Method]" caption="Payment_Method" attribute="1" defaultMemberUniqueName="[Range].[Payment_Method].[All]" allUniqueName="[Range].[Payment_Method].[All]" dimensionUniqueName="[Range]" displayFolder="" count="0" memberValueDatatype="130" unbalanced="0"/>
    <cacheHierarchy uniqueName="[Range].[Time_of_Purchase]" caption="Time_of_Purchase" attribute="1" time="1" defaultMemberUniqueName="[Range].[Time_of_Purchase].[All]" allUniqueName="[Range].[Time_of_Purchase].[All]" dimensionUniqueName="[Range]" displayFolder="" count="0" memberValueDatatype="7" unbalanced="0"/>
    <cacheHierarchy uniqueName="[Range].[Month]" caption="Month" attribute="1" defaultMemberUniqueName="[Range].[Month].[All]" allUniqueName="[Range].[Month].[All]" dimensionUniqueName="[Range]" displayFolder="" count="0" memberValueDatatype="130" unbalanced="0"/>
    <cacheHierarchy uniqueName="[Range].[Year]" caption="Year" attribute="1" defaultMemberUniqueName="[Range].[Year].[All]" allUniqueName="[Range].[Year].[All]" dimensionUniqueName="[Range]" displayFolder="" count="0" memberValueDatatype="130" unbalanced="0"/>
    <cacheHierarchy uniqueName="[Range].[Discount_Used]" caption="Discount_Used" attribute="1" defaultMemberUniqueName="[Range].[Discount_Used].[All]" allUniqueName="[Range].[Discount_Used].[All]" dimensionUniqueName="[Range]" displayFolder="" count="0" memberValueDatatype="11" unbalanced="0"/>
    <cacheHierarchy uniqueName="[Range].[Customer_Loyalty_Program_Member]" caption="Customer_Loyalty_Program_Member" attribute="1" defaultMemberUniqueName="[Range].[Customer_Loyalty_Program_Member].[All]" allUniqueName="[Range].[Customer_Loyalty_Program_Member].[All]" dimensionUniqueName="[Range]" displayFolder="" count="0" memberValueDatatype="11" unbalanced="0"/>
    <cacheHierarchy uniqueName="[Range].[Purchase_Intent]" caption="Purchase_Intent" attribute="1" defaultMemberUniqueName="[Range].[Purchase_Intent].[All]" allUniqueName="[Range].[Purchase_Intent].[All]" dimensionUniqueName="[Range]" displayFolder="" count="0" memberValueDatatype="130" unbalanced="0"/>
    <cacheHierarchy uniqueName="[Range].[Shipping_Preference]" caption="Shipping_Preference" attribute="1" defaultMemberUniqueName="[Range].[Shipping_Preference].[All]" allUniqueName="[Range].[Shipping_Preference].[All]" dimensionUniqueName="[Range]" displayFolder="" count="0" memberValueDatatype="130" unbalanced="0"/>
    <cacheHierarchy uniqueName="[Range].[Time_to_Decision]" caption="Time_to_Decision" attribute="1" defaultMemberUniqueName="[Range].[Time_to_Decision].[All]" allUniqueName="[Range].[Time_to_Decision].[All]" dimensionUniqueName="[Range]" displayFolder="" count="0" memberValueDatatype="20" unbalanced="0"/>
    <cacheHierarchy uniqueName="[Range].[Time_of_Purchase (Year)]" caption="Time_of_Purchase (Year)" attribute="1" defaultMemberUniqueName="[Range].[Time_of_Purchase (Year)].[All]" allUniqueName="[Range].[Time_of_Purchase (Year)].[All]" dimensionUniqueName="[Range]" displayFolder="" count="0" memberValueDatatype="130" unbalanced="0"/>
    <cacheHierarchy uniqueName="[Range].[Time_of_Purchase (Quarter)]" caption="Time_of_Purchase (Quarter)" attribute="1" defaultMemberUniqueName="[Range].[Time_of_Purchase (Quarter)].[All]" allUniqueName="[Range].[Time_of_Purchase (Quarter)].[All]" dimensionUniqueName="[Range]" displayFolder="" count="0" memberValueDatatype="130" unbalanced="0"/>
    <cacheHierarchy uniqueName="[Range].[Time_of_Purchase (Month)]" caption="Time_of_Purchase (Month)" attribute="1" defaultMemberUniqueName="[Range].[Time_of_Purchase (Month)].[All]" allUniqueName="[Range].[Time_of_Purchase (Month)].[All]" dimensionUniqueName="[Range]" displayFolder="" count="0" memberValueDatatype="130" unbalanced="0"/>
    <cacheHierarchy uniqueName="[Range].[Time_of_Purchase (Month Index)]" caption="Time_of_Purchase (Month Index)" attribute="1" defaultMemberUniqueName="[Range].[Time_of_Purchase (Month Index)].[All]" allUniqueName="[Range].[Time_of_Purchase (Month Index)].[All]" dimensionUniqueName="[Range]" displayFolder="" count="0" memberValueDatatype="20" unbalanced="0" hidden="1"/>
    <cacheHierarchy uniqueName="[Measures].[__XL_Count Range]" caption="__XL_Count Range" measure="1" displayFolder="" measureGroup="Range" count="0" hidden="1"/>
    <cacheHierarchy uniqueName="[Measures].[__No measures defined]" caption="__No measures defined" measure="1" displayFolder="" count="0" hidden="1"/>
    <cacheHierarchy uniqueName="[Measures].[Sum of Purchase_Amount]" caption="Sum of Purchase_Amount" measure="1" displayFolder="" measureGroup="Range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10"/>
        </ext>
      </extLst>
    </cacheHierarchy>
    <cacheHierarchy uniqueName="[Measures].[Sum of Time_Spent_on_Product_Research(hours)]" caption="Sum of Time_Spent_on_Product_Research(hours)" measure="1" displayFolder="" measureGroup="Range" count="0" hidden="1">
      <extLst>
        <ext xmlns:x15="http://schemas.microsoft.com/office/spreadsheetml/2010/11/main" uri="{B97F6D7D-B522-45F9-BDA1-12C45D357490}">
          <x15:cacheHierarchy aggregatedColumn="15"/>
        </ext>
      </extLst>
    </cacheHierarchy>
    <cacheHierarchy uniqueName="[Measures].[Sum of Time_to_Decision]" caption="Sum of Time_to_Decision" measure="1" displayFolder="" measureGroup="Range" count="0" hidden="1">
      <extLst>
        <ext xmlns:x15="http://schemas.microsoft.com/office/spreadsheetml/2010/11/main" uri="{B97F6D7D-B522-45F9-BDA1-12C45D357490}">
          <x15:cacheHierarchy aggregatedColumn="30"/>
        </ext>
      </extLst>
    </cacheHierarchy>
    <cacheHierarchy uniqueName="[Measures].[Sum of Brand_Loyalty]" caption="Sum of Brand_Loyalty" measure="1" displayFolder="" measureGroup="Range" count="0" hidden="1"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Average of Purchase_Amount]" caption="Average of Purchase_Amount" measure="1" displayFolder="" measureGroup="Range" count="0" hidden="1">
      <extLst>
        <ext xmlns:x15="http://schemas.microsoft.com/office/spreadsheetml/2010/11/main" uri="{B97F6D7D-B522-45F9-BDA1-12C45D357490}">
          <x15:cacheHierarchy aggregatedColumn="10"/>
        </ext>
      </extLst>
    </cacheHierarchy>
    <cacheHierarchy uniqueName="[Measures].[Sum of Return_Rate]" caption="Sum of Return_Rate" measure="1" displayFolder="" measureGroup="Range" count="0" hidden="1">
      <extLst>
        <ext xmlns:x15="http://schemas.microsoft.com/office/spreadsheetml/2010/11/main" uri="{B97F6D7D-B522-45F9-BDA1-12C45D357490}">
          <x15:cacheHierarchy aggregatedColumn="18"/>
        </ext>
      </extLst>
    </cacheHierarchy>
    <cacheHierarchy uniqueName="[Measures].[Sum of Product_Rating]" caption="Sum of Product_Rating" measure="1" displayFolder="" measureGroup="Range" count="0" hidden="1">
      <extLst>
        <ext xmlns:x15="http://schemas.microsoft.com/office/spreadsheetml/2010/11/main" uri="{B97F6D7D-B522-45F9-BDA1-12C45D357490}">
          <x15:cacheHierarchy aggregatedColumn="14"/>
        </ext>
      </extLst>
    </cacheHierarchy>
    <cacheHierarchy uniqueName="[Measures].[Sum of Customer_Satisfaction]" caption="Sum of Customer_Satisfaction" measure="1" displayFolder="" measureGroup="Range" count="0" hidden="1">
      <extLst>
        <ext xmlns:x15="http://schemas.microsoft.com/office/spreadsheetml/2010/11/main" uri="{B97F6D7D-B522-45F9-BDA1-12C45D357490}">
          <x15:cacheHierarchy aggregatedColumn="19"/>
        </ext>
      </extLst>
    </cacheHierarchy>
    <cacheHierarchy uniqueName="[Measures].[Average of Customer_Satisfaction]" caption="Average of Customer_Satisfaction" measure="1" displayFolder="" measureGroup="Range" count="0" hidden="1">
      <extLst>
        <ext xmlns:x15="http://schemas.microsoft.com/office/spreadsheetml/2010/11/main" uri="{B97F6D7D-B522-45F9-BDA1-12C45D357490}">
          <x15:cacheHierarchy aggregatedColumn="19"/>
        </ext>
      </extLst>
    </cacheHierarchy>
  </cacheHierarchies>
  <kpis count="0"/>
  <dimensions count="2">
    <dimension measure="1" name="Measures" uniqueName="[Measures]" caption="Measures"/>
    <dimension name="Range" uniqueName="[Range]" caption="Range"/>
  </dimensions>
  <measureGroups count="1">
    <measureGroup name="Range" caption="Range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8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SHILPA ROY" refreshedDate="46174.026181365742" backgroundQuery="1" createdVersion="8" refreshedVersion="8" minRefreshableVersion="3" recordCount="0" supportSubquery="1" supportAdvancedDrill="1" xr:uid="{A6707A97-5A6A-4433-8855-F6F4090E3ED2}">
  <cacheSource type="external" connectionId="1"/>
  <cacheFields count="2">
    <cacheField name="[Range].[Payment_Method].[Payment_Method]" caption="Payment_Method" numFmtId="0" hierarchy="22" level="1">
      <sharedItems count="5">
        <s v="Cash"/>
        <s v="Credit Card"/>
        <s v="Debit Card"/>
        <s v="Other"/>
        <s v="PayPal"/>
      </sharedItems>
    </cacheField>
    <cacheField name="[Measures].[Sum of Purchase_Amount]" caption="Sum of Purchase_Amount" numFmtId="0" hierarchy="37" level="32767"/>
  </cacheFields>
  <cacheHierarchies count="46">
    <cacheHierarchy uniqueName="[Range].[Customer_ID]" caption="Customer_ID" attribute="1" defaultMemberUniqueName="[Range].[Customer_ID].[All]" allUniqueName="[Range].[Customer_ID].[All]" dimensionUniqueName="[Range]" displayFolder="" count="0" memberValueDatatype="130" unbalanced="0"/>
    <cacheHierarchy uniqueName="[Range].[Age]" caption="Age" attribute="1" defaultMemberUniqueName="[Range].[Age].[All]" allUniqueName="[Range].[Age].[All]" dimensionUniqueName="[Range]" displayFolder="" count="0" memberValueDatatype="20" unbalanced="0"/>
    <cacheHierarchy uniqueName="[Range].[Age-Group]" caption="Age-Group" attribute="1" defaultMemberUniqueName="[Range].[Age-Group].[All]" allUniqueName="[Range].[Age-Group].[All]" dimensionUniqueName="[Range]" displayFolder="" count="0" memberValueDatatype="130" unbalanced="0"/>
    <cacheHierarchy uniqueName="[Range].[Gender]" caption="Gender" attribute="1" defaultMemberUniqueName="[Range].[Gender].[All]" allUniqueName="[Range].[Gender].[All]" dimensionUniqueName="[Range]" displayFolder="" count="0" memberValueDatatype="130" unbalanced="0"/>
    <cacheHierarchy uniqueName="[Range].[Income_Level]" caption="Income_Level" attribute="1" defaultMemberUniqueName="[Range].[Income_Level].[All]" allUniqueName="[Range].[Income_Level].[All]" dimensionUniqueName="[Range]" displayFolder="" count="0" memberValueDatatype="130" unbalanced="0"/>
    <cacheHierarchy uniqueName="[Range].[Marital_Status]" caption="Marital_Status" attribute="1" defaultMemberUniqueName="[Range].[Marital_Status].[All]" allUniqueName="[Range].[Marital_Status].[All]" dimensionUniqueName="[Range]" displayFolder="" count="0" memberValueDatatype="130" unbalanced="0"/>
    <cacheHierarchy uniqueName="[Range].[Education_Level]" caption="Education_Level" attribute="1" defaultMemberUniqueName="[Range].[Education_Level].[All]" allUniqueName="[Range].[Education_Level].[All]" dimensionUniqueName="[Range]" displayFolder="" count="0" memberValueDatatype="130" unbalanced="0"/>
    <cacheHierarchy uniqueName="[Range].[Occupation]" caption="Occupation" attribute="1" defaultMemberUniqueName="[Range].[Occupation].[All]" allUniqueName="[Range].[Occupation].[All]" dimensionUniqueName="[Range]" displayFolder="" count="0" memberValueDatatype="130" unbalanced="0"/>
    <cacheHierarchy uniqueName="[Range].[Location]" caption="Location" attribute="1" defaultMemberUniqueName="[Range].[Location].[All]" allUniqueName="[Range].[Location].[All]" dimensionUniqueName="[Range]" displayFolder="" count="0" memberValueDatatype="130" unbalanced="0"/>
    <cacheHierarchy uniqueName="[Range].[Purchase_Category]" caption="Purchase_Category" attribute="1" defaultMemberUniqueName="[Range].[Purchase_Category].[All]" allUniqueName="[Range].[Purchase_Category].[All]" dimensionUniqueName="[Range]" displayFolder="" count="0" memberValueDatatype="130" unbalanced="0"/>
    <cacheHierarchy uniqueName="[Range].[Purchase_Amount]" caption="Purchase_Amount" attribute="1" defaultMemberUniqueName="[Range].[Purchase_Amount].[All]" allUniqueName="[Range].[Purchase_Amount].[All]" dimensionUniqueName="[Range]" displayFolder="" count="0" memberValueDatatype="5" unbalanced="0"/>
    <cacheHierarchy uniqueName="[Range].[Frequency_of_Purchase]" caption="Frequency_of_Purchase" attribute="1" defaultMemberUniqueName="[Range].[Frequency_of_Purchase].[All]" allUniqueName="[Range].[Frequency_of_Purchase].[All]" dimensionUniqueName="[Range]" displayFolder="" count="0" memberValueDatatype="20" unbalanced="0"/>
    <cacheHierarchy uniqueName="[Range].[Purchase_Channel]" caption="Purchase_Channel" attribute="1" defaultMemberUniqueName="[Range].[Purchase_Channel].[All]" allUniqueName="[Range].[Purchase_Channel].[All]" dimensionUniqueName="[Range]" displayFolder="" count="0" memberValueDatatype="130" unbalanced="0"/>
    <cacheHierarchy uniqueName="[Range].[Brand_Loyalty]" caption="Brand_Loyalty" attribute="1" defaultMemberUniqueName="[Range].[Brand_Loyalty].[All]" allUniqueName="[Range].[Brand_Loyalty].[All]" dimensionUniqueName="[Range]" displayFolder="" count="0" memberValueDatatype="20" unbalanced="0"/>
    <cacheHierarchy uniqueName="[Range].[Product_Rating]" caption="Product_Rating" attribute="1" defaultMemberUniqueName="[Range].[Product_Rating].[All]" allUniqueName="[Range].[Product_Rating].[All]" dimensionUniqueName="[Range]" displayFolder="" count="0" memberValueDatatype="20" unbalanced="0"/>
    <cacheHierarchy uniqueName="[Range].[Time_Spent_on_Product_Research(hours)]" caption="Time_Spent_on_Product_Research(hours)" attribute="1" defaultMemberUniqueName="[Range].[Time_Spent_on_Product_Research(hours)].[All]" allUniqueName="[Range].[Time_Spent_on_Product_Research(hours)].[All]" dimensionUniqueName="[Range]" displayFolder="" count="0" memberValueDatatype="5" unbalanced="0"/>
    <cacheHierarchy uniqueName="[Range].[Social_Media_Influence]" caption="Social_Media_Influence" attribute="1" defaultMemberUniqueName="[Range].[Social_Media_Influence].[All]" allUniqueName="[Range].[Social_Media_Influence].[All]" dimensionUniqueName="[Range]" displayFolder="" count="0" memberValueDatatype="130" unbalanced="0"/>
    <cacheHierarchy uniqueName="[Range].[Discount_Sensitivity]" caption="Discount_Sensitivity" attribute="1" defaultMemberUniqueName="[Range].[Discount_Sensitivity].[All]" allUniqueName="[Range].[Discount_Sensitivity].[All]" dimensionUniqueName="[Range]" displayFolder="" count="0" memberValueDatatype="130" unbalanced="0"/>
    <cacheHierarchy uniqueName="[Range].[Return_Rate]" caption="Return_Rate" attribute="1" defaultMemberUniqueName="[Range].[Return_Rate].[All]" allUniqueName="[Range].[Return_Rate].[All]" dimensionUniqueName="[Range]" displayFolder="" count="0" memberValueDatatype="20" unbalanced="0"/>
    <cacheHierarchy uniqueName="[Range].[Customer_Satisfaction]" caption="Customer_Satisfaction" attribute="1" defaultMemberUniqueName="[Range].[Customer_Satisfaction].[All]" allUniqueName="[Range].[Customer_Satisfaction].[All]" dimensionUniqueName="[Range]" displayFolder="" count="0" memberValueDatatype="20" unbalanced="0"/>
    <cacheHierarchy uniqueName="[Range].[Engagement_with_Ads]" caption="Engagement_with_Ads" attribute="1" defaultMemberUniqueName="[Range].[Engagement_with_Ads].[All]" allUniqueName="[Range].[Engagement_with_Ads].[All]" dimensionUniqueName="[Range]" displayFolder="" count="0" memberValueDatatype="130" unbalanced="0"/>
    <cacheHierarchy uniqueName="[Range].[Device_Used_for_Shopping]" caption="Device_Used_for_Shopping" attribute="1" defaultMemberUniqueName="[Range].[Device_Used_for_Shopping].[All]" allUniqueName="[Range].[Device_Used_for_Shopping].[All]" dimensionUniqueName="[Range]" displayFolder="" count="0" memberValueDatatype="130" unbalanced="0"/>
    <cacheHierarchy uniqueName="[Range].[Payment_Method]" caption="Payment_Method" attribute="1" defaultMemberUniqueName="[Range].[Payment_Method].[All]" allUniqueName="[Range].[Payment_Method].[All]" dimensionUniqueName="[Range]" displayFolder="" count="2" memberValueDatatype="130" unbalanced="0">
      <fieldsUsage count="2">
        <fieldUsage x="-1"/>
        <fieldUsage x="0"/>
      </fieldsUsage>
    </cacheHierarchy>
    <cacheHierarchy uniqueName="[Range].[Time_of_Purchase]" caption="Time_of_Purchase" attribute="1" time="1" defaultMemberUniqueName="[Range].[Time_of_Purchase].[All]" allUniqueName="[Range].[Time_of_Purchase].[All]" dimensionUniqueName="[Range]" displayFolder="" count="0" memberValueDatatype="7" unbalanced="0"/>
    <cacheHierarchy uniqueName="[Range].[Month]" caption="Month" attribute="1" defaultMemberUniqueName="[Range].[Month].[All]" allUniqueName="[Range].[Month].[All]" dimensionUniqueName="[Range]" displayFolder="" count="0" memberValueDatatype="130" unbalanced="0"/>
    <cacheHierarchy uniqueName="[Range].[Year]" caption="Year" attribute="1" defaultMemberUniqueName="[Range].[Year].[All]" allUniqueName="[Range].[Year].[All]" dimensionUniqueName="[Range]" displayFolder="" count="0" memberValueDatatype="130" unbalanced="0"/>
    <cacheHierarchy uniqueName="[Range].[Discount_Used]" caption="Discount_Used" attribute="1" defaultMemberUniqueName="[Range].[Discount_Used].[All]" allUniqueName="[Range].[Discount_Used].[All]" dimensionUniqueName="[Range]" displayFolder="" count="0" memberValueDatatype="11" unbalanced="0"/>
    <cacheHierarchy uniqueName="[Range].[Customer_Loyalty_Program_Member]" caption="Customer_Loyalty_Program_Member" attribute="1" defaultMemberUniqueName="[Range].[Customer_Loyalty_Program_Member].[All]" allUniqueName="[Range].[Customer_Loyalty_Program_Member].[All]" dimensionUniqueName="[Range]" displayFolder="" count="0" memberValueDatatype="11" unbalanced="0"/>
    <cacheHierarchy uniqueName="[Range].[Purchase_Intent]" caption="Purchase_Intent" attribute="1" defaultMemberUniqueName="[Range].[Purchase_Intent].[All]" allUniqueName="[Range].[Purchase_Intent].[All]" dimensionUniqueName="[Range]" displayFolder="" count="0" memberValueDatatype="130" unbalanced="0"/>
    <cacheHierarchy uniqueName="[Range].[Shipping_Preference]" caption="Shipping_Preference" attribute="1" defaultMemberUniqueName="[Range].[Shipping_Preference].[All]" allUniqueName="[Range].[Shipping_Preference].[All]" dimensionUniqueName="[Range]" displayFolder="" count="0" memberValueDatatype="130" unbalanced="0"/>
    <cacheHierarchy uniqueName="[Range].[Time_to_Decision]" caption="Time_to_Decision" attribute="1" defaultMemberUniqueName="[Range].[Time_to_Decision].[All]" allUniqueName="[Range].[Time_to_Decision].[All]" dimensionUniqueName="[Range]" displayFolder="" count="0" memberValueDatatype="20" unbalanced="0"/>
    <cacheHierarchy uniqueName="[Range].[Time_of_Purchase (Year)]" caption="Time_of_Purchase (Year)" attribute="1" defaultMemberUniqueName="[Range].[Time_of_Purchase (Year)].[All]" allUniqueName="[Range].[Time_of_Purchase (Year)].[All]" dimensionUniqueName="[Range]" displayFolder="" count="0" memberValueDatatype="130" unbalanced="0"/>
    <cacheHierarchy uniqueName="[Range].[Time_of_Purchase (Quarter)]" caption="Time_of_Purchase (Quarter)" attribute="1" defaultMemberUniqueName="[Range].[Time_of_Purchase (Quarter)].[All]" allUniqueName="[Range].[Time_of_Purchase (Quarter)].[All]" dimensionUniqueName="[Range]" displayFolder="" count="0" memberValueDatatype="130" unbalanced="0"/>
    <cacheHierarchy uniqueName="[Range].[Time_of_Purchase (Month)]" caption="Time_of_Purchase (Month)" attribute="1" defaultMemberUniqueName="[Range].[Time_of_Purchase (Month)].[All]" allUniqueName="[Range].[Time_of_Purchase (Month)].[All]" dimensionUniqueName="[Range]" displayFolder="" count="0" memberValueDatatype="130" unbalanced="0"/>
    <cacheHierarchy uniqueName="[Range].[Time_of_Purchase (Month Index)]" caption="Time_of_Purchase (Month Index)" attribute="1" defaultMemberUniqueName="[Range].[Time_of_Purchase (Month Index)].[All]" allUniqueName="[Range].[Time_of_Purchase (Month Index)].[All]" dimensionUniqueName="[Range]" displayFolder="" count="0" memberValueDatatype="20" unbalanced="0" hidden="1"/>
    <cacheHierarchy uniqueName="[Measures].[__XL_Count Range]" caption="__XL_Count Range" measure="1" displayFolder="" measureGroup="Range" count="0" hidden="1"/>
    <cacheHierarchy uniqueName="[Measures].[__No measures defined]" caption="__No measures defined" measure="1" displayFolder="" count="0" hidden="1"/>
    <cacheHierarchy uniqueName="[Measures].[Sum of Purchase_Amount]" caption="Sum of Purchase_Amount" measure="1" displayFolder="" measureGroup="Range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10"/>
        </ext>
      </extLst>
    </cacheHierarchy>
    <cacheHierarchy uniqueName="[Measures].[Sum of Time_Spent_on_Product_Research(hours)]" caption="Sum of Time_Spent_on_Product_Research(hours)" measure="1" displayFolder="" measureGroup="Range" count="0" hidden="1">
      <extLst>
        <ext xmlns:x15="http://schemas.microsoft.com/office/spreadsheetml/2010/11/main" uri="{B97F6D7D-B522-45F9-BDA1-12C45D357490}">
          <x15:cacheHierarchy aggregatedColumn="15"/>
        </ext>
      </extLst>
    </cacheHierarchy>
    <cacheHierarchy uniqueName="[Measures].[Sum of Time_to_Decision]" caption="Sum of Time_to_Decision" measure="1" displayFolder="" measureGroup="Range" count="0" hidden="1">
      <extLst>
        <ext xmlns:x15="http://schemas.microsoft.com/office/spreadsheetml/2010/11/main" uri="{B97F6D7D-B522-45F9-BDA1-12C45D357490}">
          <x15:cacheHierarchy aggregatedColumn="30"/>
        </ext>
      </extLst>
    </cacheHierarchy>
    <cacheHierarchy uniqueName="[Measures].[Sum of Brand_Loyalty]" caption="Sum of Brand_Loyalty" measure="1" displayFolder="" measureGroup="Range" count="0" hidden="1"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Average of Purchase_Amount]" caption="Average of Purchase_Amount" measure="1" displayFolder="" measureGroup="Range" count="0" hidden="1">
      <extLst>
        <ext xmlns:x15="http://schemas.microsoft.com/office/spreadsheetml/2010/11/main" uri="{B97F6D7D-B522-45F9-BDA1-12C45D357490}">
          <x15:cacheHierarchy aggregatedColumn="10"/>
        </ext>
      </extLst>
    </cacheHierarchy>
    <cacheHierarchy uniqueName="[Measures].[Sum of Return_Rate]" caption="Sum of Return_Rate" measure="1" displayFolder="" measureGroup="Range" count="0" hidden="1">
      <extLst>
        <ext xmlns:x15="http://schemas.microsoft.com/office/spreadsheetml/2010/11/main" uri="{B97F6D7D-B522-45F9-BDA1-12C45D357490}">
          <x15:cacheHierarchy aggregatedColumn="18"/>
        </ext>
      </extLst>
    </cacheHierarchy>
    <cacheHierarchy uniqueName="[Measures].[Sum of Product_Rating]" caption="Sum of Product_Rating" measure="1" displayFolder="" measureGroup="Range" count="0" hidden="1">
      <extLst>
        <ext xmlns:x15="http://schemas.microsoft.com/office/spreadsheetml/2010/11/main" uri="{B97F6D7D-B522-45F9-BDA1-12C45D357490}">
          <x15:cacheHierarchy aggregatedColumn="14"/>
        </ext>
      </extLst>
    </cacheHierarchy>
    <cacheHierarchy uniqueName="[Measures].[Sum of Customer_Satisfaction]" caption="Sum of Customer_Satisfaction" measure="1" displayFolder="" measureGroup="Range" count="0" hidden="1">
      <extLst>
        <ext xmlns:x15="http://schemas.microsoft.com/office/spreadsheetml/2010/11/main" uri="{B97F6D7D-B522-45F9-BDA1-12C45D357490}">
          <x15:cacheHierarchy aggregatedColumn="19"/>
        </ext>
      </extLst>
    </cacheHierarchy>
    <cacheHierarchy uniqueName="[Measures].[Average of Customer_Satisfaction]" caption="Average of Customer_Satisfaction" measure="1" displayFolder="" measureGroup="Range" count="0" hidden="1">
      <extLst>
        <ext xmlns:x15="http://schemas.microsoft.com/office/spreadsheetml/2010/11/main" uri="{B97F6D7D-B522-45F9-BDA1-12C45D357490}">
          <x15:cacheHierarchy aggregatedColumn="19"/>
        </ext>
      </extLst>
    </cacheHierarchy>
  </cacheHierarchies>
  <kpis count="0"/>
  <dimensions count="2">
    <dimension measure="1" name="Measures" uniqueName="[Measures]" caption="Measures"/>
    <dimension name="Range" uniqueName="[Range]" caption="Range"/>
  </dimensions>
  <measureGroups count="1">
    <measureGroup name="Range" caption="Range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9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SHILPA ROY" refreshedDate="46174.034828009258" backgroundQuery="1" createdVersion="8" refreshedVersion="8" minRefreshableVersion="3" recordCount="0" supportSubquery="1" supportAdvancedDrill="1" xr:uid="{9F1A92E4-EBA3-40AA-A1E2-4FD8DF099602}">
  <cacheSource type="external" connectionId="1"/>
  <cacheFields count="2">
    <cacheField name="[Range].[Discount_Used].[Discount_Used]" caption="Discount_Used" numFmtId="0" hierarchy="26" level="1">
      <sharedItems count="2">
        <b v="0"/>
        <b v="1"/>
      </sharedItems>
    </cacheField>
    <cacheField name="[Measures].[Sum of Purchase_Amount]" caption="Sum of Purchase_Amount" numFmtId="0" hierarchy="37" level="32767"/>
  </cacheFields>
  <cacheHierarchies count="46">
    <cacheHierarchy uniqueName="[Range].[Customer_ID]" caption="Customer_ID" attribute="1" defaultMemberUniqueName="[Range].[Customer_ID].[All]" allUniqueName="[Range].[Customer_ID].[All]" dimensionUniqueName="[Range]" displayFolder="" count="0" memberValueDatatype="130" unbalanced="0"/>
    <cacheHierarchy uniqueName="[Range].[Age]" caption="Age" attribute="1" defaultMemberUniqueName="[Range].[Age].[All]" allUniqueName="[Range].[Age].[All]" dimensionUniqueName="[Range]" displayFolder="" count="0" memberValueDatatype="20" unbalanced="0"/>
    <cacheHierarchy uniqueName="[Range].[Age-Group]" caption="Age-Group" attribute="1" defaultMemberUniqueName="[Range].[Age-Group].[All]" allUniqueName="[Range].[Age-Group].[All]" dimensionUniqueName="[Range]" displayFolder="" count="0" memberValueDatatype="130" unbalanced="0"/>
    <cacheHierarchy uniqueName="[Range].[Gender]" caption="Gender" attribute="1" defaultMemberUniqueName="[Range].[Gender].[All]" allUniqueName="[Range].[Gender].[All]" dimensionUniqueName="[Range]" displayFolder="" count="0" memberValueDatatype="130" unbalanced="0"/>
    <cacheHierarchy uniqueName="[Range].[Income_Level]" caption="Income_Level" attribute="1" defaultMemberUniqueName="[Range].[Income_Level].[All]" allUniqueName="[Range].[Income_Level].[All]" dimensionUniqueName="[Range]" displayFolder="" count="0" memberValueDatatype="130" unbalanced="0"/>
    <cacheHierarchy uniqueName="[Range].[Marital_Status]" caption="Marital_Status" attribute="1" defaultMemberUniqueName="[Range].[Marital_Status].[All]" allUniqueName="[Range].[Marital_Status].[All]" dimensionUniqueName="[Range]" displayFolder="" count="0" memberValueDatatype="130" unbalanced="0"/>
    <cacheHierarchy uniqueName="[Range].[Education_Level]" caption="Education_Level" attribute="1" defaultMemberUniqueName="[Range].[Education_Level].[All]" allUniqueName="[Range].[Education_Level].[All]" dimensionUniqueName="[Range]" displayFolder="" count="0" memberValueDatatype="130" unbalanced="0"/>
    <cacheHierarchy uniqueName="[Range].[Occupation]" caption="Occupation" attribute="1" defaultMemberUniqueName="[Range].[Occupation].[All]" allUniqueName="[Range].[Occupation].[All]" dimensionUniqueName="[Range]" displayFolder="" count="0" memberValueDatatype="130" unbalanced="0"/>
    <cacheHierarchy uniqueName="[Range].[Location]" caption="Location" attribute="1" defaultMemberUniqueName="[Range].[Location].[All]" allUniqueName="[Range].[Location].[All]" dimensionUniqueName="[Range]" displayFolder="" count="0" memberValueDatatype="130" unbalanced="0"/>
    <cacheHierarchy uniqueName="[Range].[Purchase_Category]" caption="Purchase_Category" attribute="1" defaultMemberUniqueName="[Range].[Purchase_Category].[All]" allUniqueName="[Range].[Purchase_Category].[All]" dimensionUniqueName="[Range]" displayFolder="" count="0" memberValueDatatype="130" unbalanced="0"/>
    <cacheHierarchy uniqueName="[Range].[Purchase_Amount]" caption="Purchase_Amount" attribute="1" defaultMemberUniqueName="[Range].[Purchase_Amount].[All]" allUniqueName="[Range].[Purchase_Amount].[All]" dimensionUniqueName="[Range]" displayFolder="" count="0" memberValueDatatype="5" unbalanced="0"/>
    <cacheHierarchy uniqueName="[Range].[Frequency_of_Purchase]" caption="Frequency_of_Purchase" attribute="1" defaultMemberUniqueName="[Range].[Frequency_of_Purchase].[All]" allUniqueName="[Range].[Frequency_of_Purchase].[All]" dimensionUniqueName="[Range]" displayFolder="" count="0" memberValueDatatype="20" unbalanced="0"/>
    <cacheHierarchy uniqueName="[Range].[Purchase_Channel]" caption="Purchase_Channel" attribute="1" defaultMemberUniqueName="[Range].[Purchase_Channel].[All]" allUniqueName="[Range].[Purchase_Channel].[All]" dimensionUniqueName="[Range]" displayFolder="" count="0" memberValueDatatype="130" unbalanced="0"/>
    <cacheHierarchy uniqueName="[Range].[Brand_Loyalty]" caption="Brand_Loyalty" attribute="1" defaultMemberUniqueName="[Range].[Brand_Loyalty].[All]" allUniqueName="[Range].[Brand_Loyalty].[All]" dimensionUniqueName="[Range]" displayFolder="" count="0" memberValueDatatype="20" unbalanced="0"/>
    <cacheHierarchy uniqueName="[Range].[Product_Rating]" caption="Product_Rating" attribute="1" defaultMemberUniqueName="[Range].[Product_Rating].[All]" allUniqueName="[Range].[Product_Rating].[All]" dimensionUniqueName="[Range]" displayFolder="" count="0" memberValueDatatype="20" unbalanced="0"/>
    <cacheHierarchy uniqueName="[Range].[Time_Spent_on_Product_Research(hours)]" caption="Time_Spent_on_Product_Research(hours)" attribute="1" defaultMemberUniqueName="[Range].[Time_Spent_on_Product_Research(hours)].[All]" allUniqueName="[Range].[Time_Spent_on_Product_Research(hours)].[All]" dimensionUniqueName="[Range]" displayFolder="" count="0" memberValueDatatype="5" unbalanced="0"/>
    <cacheHierarchy uniqueName="[Range].[Social_Media_Influence]" caption="Social_Media_Influence" attribute="1" defaultMemberUniqueName="[Range].[Social_Media_Influence].[All]" allUniqueName="[Range].[Social_Media_Influence].[All]" dimensionUniqueName="[Range]" displayFolder="" count="0" memberValueDatatype="130" unbalanced="0"/>
    <cacheHierarchy uniqueName="[Range].[Discount_Sensitivity]" caption="Discount_Sensitivity" attribute="1" defaultMemberUniqueName="[Range].[Discount_Sensitivity].[All]" allUniqueName="[Range].[Discount_Sensitivity].[All]" dimensionUniqueName="[Range]" displayFolder="" count="0" memberValueDatatype="130" unbalanced="0"/>
    <cacheHierarchy uniqueName="[Range].[Return_Rate]" caption="Return_Rate" attribute="1" defaultMemberUniqueName="[Range].[Return_Rate].[All]" allUniqueName="[Range].[Return_Rate].[All]" dimensionUniqueName="[Range]" displayFolder="" count="0" memberValueDatatype="20" unbalanced="0"/>
    <cacheHierarchy uniqueName="[Range].[Customer_Satisfaction]" caption="Customer_Satisfaction" attribute="1" defaultMemberUniqueName="[Range].[Customer_Satisfaction].[All]" allUniqueName="[Range].[Customer_Satisfaction].[All]" dimensionUniqueName="[Range]" displayFolder="" count="0" memberValueDatatype="20" unbalanced="0"/>
    <cacheHierarchy uniqueName="[Range].[Engagement_with_Ads]" caption="Engagement_with_Ads" attribute="1" defaultMemberUniqueName="[Range].[Engagement_with_Ads].[All]" allUniqueName="[Range].[Engagement_with_Ads].[All]" dimensionUniqueName="[Range]" displayFolder="" count="0" memberValueDatatype="130" unbalanced="0"/>
    <cacheHierarchy uniqueName="[Range].[Device_Used_for_Shopping]" caption="Device_Used_for_Shopping" attribute="1" defaultMemberUniqueName="[Range].[Device_Used_for_Shopping].[All]" allUniqueName="[Range].[Device_Used_for_Shopping].[All]" dimensionUniqueName="[Range]" displayFolder="" count="0" memberValueDatatype="130" unbalanced="0"/>
    <cacheHierarchy uniqueName="[Range].[Payment_Method]" caption="Payment_Method" attribute="1" defaultMemberUniqueName="[Range].[Payment_Method].[All]" allUniqueName="[Range].[Payment_Method].[All]" dimensionUniqueName="[Range]" displayFolder="" count="0" memberValueDatatype="130" unbalanced="0"/>
    <cacheHierarchy uniqueName="[Range].[Time_of_Purchase]" caption="Time_of_Purchase" attribute="1" time="1" defaultMemberUniqueName="[Range].[Time_of_Purchase].[All]" allUniqueName="[Range].[Time_of_Purchase].[All]" dimensionUniqueName="[Range]" displayFolder="" count="0" memberValueDatatype="7" unbalanced="0"/>
    <cacheHierarchy uniqueName="[Range].[Month]" caption="Month" attribute="1" defaultMemberUniqueName="[Range].[Month].[All]" allUniqueName="[Range].[Month].[All]" dimensionUniqueName="[Range]" displayFolder="" count="0" memberValueDatatype="130" unbalanced="0"/>
    <cacheHierarchy uniqueName="[Range].[Year]" caption="Year" attribute="1" defaultMemberUniqueName="[Range].[Year].[All]" allUniqueName="[Range].[Year].[All]" dimensionUniqueName="[Range]" displayFolder="" count="0" memberValueDatatype="130" unbalanced="0"/>
    <cacheHierarchy uniqueName="[Range].[Discount_Used]" caption="Discount_Used" attribute="1" defaultMemberUniqueName="[Range].[Discount_Used].[All]" allUniqueName="[Range].[Discount_Used].[All]" dimensionUniqueName="[Range]" displayFolder="" count="2" memberValueDatatype="11" unbalanced="0">
      <fieldsUsage count="2">
        <fieldUsage x="-1"/>
        <fieldUsage x="0"/>
      </fieldsUsage>
    </cacheHierarchy>
    <cacheHierarchy uniqueName="[Range].[Customer_Loyalty_Program_Member]" caption="Customer_Loyalty_Program_Member" attribute="1" defaultMemberUniqueName="[Range].[Customer_Loyalty_Program_Member].[All]" allUniqueName="[Range].[Customer_Loyalty_Program_Member].[All]" dimensionUniqueName="[Range]" displayFolder="" count="0" memberValueDatatype="11" unbalanced="0"/>
    <cacheHierarchy uniqueName="[Range].[Purchase_Intent]" caption="Purchase_Intent" attribute="1" defaultMemberUniqueName="[Range].[Purchase_Intent].[All]" allUniqueName="[Range].[Purchase_Intent].[All]" dimensionUniqueName="[Range]" displayFolder="" count="0" memberValueDatatype="130" unbalanced="0"/>
    <cacheHierarchy uniqueName="[Range].[Shipping_Preference]" caption="Shipping_Preference" attribute="1" defaultMemberUniqueName="[Range].[Shipping_Preference].[All]" allUniqueName="[Range].[Shipping_Preference].[All]" dimensionUniqueName="[Range]" displayFolder="" count="0" memberValueDatatype="130" unbalanced="0"/>
    <cacheHierarchy uniqueName="[Range].[Time_to_Decision]" caption="Time_to_Decision" attribute="1" defaultMemberUniqueName="[Range].[Time_to_Decision].[All]" allUniqueName="[Range].[Time_to_Decision].[All]" dimensionUniqueName="[Range]" displayFolder="" count="0" memberValueDatatype="20" unbalanced="0"/>
    <cacheHierarchy uniqueName="[Range].[Time_of_Purchase (Year)]" caption="Time_of_Purchase (Year)" attribute="1" defaultMemberUniqueName="[Range].[Time_of_Purchase (Year)].[All]" allUniqueName="[Range].[Time_of_Purchase (Year)].[All]" dimensionUniqueName="[Range]" displayFolder="" count="0" memberValueDatatype="130" unbalanced="0"/>
    <cacheHierarchy uniqueName="[Range].[Time_of_Purchase (Quarter)]" caption="Time_of_Purchase (Quarter)" attribute="1" defaultMemberUniqueName="[Range].[Time_of_Purchase (Quarter)].[All]" allUniqueName="[Range].[Time_of_Purchase (Quarter)].[All]" dimensionUniqueName="[Range]" displayFolder="" count="0" memberValueDatatype="130" unbalanced="0"/>
    <cacheHierarchy uniqueName="[Range].[Time_of_Purchase (Month)]" caption="Time_of_Purchase (Month)" attribute="1" defaultMemberUniqueName="[Range].[Time_of_Purchase (Month)].[All]" allUniqueName="[Range].[Time_of_Purchase (Month)].[All]" dimensionUniqueName="[Range]" displayFolder="" count="0" memberValueDatatype="130" unbalanced="0"/>
    <cacheHierarchy uniqueName="[Range].[Time_of_Purchase (Month Index)]" caption="Time_of_Purchase (Month Index)" attribute="1" defaultMemberUniqueName="[Range].[Time_of_Purchase (Month Index)].[All]" allUniqueName="[Range].[Time_of_Purchase (Month Index)].[All]" dimensionUniqueName="[Range]" displayFolder="" count="0" memberValueDatatype="20" unbalanced="0" hidden="1"/>
    <cacheHierarchy uniqueName="[Measures].[__XL_Count Range]" caption="__XL_Count Range" measure="1" displayFolder="" measureGroup="Range" count="0" hidden="1"/>
    <cacheHierarchy uniqueName="[Measures].[__No measures defined]" caption="__No measures defined" measure="1" displayFolder="" count="0" hidden="1"/>
    <cacheHierarchy uniqueName="[Measures].[Sum of Purchase_Amount]" caption="Sum of Purchase_Amount" measure="1" displayFolder="" measureGroup="Range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10"/>
        </ext>
      </extLst>
    </cacheHierarchy>
    <cacheHierarchy uniqueName="[Measures].[Sum of Time_Spent_on_Product_Research(hours)]" caption="Sum of Time_Spent_on_Product_Research(hours)" measure="1" displayFolder="" measureGroup="Range" count="0" hidden="1">
      <extLst>
        <ext xmlns:x15="http://schemas.microsoft.com/office/spreadsheetml/2010/11/main" uri="{B97F6D7D-B522-45F9-BDA1-12C45D357490}">
          <x15:cacheHierarchy aggregatedColumn="15"/>
        </ext>
      </extLst>
    </cacheHierarchy>
    <cacheHierarchy uniqueName="[Measures].[Sum of Time_to_Decision]" caption="Sum of Time_to_Decision" measure="1" displayFolder="" measureGroup="Range" count="0" hidden="1">
      <extLst>
        <ext xmlns:x15="http://schemas.microsoft.com/office/spreadsheetml/2010/11/main" uri="{B97F6D7D-B522-45F9-BDA1-12C45D357490}">
          <x15:cacheHierarchy aggregatedColumn="30"/>
        </ext>
      </extLst>
    </cacheHierarchy>
    <cacheHierarchy uniqueName="[Measures].[Sum of Brand_Loyalty]" caption="Sum of Brand_Loyalty" measure="1" displayFolder="" measureGroup="Range" count="0" hidden="1"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Average of Purchase_Amount]" caption="Average of Purchase_Amount" measure="1" displayFolder="" measureGroup="Range" count="0" hidden="1">
      <extLst>
        <ext xmlns:x15="http://schemas.microsoft.com/office/spreadsheetml/2010/11/main" uri="{B97F6D7D-B522-45F9-BDA1-12C45D357490}">
          <x15:cacheHierarchy aggregatedColumn="10"/>
        </ext>
      </extLst>
    </cacheHierarchy>
    <cacheHierarchy uniqueName="[Measures].[Sum of Return_Rate]" caption="Sum of Return_Rate" measure="1" displayFolder="" measureGroup="Range" count="0" hidden="1">
      <extLst>
        <ext xmlns:x15="http://schemas.microsoft.com/office/spreadsheetml/2010/11/main" uri="{B97F6D7D-B522-45F9-BDA1-12C45D357490}">
          <x15:cacheHierarchy aggregatedColumn="18"/>
        </ext>
      </extLst>
    </cacheHierarchy>
    <cacheHierarchy uniqueName="[Measures].[Sum of Product_Rating]" caption="Sum of Product_Rating" measure="1" displayFolder="" measureGroup="Range" count="0" hidden="1">
      <extLst>
        <ext xmlns:x15="http://schemas.microsoft.com/office/spreadsheetml/2010/11/main" uri="{B97F6D7D-B522-45F9-BDA1-12C45D357490}">
          <x15:cacheHierarchy aggregatedColumn="14"/>
        </ext>
      </extLst>
    </cacheHierarchy>
    <cacheHierarchy uniqueName="[Measures].[Sum of Customer_Satisfaction]" caption="Sum of Customer_Satisfaction" measure="1" displayFolder="" measureGroup="Range" count="0" hidden="1">
      <extLst>
        <ext xmlns:x15="http://schemas.microsoft.com/office/spreadsheetml/2010/11/main" uri="{B97F6D7D-B522-45F9-BDA1-12C45D357490}">
          <x15:cacheHierarchy aggregatedColumn="19"/>
        </ext>
      </extLst>
    </cacheHierarchy>
    <cacheHierarchy uniqueName="[Measures].[Average of Customer_Satisfaction]" caption="Average of Customer_Satisfaction" measure="1" displayFolder="" measureGroup="Range" count="0" hidden="1">
      <extLst>
        <ext xmlns:x15="http://schemas.microsoft.com/office/spreadsheetml/2010/11/main" uri="{B97F6D7D-B522-45F9-BDA1-12C45D357490}">
          <x15:cacheHierarchy aggregatedColumn="19"/>
        </ext>
      </extLst>
    </cacheHierarchy>
  </cacheHierarchies>
  <kpis count="0"/>
  <dimensions count="2">
    <dimension measure="1" name="Measures" uniqueName="[Measures]" caption="Measures"/>
    <dimension name="Range" uniqueName="[Range]" caption="Range"/>
  </dimensions>
  <measureGroups count="1">
    <measureGroup name="Range" caption="Range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10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SHILPA ROY" refreshedDate="46174.036684259256" backgroundQuery="1" createdVersion="8" refreshedVersion="8" minRefreshableVersion="3" recordCount="0" supportSubquery="1" supportAdvancedDrill="1" xr:uid="{7EBB86D8-90FD-440E-B96F-89B70F7F718D}">
  <cacheSource type="external" connectionId="1"/>
  <cacheFields count="2">
    <cacheField name="[Range].[Product_Rating].[Product_Rating]" caption="Product_Rating" numFmtId="0" hierarchy="14" level="1">
      <sharedItems containsSemiMixedTypes="0" containsString="0" containsNumber="1" containsInteger="1" minValue="1" maxValue="5" count="5">
        <n v="1"/>
        <n v="2"/>
        <n v="3"/>
        <n v="4"/>
        <n v="5"/>
      </sharedItems>
      <extLst>
        <ext xmlns:x15="http://schemas.microsoft.com/office/spreadsheetml/2010/11/main" uri="{4F2E5C28-24EA-4eb8-9CBF-B6C8F9C3D259}">
          <x15:cachedUniqueNames>
            <x15:cachedUniqueName index="0" name="[Range].[Product_Rating].&amp;[1]"/>
            <x15:cachedUniqueName index="1" name="[Range].[Product_Rating].&amp;[2]"/>
            <x15:cachedUniqueName index="2" name="[Range].[Product_Rating].&amp;[3]"/>
            <x15:cachedUniqueName index="3" name="[Range].[Product_Rating].&amp;[4]"/>
            <x15:cachedUniqueName index="4" name="[Range].[Product_Rating].&amp;[5]"/>
          </x15:cachedUniqueNames>
        </ext>
      </extLst>
    </cacheField>
    <cacheField name="[Measures].[Sum of Purchase_Amount]" caption="Sum of Purchase_Amount" numFmtId="0" hierarchy="37" level="32767"/>
  </cacheFields>
  <cacheHierarchies count="46">
    <cacheHierarchy uniqueName="[Range].[Customer_ID]" caption="Customer_ID" attribute="1" defaultMemberUniqueName="[Range].[Customer_ID].[All]" allUniqueName="[Range].[Customer_ID].[All]" dimensionUniqueName="[Range]" displayFolder="" count="0" memberValueDatatype="130" unbalanced="0"/>
    <cacheHierarchy uniqueName="[Range].[Age]" caption="Age" attribute="1" defaultMemberUniqueName="[Range].[Age].[All]" allUniqueName="[Range].[Age].[All]" dimensionUniqueName="[Range]" displayFolder="" count="0" memberValueDatatype="20" unbalanced="0"/>
    <cacheHierarchy uniqueName="[Range].[Age-Group]" caption="Age-Group" attribute="1" defaultMemberUniqueName="[Range].[Age-Group].[All]" allUniqueName="[Range].[Age-Group].[All]" dimensionUniqueName="[Range]" displayFolder="" count="0" memberValueDatatype="130" unbalanced="0"/>
    <cacheHierarchy uniqueName="[Range].[Gender]" caption="Gender" attribute="1" defaultMemberUniqueName="[Range].[Gender].[All]" allUniqueName="[Range].[Gender].[All]" dimensionUniqueName="[Range]" displayFolder="" count="0" memberValueDatatype="130" unbalanced="0"/>
    <cacheHierarchy uniqueName="[Range].[Income_Level]" caption="Income_Level" attribute="1" defaultMemberUniqueName="[Range].[Income_Level].[All]" allUniqueName="[Range].[Income_Level].[All]" dimensionUniqueName="[Range]" displayFolder="" count="0" memberValueDatatype="130" unbalanced="0"/>
    <cacheHierarchy uniqueName="[Range].[Marital_Status]" caption="Marital_Status" attribute="1" defaultMemberUniqueName="[Range].[Marital_Status].[All]" allUniqueName="[Range].[Marital_Status].[All]" dimensionUniqueName="[Range]" displayFolder="" count="0" memberValueDatatype="130" unbalanced="0"/>
    <cacheHierarchy uniqueName="[Range].[Education_Level]" caption="Education_Level" attribute="1" defaultMemberUniqueName="[Range].[Education_Level].[All]" allUniqueName="[Range].[Education_Level].[All]" dimensionUniqueName="[Range]" displayFolder="" count="0" memberValueDatatype="130" unbalanced="0"/>
    <cacheHierarchy uniqueName="[Range].[Occupation]" caption="Occupation" attribute="1" defaultMemberUniqueName="[Range].[Occupation].[All]" allUniqueName="[Range].[Occupation].[All]" dimensionUniqueName="[Range]" displayFolder="" count="0" memberValueDatatype="130" unbalanced="0"/>
    <cacheHierarchy uniqueName="[Range].[Location]" caption="Location" attribute="1" defaultMemberUniqueName="[Range].[Location].[All]" allUniqueName="[Range].[Location].[All]" dimensionUniqueName="[Range]" displayFolder="" count="0" memberValueDatatype="130" unbalanced="0"/>
    <cacheHierarchy uniqueName="[Range].[Purchase_Category]" caption="Purchase_Category" attribute="1" defaultMemberUniqueName="[Range].[Purchase_Category].[All]" allUniqueName="[Range].[Purchase_Category].[All]" dimensionUniqueName="[Range]" displayFolder="" count="0" memberValueDatatype="130" unbalanced="0"/>
    <cacheHierarchy uniqueName="[Range].[Purchase_Amount]" caption="Purchase_Amount" attribute="1" defaultMemberUniqueName="[Range].[Purchase_Amount].[All]" allUniqueName="[Range].[Purchase_Amount].[All]" dimensionUniqueName="[Range]" displayFolder="" count="0" memberValueDatatype="5" unbalanced="0"/>
    <cacheHierarchy uniqueName="[Range].[Frequency_of_Purchase]" caption="Frequency_of_Purchase" attribute="1" defaultMemberUniqueName="[Range].[Frequency_of_Purchase].[All]" allUniqueName="[Range].[Frequency_of_Purchase].[All]" dimensionUniqueName="[Range]" displayFolder="" count="0" memberValueDatatype="20" unbalanced="0"/>
    <cacheHierarchy uniqueName="[Range].[Purchase_Channel]" caption="Purchase_Channel" attribute="1" defaultMemberUniqueName="[Range].[Purchase_Channel].[All]" allUniqueName="[Range].[Purchase_Channel].[All]" dimensionUniqueName="[Range]" displayFolder="" count="0" memberValueDatatype="130" unbalanced="0"/>
    <cacheHierarchy uniqueName="[Range].[Brand_Loyalty]" caption="Brand_Loyalty" attribute="1" defaultMemberUniqueName="[Range].[Brand_Loyalty].[All]" allUniqueName="[Range].[Brand_Loyalty].[All]" dimensionUniqueName="[Range]" displayFolder="" count="0" memberValueDatatype="20" unbalanced="0"/>
    <cacheHierarchy uniqueName="[Range].[Product_Rating]" caption="Product_Rating" attribute="1" defaultMemberUniqueName="[Range].[Product_Rating].[All]" allUniqueName="[Range].[Product_Rating].[All]" dimensionUniqueName="[Range]" displayFolder="" count="2" memberValueDatatype="20" unbalanced="0">
      <fieldsUsage count="2">
        <fieldUsage x="-1"/>
        <fieldUsage x="0"/>
      </fieldsUsage>
    </cacheHierarchy>
    <cacheHierarchy uniqueName="[Range].[Time_Spent_on_Product_Research(hours)]" caption="Time_Spent_on_Product_Research(hours)" attribute="1" defaultMemberUniqueName="[Range].[Time_Spent_on_Product_Research(hours)].[All]" allUniqueName="[Range].[Time_Spent_on_Product_Research(hours)].[All]" dimensionUniqueName="[Range]" displayFolder="" count="0" memberValueDatatype="5" unbalanced="0"/>
    <cacheHierarchy uniqueName="[Range].[Social_Media_Influence]" caption="Social_Media_Influence" attribute="1" defaultMemberUniqueName="[Range].[Social_Media_Influence].[All]" allUniqueName="[Range].[Social_Media_Influence].[All]" dimensionUniqueName="[Range]" displayFolder="" count="0" memberValueDatatype="130" unbalanced="0"/>
    <cacheHierarchy uniqueName="[Range].[Discount_Sensitivity]" caption="Discount_Sensitivity" attribute="1" defaultMemberUniqueName="[Range].[Discount_Sensitivity].[All]" allUniqueName="[Range].[Discount_Sensitivity].[All]" dimensionUniqueName="[Range]" displayFolder="" count="0" memberValueDatatype="130" unbalanced="0"/>
    <cacheHierarchy uniqueName="[Range].[Return_Rate]" caption="Return_Rate" attribute="1" defaultMemberUniqueName="[Range].[Return_Rate].[All]" allUniqueName="[Range].[Return_Rate].[All]" dimensionUniqueName="[Range]" displayFolder="" count="0" memberValueDatatype="20" unbalanced="0"/>
    <cacheHierarchy uniqueName="[Range].[Customer_Satisfaction]" caption="Customer_Satisfaction" attribute="1" defaultMemberUniqueName="[Range].[Customer_Satisfaction].[All]" allUniqueName="[Range].[Customer_Satisfaction].[All]" dimensionUniqueName="[Range]" displayFolder="" count="0" memberValueDatatype="20" unbalanced="0"/>
    <cacheHierarchy uniqueName="[Range].[Engagement_with_Ads]" caption="Engagement_with_Ads" attribute="1" defaultMemberUniqueName="[Range].[Engagement_with_Ads].[All]" allUniqueName="[Range].[Engagement_with_Ads].[All]" dimensionUniqueName="[Range]" displayFolder="" count="0" memberValueDatatype="130" unbalanced="0"/>
    <cacheHierarchy uniqueName="[Range].[Device_Used_for_Shopping]" caption="Device_Used_for_Shopping" attribute="1" defaultMemberUniqueName="[Range].[Device_Used_for_Shopping].[All]" allUniqueName="[Range].[Device_Used_for_Shopping].[All]" dimensionUniqueName="[Range]" displayFolder="" count="0" memberValueDatatype="130" unbalanced="0"/>
    <cacheHierarchy uniqueName="[Range].[Payment_Method]" caption="Payment_Method" attribute="1" defaultMemberUniqueName="[Range].[Payment_Method].[All]" allUniqueName="[Range].[Payment_Method].[All]" dimensionUniqueName="[Range]" displayFolder="" count="0" memberValueDatatype="130" unbalanced="0"/>
    <cacheHierarchy uniqueName="[Range].[Time_of_Purchase]" caption="Time_of_Purchase" attribute="1" time="1" defaultMemberUniqueName="[Range].[Time_of_Purchase].[All]" allUniqueName="[Range].[Time_of_Purchase].[All]" dimensionUniqueName="[Range]" displayFolder="" count="0" memberValueDatatype="7" unbalanced="0"/>
    <cacheHierarchy uniqueName="[Range].[Month]" caption="Month" attribute="1" defaultMemberUniqueName="[Range].[Month].[All]" allUniqueName="[Range].[Month].[All]" dimensionUniqueName="[Range]" displayFolder="" count="0" memberValueDatatype="130" unbalanced="0"/>
    <cacheHierarchy uniqueName="[Range].[Year]" caption="Year" attribute="1" defaultMemberUniqueName="[Range].[Year].[All]" allUniqueName="[Range].[Year].[All]" dimensionUniqueName="[Range]" displayFolder="" count="0" memberValueDatatype="130" unbalanced="0"/>
    <cacheHierarchy uniqueName="[Range].[Discount_Used]" caption="Discount_Used" attribute="1" defaultMemberUniqueName="[Range].[Discount_Used].[All]" allUniqueName="[Range].[Discount_Used].[All]" dimensionUniqueName="[Range]" displayFolder="" count="0" memberValueDatatype="11" unbalanced="0"/>
    <cacheHierarchy uniqueName="[Range].[Customer_Loyalty_Program_Member]" caption="Customer_Loyalty_Program_Member" attribute="1" defaultMemberUniqueName="[Range].[Customer_Loyalty_Program_Member].[All]" allUniqueName="[Range].[Customer_Loyalty_Program_Member].[All]" dimensionUniqueName="[Range]" displayFolder="" count="0" memberValueDatatype="11" unbalanced="0"/>
    <cacheHierarchy uniqueName="[Range].[Purchase_Intent]" caption="Purchase_Intent" attribute="1" defaultMemberUniqueName="[Range].[Purchase_Intent].[All]" allUniqueName="[Range].[Purchase_Intent].[All]" dimensionUniqueName="[Range]" displayFolder="" count="0" memberValueDatatype="130" unbalanced="0"/>
    <cacheHierarchy uniqueName="[Range].[Shipping_Preference]" caption="Shipping_Preference" attribute="1" defaultMemberUniqueName="[Range].[Shipping_Preference].[All]" allUniqueName="[Range].[Shipping_Preference].[All]" dimensionUniqueName="[Range]" displayFolder="" count="0" memberValueDatatype="130" unbalanced="0"/>
    <cacheHierarchy uniqueName="[Range].[Time_to_Decision]" caption="Time_to_Decision" attribute="1" defaultMemberUniqueName="[Range].[Time_to_Decision].[All]" allUniqueName="[Range].[Time_to_Decision].[All]" dimensionUniqueName="[Range]" displayFolder="" count="0" memberValueDatatype="20" unbalanced="0"/>
    <cacheHierarchy uniqueName="[Range].[Time_of_Purchase (Year)]" caption="Time_of_Purchase (Year)" attribute="1" defaultMemberUniqueName="[Range].[Time_of_Purchase (Year)].[All]" allUniqueName="[Range].[Time_of_Purchase (Year)].[All]" dimensionUniqueName="[Range]" displayFolder="" count="0" memberValueDatatype="130" unbalanced="0"/>
    <cacheHierarchy uniqueName="[Range].[Time_of_Purchase (Quarter)]" caption="Time_of_Purchase (Quarter)" attribute="1" defaultMemberUniqueName="[Range].[Time_of_Purchase (Quarter)].[All]" allUniqueName="[Range].[Time_of_Purchase (Quarter)].[All]" dimensionUniqueName="[Range]" displayFolder="" count="0" memberValueDatatype="130" unbalanced="0"/>
    <cacheHierarchy uniqueName="[Range].[Time_of_Purchase (Month)]" caption="Time_of_Purchase (Month)" attribute="1" defaultMemberUniqueName="[Range].[Time_of_Purchase (Month)].[All]" allUniqueName="[Range].[Time_of_Purchase (Month)].[All]" dimensionUniqueName="[Range]" displayFolder="" count="0" memberValueDatatype="130" unbalanced="0"/>
    <cacheHierarchy uniqueName="[Range].[Time_of_Purchase (Month Index)]" caption="Time_of_Purchase (Month Index)" attribute="1" defaultMemberUniqueName="[Range].[Time_of_Purchase (Month Index)].[All]" allUniqueName="[Range].[Time_of_Purchase (Month Index)].[All]" dimensionUniqueName="[Range]" displayFolder="" count="0" memberValueDatatype="20" unbalanced="0" hidden="1"/>
    <cacheHierarchy uniqueName="[Measures].[__XL_Count Range]" caption="__XL_Count Range" measure="1" displayFolder="" measureGroup="Range" count="0" hidden="1"/>
    <cacheHierarchy uniqueName="[Measures].[__No measures defined]" caption="__No measures defined" measure="1" displayFolder="" count="0" hidden="1"/>
    <cacheHierarchy uniqueName="[Measures].[Sum of Purchase_Amount]" caption="Sum of Purchase_Amount" measure="1" displayFolder="" measureGroup="Range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10"/>
        </ext>
      </extLst>
    </cacheHierarchy>
    <cacheHierarchy uniqueName="[Measures].[Sum of Time_Spent_on_Product_Research(hours)]" caption="Sum of Time_Spent_on_Product_Research(hours)" measure="1" displayFolder="" measureGroup="Range" count="0" hidden="1">
      <extLst>
        <ext xmlns:x15="http://schemas.microsoft.com/office/spreadsheetml/2010/11/main" uri="{B97F6D7D-B522-45F9-BDA1-12C45D357490}">
          <x15:cacheHierarchy aggregatedColumn="15"/>
        </ext>
      </extLst>
    </cacheHierarchy>
    <cacheHierarchy uniqueName="[Measures].[Sum of Time_to_Decision]" caption="Sum of Time_to_Decision" measure="1" displayFolder="" measureGroup="Range" count="0" hidden="1">
      <extLst>
        <ext xmlns:x15="http://schemas.microsoft.com/office/spreadsheetml/2010/11/main" uri="{B97F6D7D-B522-45F9-BDA1-12C45D357490}">
          <x15:cacheHierarchy aggregatedColumn="30"/>
        </ext>
      </extLst>
    </cacheHierarchy>
    <cacheHierarchy uniqueName="[Measures].[Sum of Brand_Loyalty]" caption="Sum of Brand_Loyalty" measure="1" displayFolder="" measureGroup="Range" count="0" hidden="1"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Average of Purchase_Amount]" caption="Average of Purchase_Amount" measure="1" displayFolder="" measureGroup="Range" count="0" hidden="1">
      <extLst>
        <ext xmlns:x15="http://schemas.microsoft.com/office/spreadsheetml/2010/11/main" uri="{B97F6D7D-B522-45F9-BDA1-12C45D357490}">
          <x15:cacheHierarchy aggregatedColumn="10"/>
        </ext>
      </extLst>
    </cacheHierarchy>
    <cacheHierarchy uniqueName="[Measures].[Sum of Return_Rate]" caption="Sum of Return_Rate" measure="1" displayFolder="" measureGroup="Range" count="0" hidden="1">
      <extLst>
        <ext xmlns:x15="http://schemas.microsoft.com/office/spreadsheetml/2010/11/main" uri="{B97F6D7D-B522-45F9-BDA1-12C45D357490}">
          <x15:cacheHierarchy aggregatedColumn="18"/>
        </ext>
      </extLst>
    </cacheHierarchy>
    <cacheHierarchy uniqueName="[Measures].[Sum of Product_Rating]" caption="Sum of Product_Rating" measure="1" displayFolder="" measureGroup="Range" count="0" hidden="1">
      <extLst>
        <ext xmlns:x15="http://schemas.microsoft.com/office/spreadsheetml/2010/11/main" uri="{B97F6D7D-B522-45F9-BDA1-12C45D357490}">
          <x15:cacheHierarchy aggregatedColumn="14"/>
        </ext>
      </extLst>
    </cacheHierarchy>
    <cacheHierarchy uniqueName="[Measures].[Sum of Customer_Satisfaction]" caption="Sum of Customer_Satisfaction" measure="1" displayFolder="" measureGroup="Range" count="0" hidden="1">
      <extLst>
        <ext xmlns:x15="http://schemas.microsoft.com/office/spreadsheetml/2010/11/main" uri="{B97F6D7D-B522-45F9-BDA1-12C45D357490}">
          <x15:cacheHierarchy aggregatedColumn="19"/>
        </ext>
      </extLst>
    </cacheHierarchy>
    <cacheHierarchy uniqueName="[Measures].[Average of Customer_Satisfaction]" caption="Average of Customer_Satisfaction" measure="1" displayFolder="" measureGroup="Range" count="0" hidden="1">
      <extLst>
        <ext xmlns:x15="http://schemas.microsoft.com/office/spreadsheetml/2010/11/main" uri="{B97F6D7D-B522-45F9-BDA1-12C45D357490}">
          <x15:cacheHierarchy aggregatedColumn="19"/>
        </ext>
      </extLst>
    </cacheHierarchy>
  </cacheHierarchies>
  <kpis count="0"/>
  <dimensions count="2">
    <dimension measure="1" name="Measures" uniqueName="[Measures]" caption="Measures"/>
    <dimension name="Range" uniqueName="[Range]" caption="Range"/>
  </dimensions>
  <measureGroups count="1">
    <measureGroup name="Range" caption="Range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1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SHILPA ROY" refreshedDate="46174.026179629633" backgroundQuery="1" createdVersion="8" refreshedVersion="8" minRefreshableVersion="3" recordCount="0" supportSubquery="1" supportAdvancedDrill="1" xr:uid="{BE84D461-8799-4631-A53B-C0D55B111685}">
  <cacheSource type="external" connectionId="1"/>
  <cacheFields count="2">
    <cacheField name="[Range].[Purchase_Category].[Purchase_Category]" caption="Purchase_Category" numFmtId="0" hierarchy="9" level="1">
      <sharedItems count="5">
        <s v="Electronics"/>
        <s v="Jewelry &amp; Accessories"/>
        <s v="Software &amp; Apps"/>
        <s v="Sports &amp; Outdoors"/>
        <s v="Toys &amp; Games"/>
      </sharedItems>
    </cacheField>
    <cacheField name="[Measures].[Sum of Purchase_Amount]" caption="Sum of Purchase_Amount" numFmtId="0" hierarchy="37" level="32767"/>
  </cacheFields>
  <cacheHierarchies count="46">
    <cacheHierarchy uniqueName="[Range].[Customer_ID]" caption="Customer_ID" attribute="1" defaultMemberUniqueName="[Range].[Customer_ID].[All]" allUniqueName="[Range].[Customer_ID].[All]" dimensionUniqueName="[Range]" displayFolder="" count="0" memberValueDatatype="130" unbalanced="0"/>
    <cacheHierarchy uniqueName="[Range].[Age]" caption="Age" attribute="1" defaultMemberUniqueName="[Range].[Age].[All]" allUniqueName="[Range].[Age].[All]" dimensionUniqueName="[Range]" displayFolder="" count="0" memberValueDatatype="20" unbalanced="0"/>
    <cacheHierarchy uniqueName="[Range].[Age-Group]" caption="Age-Group" attribute="1" defaultMemberUniqueName="[Range].[Age-Group].[All]" allUniqueName="[Range].[Age-Group].[All]" dimensionUniqueName="[Range]" displayFolder="" count="0" memberValueDatatype="130" unbalanced="0"/>
    <cacheHierarchy uniqueName="[Range].[Gender]" caption="Gender" attribute="1" defaultMemberUniqueName="[Range].[Gender].[All]" allUniqueName="[Range].[Gender].[All]" dimensionUniqueName="[Range]" displayFolder="" count="0" memberValueDatatype="130" unbalanced="0"/>
    <cacheHierarchy uniqueName="[Range].[Income_Level]" caption="Income_Level" attribute="1" defaultMemberUniqueName="[Range].[Income_Level].[All]" allUniqueName="[Range].[Income_Level].[All]" dimensionUniqueName="[Range]" displayFolder="" count="0" memberValueDatatype="130" unbalanced="0"/>
    <cacheHierarchy uniqueName="[Range].[Marital_Status]" caption="Marital_Status" attribute="1" defaultMemberUniqueName="[Range].[Marital_Status].[All]" allUniqueName="[Range].[Marital_Status].[All]" dimensionUniqueName="[Range]" displayFolder="" count="0" memberValueDatatype="130" unbalanced="0"/>
    <cacheHierarchy uniqueName="[Range].[Education_Level]" caption="Education_Level" attribute="1" defaultMemberUniqueName="[Range].[Education_Level].[All]" allUniqueName="[Range].[Education_Level].[All]" dimensionUniqueName="[Range]" displayFolder="" count="0" memberValueDatatype="130" unbalanced="0"/>
    <cacheHierarchy uniqueName="[Range].[Occupation]" caption="Occupation" attribute="1" defaultMemberUniqueName="[Range].[Occupation].[All]" allUniqueName="[Range].[Occupation].[All]" dimensionUniqueName="[Range]" displayFolder="" count="0" memberValueDatatype="130" unbalanced="0"/>
    <cacheHierarchy uniqueName="[Range].[Location]" caption="Location" attribute="1" defaultMemberUniqueName="[Range].[Location].[All]" allUniqueName="[Range].[Location].[All]" dimensionUniqueName="[Range]" displayFolder="" count="0" memberValueDatatype="130" unbalanced="0"/>
    <cacheHierarchy uniqueName="[Range].[Purchase_Category]" caption="Purchase_Category" attribute="1" defaultMemberUniqueName="[Range].[Purchase_Category].[All]" allUniqueName="[Range].[Purchase_Category].[All]" dimensionUniqueName="[Range]" displayFolder="" count="2" memberValueDatatype="130" unbalanced="0">
      <fieldsUsage count="2">
        <fieldUsage x="-1"/>
        <fieldUsage x="0"/>
      </fieldsUsage>
    </cacheHierarchy>
    <cacheHierarchy uniqueName="[Range].[Purchase_Amount]" caption="Purchase_Amount" attribute="1" defaultMemberUniqueName="[Range].[Purchase_Amount].[All]" allUniqueName="[Range].[Purchase_Amount].[All]" dimensionUniqueName="[Range]" displayFolder="" count="0" memberValueDatatype="5" unbalanced="0"/>
    <cacheHierarchy uniqueName="[Range].[Frequency_of_Purchase]" caption="Frequency_of_Purchase" attribute="1" defaultMemberUniqueName="[Range].[Frequency_of_Purchase].[All]" allUniqueName="[Range].[Frequency_of_Purchase].[All]" dimensionUniqueName="[Range]" displayFolder="" count="0" memberValueDatatype="20" unbalanced="0"/>
    <cacheHierarchy uniqueName="[Range].[Purchase_Channel]" caption="Purchase_Channel" attribute="1" defaultMemberUniqueName="[Range].[Purchase_Channel].[All]" allUniqueName="[Range].[Purchase_Channel].[All]" dimensionUniqueName="[Range]" displayFolder="" count="0" memberValueDatatype="130" unbalanced="0"/>
    <cacheHierarchy uniqueName="[Range].[Brand_Loyalty]" caption="Brand_Loyalty" attribute="1" defaultMemberUniqueName="[Range].[Brand_Loyalty].[All]" allUniqueName="[Range].[Brand_Loyalty].[All]" dimensionUniqueName="[Range]" displayFolder="" count="0" memberValueDatatype="20" unbalanced="0"/>
    <cacheHierarchy uniqueName="[Range].[Product_Rating]" caption="Product_Rating" attribute="1" defaultMemberUniqueName="[Range].[Product_Rating].[All]" allUniqueName="[Range].[Product_Rating].[All]" dimensionUniqueName="[Range]" displayFolder="" count="0" memberValueDatatype="20" unbalanced="0"/>
    <cacheHierarchy uniqueName="[Range].[Time_Spent_on_Product_Research(hours)]" caption="Time_Spent_on_Product_Research(hours)" attribute="1" defaultMemberUniqueName="[Range].[Time_Spent_on_Product_Research(hours)].[All]" allUniqueName="[Range].[Time_Spent_on_Product_Research(hours)].[All]" dimensionUniqueName="[Range]" displayFolder="" count="0" memberValueDatatype="5" unbalanced="0"/>
    <cacheHierarchy uniqueName="[Range].[Social_Media_Influence]" caption="Social_Media_Influence" attribute="1" defaultMemberUniqueName="[Range].[Social_Media_Influence].[All]" allUniqueName="[Range].[Social_Media_Influence].[All]" dimensionUniqueName="[Range]" displayFolder="" count="0" memberValueDatatype="130" unbalanced="0"/>
    <cacheHierarchy uniqueName="[Range].[Discount_Sensitivity]" caption="Discount_Sensitivity" attribute="1" defaultMemberUniqueName="[Range].[Discount_Sensitivity].[All]" allUniqueName="[Range].[Discount_Sensitivity].[All]" dimensionUniqueName="[Range]" displayFolder="" count="0" memberValueDatatype="130" unbalanced="0"/>
    <cacheHierarchy uniqueName="[Range].[Return_Rate]" caption="Return_Rate" attribute="1" defaultMemberUniqueName="[Range].[Return_Rate].[All]" allUniqueName="[Range].[Return_Rate].[All]" dimensionUniqueName="[Range]" displayFolder="" count="0" memberValueDatatype="20" unbalanced="0"/>
    <cacheHierarchy uniqueName="[Range].[Customer_Satisfaction]" caption="Customer_Satisfaction" attribute="1" defaultMemberUniqueName="[Range].[Customer_Satisfaction].[All]" allUniqueName="[Range].[Customer_Satisfaction].[All]" dimensionUniqueName="[Range]" displayFolder="" count="0" memberValueDatatype="20" unbalanced="0"/>
    <cacheHierarchy uniqueName="[Range].[Engagement_with_Ads]" caption="Engagement_with_Ads" attribute="1" defaultMemberUniqueName="[Range].[Engagement_with_Ads].[All]" allUniqueName="[Range].[Engagement_with_Ads].[All]" dimensionUniqueName="[Range]" displayFolder="" count="0" memberValueDatatype="130" unbalanced="0"/>
    <cacheHierarchy uniqueName="[Range].[Device_Used_for_Shopping]" caption="Device_Used_for_Shopping" attribute="1" defaultMemberUniqueName="[Range].[Device_Used_for_Shopping].[All]" allUniqueName="[Range].[Device_Used_for_Shopping].[All]" dimensionUniqueName="[Range]" displayFolder="" count="0" memberValueDatatype="130" unbalanced="0"/>
    <cacheHierarchy uniqueName="[Range].[Payment_Method]" caption="Payment_Method" attribute="1" defaultMemberUniqueName="[Range].[Payment_Method].[All]" allUniqueName="[Range].[Payment_Method].[All]" dimensionUniqueName="[Range]" displayFolder="" count="0" memberValueDatatype="130" unbalanced="0"/>
    <cacheHierarchy uniqueName="[Range].[Time_of_Purchase]" caption="Time_of_Purchase" attribute="1" time="1" defaultMemberUniqueName="[Range].[Time_of_Purchase].[All]" allUniqueName="[Range].[Time_of_Purchase].[All]" dimensionUniqueName="[Range]" displayFolder="" count="0" memberValueDatatype="7" unbalanced="0"/>
    <cacheHierarchy uniqueName="[Range].[Month]" caption="Month" attribute="1" defaultMemberUniqueName="[Range].[Month].[All]" allUniqueName="[Range].[Month].[All]" dimensionUniqueName="[Range]" displayFolder="" count="0" memberValueDatatype="130" unbalanced="0"/>
    <cacheHierarchy uniqueName="[Range].[Year]" caption="Year" attribute="1" defaultMemberUniqueName="[Range].[Year].[All]" allUniqueName="[Range].[Year].[All]" dimensionUniqueName="[Range]" displayFolder="" count="0" memberValueDatatype="130" unbalanced="0"/>
    <cacheHierarchy uniqueName="[Range].[Discount_Used]" caption="Discount_Used" attribute="1" defaultMemberUniqueName="[Range].[Discount_Used].[All]" allUniqueName="[Range].[Discount_Used].[All]" dimensionUniqueName="[Range]" displayFolder="" count="0" memberValueDatatype="11" unbalanced="0"/>
    <cacheHierarchy uniqueName="[Range].[Customer_Loyalty_Program_Member]" caption="Customer_Loyalty_Program_Member" attribute="1" defaultMemberUniqueName="[Range].[Customer_Loyalty_Program_Member].[All]" allUniqueName="[Range].[Customer_Loyalty_Program_Member].[All]" dimensionUniqueName="[Range]" displayFolder="" count="0" memberValueDatatype="11" unbalanced="0"/>
    <cacheHierarchy uniqueName="[Range].[Purchase_Intent]" caption="Purchase_Intent" attribute="1" defaultMemberUniqueName="[Range].[Purchase_Intent].[All]" allUniqueName="[Range].[Purchase_Intent].[All]" dimensionUniqueName="[Range]" displayFolder="" count="0" memberValueDatatype="130" unbalanced="0"/>
    <cacheHierarchy uniqueName="[Range].[Shipping_Preference]" caption="Shipping_Preference" attribute="1" defaultMemberUniqueName="[Range].[Shipping_Preference].[All]" allUniqueName="[Range].[Shipping_Preference].[All]" dimensionUniqueName="[Range]" displayFolder="" count="0" memberValueDatatype="130" unbalanced="0"/>
    <cacheHierarchy uniqueName="[Range].[Time_to_Decision]" caption="Time_to_Decision" attribute="1" defaultMemberUniqueName="[Range].[Time_to_Decision].[All]" allUniqueName="[Range].[Time_to_Decision].[All]" dimensionUniqueName="[Range]" displayFolder="" count="0" memberValueDatatype="20" unbalanced="0"/>
    <cacheHierarchy uniqueName="[Range].[Time_of_Purchase (Year)]" caption="Time_of_Purchase (Year)" attribute="1" defaultMemberUniqueName="[Range].[Time_of_Purchase (Year)].[All]" allUniqueName="[Range].[Time_of_Purchase (Year)].[All]" dimensionUniqueName="[Range]" displayFolder="" count="0" memberValueDatatype="130" unbalanced="0"/>
    <cacheHierarchy uniqueName="[Range].[Time_of_Purchase (Quarter)]" caption="Time_of_Purchase (Quarter)" attribute="1" defaultMemberUniqueName="[Range].[Time_of_Purchase (Quarter)].[All]" allUniqueName="[Range].[Time_of_Purchase (Quarter)].[All]" dimensionUniqueName="[Range]" displayFolder="" count="0" memberValueDatatype="130" unbalanced="0"/>
    <cacheHierarchy uniqueName="[Range].[Time_of_Purchase (Month)]" caption="Time_of_Purchase (Month)" attribute="1" defaultMemberUniqueName="[Range].[Time_of_Purchase (Month)].[All]" allUniqueName="[Range].[Time_of_Purchase (Month)].[All]" dimensionUniqueName="[Range]" displayFolder="" count="0" memberValueDatatype="130" unbalanced="0"/>
    <cacheHierarchy uniqueName="[Range].[Time_of_Purchase (Month Index)]" caption="Time_of_Purchase (Month Index)" attribute="1" defaultMemberUniqueName="[Range].[Time_of_Purchase (Month Index)].[All]" allUniqueName="[Range].[Time_of_Purchase (Month Index)].[All]" dimensionUniqueName="[Range]" displayFolder="" count="0" memberValueDatatype="20" unbalanced="0" hidden="1"/>
    <cacheHierarchy uniqueName="[Measures].[__XL_Count Range]" caption="__XL_Count Range" measure="1" displayFolder="" measureGroup="Range" count="0" hidden="1"/>
    <cacheHierarchy uniqueName="[Measures].[__No measures defined]" caption="__No measures defined" measure="1" displayFolder="" count="0" hidden="1"/>
    <cacheHierarchy uniqueName="[Measures].[Sum of Purchase_Amount]" caption="Sum of Purchase_Amount" measure="1" displayFolder="" measureGroup="Range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10"/>
        </ext>
      </extLst>
    </cacheHierarchy>
    <cacheHierarchy uniqueName="[Measures].[Sum of Time_Spent_on_Product_Research(hours)]" caption="Sum of Time_Spent_on_Product_Research(hours)" measure="1" displayFolder="" measureGroup="Range" count="0" hidden="1">
      <extLst>
        <ext xmlns:x15="http://schemas.microsoft.com/office/spreadsheetml/2010/11/main" uri="{B97F6D7D-B522-45F9-BDA1-12C45D357490}">
          <x15:cacheHierarchy aggregatedColumn="15"/>
        </ext>
      </extLst>
    </cacheHierarchy>
    <cacheHierarchy uniqueName="[Measures].[Sum of Time_to_Decision]" caption="Sum of Time_to_Decision" measure="1" displayFolder="" measureGroup="Range" count="0" hidden="1">
      <extLst>
        <ext xmlns:x15="http://schemas.microsoft.com/office/spreadsheetml/2010/11/main" uri="{B97F6D7D-B522-45F9-BDA1-12C45D357490}">
          <x15:cacheHierarchy aggregatedColumn="30"/>
        </ext>
      </extLst>
    </cacheHierarchy>
    <cacheHierarchy uniqueName="[Measures].[Sum of Brand_Loyalty]" caption="Sum of Brand_Loyalty" measure="1" displayFolder="" measureGroup="Range" count="0" hidden="1"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Average of Purchase_Amount]" caption="Average of Purchase_Amount" measure="1" displayFolder="" measureGroup="Range" count="0" hidden="1">
      <extLst>
        <ext xmlns:x15="http://schemas.microsoft.com/office/spreadsheetml/2010/11/main" uri="{B97F6D7D-B522-45F9-BDA1-12C45D357490}">
          <x15:cacheHierarchy aggregatedColumn="10"/>
        </ext>
      </extLst>
    </cacheHierarchy>
    <cacheHierarchy uniqueName="[Measures].[Sum of Return_Rate]" caption="Sum of Return_Rate" measure="1" displayFolder="" measureGroup="Range" count="0" hidden="1">
      <extLst>
        <ext xmlns:x15="http://schemas.microsoft.com/office/spreadsheetml/2010/11/main" uri="{B97F6D7D-B522-45F9-BDA1-12C45D357490}">
          <x15:cacheHierarchy aggregatedColumn="18"/>
        </ext>
      </extLst>
    </cacheHierarchy>
    <cacheHierarchy uniqueName="[Measures].[Sum of Product_Rating]" caption="Sum of Product_Rating" measure="1" displayFolder="" measureGroup="Range" count="0" hidden="1">
      <extLst>
        <ext xmlns:x15="http://schemas.microsoft.com/office/spreadsheetml/2010/11/main" uri="{B97F6D7D-B522-45F9-BDA1-12C45D357490}">
          <x15:cacheHierarchy aggregatedColumn="14"/>
        </ext>
      </extLst>
    </cacheHierarchy>
    <cacheHierarchy uniqueName="[Measures].[Sum of Customer_Satisfaction]" caption="Sum of Customer_Satisfaction" measure="1" displayFolder="" measureGroup="Range" count="0" hidden="1">
      <extLst>
        <ext xmlns:x15="http://schemas.microsoft.com/office/spreadsheetml/2010/11/main" uri="{B97F6D7D-B522-45F9-BDA1-12C45D357490}">
          <x15:cacheHierarchy aggregatedColumn="19"/>
        </ext>
      </extLst>
    </cacheHierarchy>
    <cacheHierarchy uniqueName="[Measures].[Average of Customer_Satisfaction]" caption="Average of Customer_Satisfaction" measure="1" displayFolder="" measureGroup="Range" count="0" hidden="1">
      <extLst>
        <ext xmlns:x15="http://schemas.microsoft.com/office/spreadsheetml/2010/11/main" uri="{B97F6D7D-B522-45F9-BDA1-12C45D357490}">
          <x15:cacheHierarchy aggregatedColumn="19"/>
        </ext>
      </extLst>
    </cacheHierarchy>
  </cacheHierarchies>
  <kpis count="0"/>
  <dimensions count="2">
    <dimension measure="1" name="Measures" uniqueName="[Measures]" caption="Measures"/>
    <dimension name="Range" uniqueName="[Range]" caption="Range"/>
  </dimensions>
  <measureGroups count="1">
    <measureGroup name="Range" caption="Range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1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SHILPA ROY" refreshedDate="46174.029501157405" backgroundQuery="1" createdVersion="8" refreshedVersion="8" minRefreshableVersion="3" recordCount="0" supportSubquery="1" supportAdvancedDrill="1" xr:uid="{F352C6F3-972F-44F5-B453-9410EE67A0CD}">
  <cacheSource type="external" connectionId="1"/>
  <cacheFields count="1">
    <cacheField name="[Measures].[Average of Purchase_Amount]" caption="Average of Purchase_Amount" numFmtId="0" hierarchy="41" level="32767"/>
  </cacheFields>
  <cacheHierarchies count="46">
    <cacheHierarchy uniqueName="[Range].[Customer_ID]" caption="Customer_ID" attribute="1" defaultMemberUniqueName="[Range].[Customer_ID].[All]" allUniqueName="[Range].[Customer_ID].[All]" dimensionUniqueName="[Range]" displayFolder="" count="0" memberValueDatatype="130" unbalanced="0"/>
    <cacheHierarchy uniqueName="[Range].[Age]" caption="Age" attribute="1" defaultMemberUniqueName="[Range].[Age].[All]" allUniqueName="[Range].[Age].[All]" dimensionUniqueName="[Range]" displayFolder="" count="0" memberValueDatatype="20" unbalanced="0"/>
    <cacheHierarchy uniqueName="[Range].[Age-Group]" caption="Age-Group" attribute="1" defaultMemberUniqueName="[Range].[Age-Group].[All]" allUniqueName="[Range].[Age-Group].[All]" dimensionUniqueName="[Range]" displayFolder="" count="0" memberValueDatatype="130" unbalanced="0"/>
    <cacheHierarchy uniqueName="[Range].[Gender]" caption="Gender" attribute="1" defaultMemberUniqueName="[Range].[Gender].[All]" allUniqueName="[Range].[Gender].[All]" dimensionUniqueName="[Range]" displayFolder="" count="0" memberValueDatatype="130" unbalanced="0"/>
    <cacheHierarchy uniqueName="[Range].[Income_Level]" caption="Income_Level" attribute="1" defaultMemberUniqueName="[Range].[Income_Level].[All]" allUniqueName="[Range].[Income_Level].[All]" dimensionUniqueName="[Range]" displayFolder="" count="0" memberValueDatatype="130" unbalanced="0"/>
    <cacheHierarchy uniqueName="[Range].[Marital_Status]" caption="Marital_Status" attribute="1" defaultMemberUniqueName="[Range].[Marital_Status].[All]" allUniqueName="[Range].[Marital_Status].[All]" dimensionUniqueName="[Range]" displayFolder="" count="0" memberValueDatatype="130" unbalanced="0"/>
    <cacheHierarchy uniqueName="[Range].[Education_Level]" caption="Education_Level" attribute="1" defaultMemberUniqueName="[Range].[Education_Level].[All]" allUniqueName="[Range].[Education_Level].[All]" dimensionUniqueName="[Range]" displayFolder="" count="0" memberValueDatatype="130" unbalanced="0"/>
    <cacheHierarchy uniqueName="[Range].[Occupation]" caption="Occupation" attribute="1" defaultMemberUniqueName="[Range].[Occupation].[All]" allUniqueName="[Range].[Occupation].[All]" dimensionUniqueName="[Range]" displayFolder="" count="0" memberValueDatatype="130" unbalanced="0"/>
    <cacheHierarchy uniqueName="[Range].[Location]" caption="Location" attribute="1" defaultMemberUniqueName="[Range].[Location].[All]" allUniqueName="[Range].[Location].[All]" dimensionUniqueName="[Range]" displayFolder="" count="0" memberValueDatatype="130" unbalanced="0"/>
    <cacheHierarchy uniqueName="[Range].[Purchase_Category]" caption="Purchase_Category" attribute="1" defaultMemberUniqueName="[Range].[Purchase_Category].[All]" allUniqueName="[Range].[Purchase_Category].[All]" dimensionUniqueName="[Range]" displayFolder="" count="0" memberValueDatatype="130" unbalanced="0"/>
    <cacheHierarchy uniqueName="[Range].[Purchase_Amount]" caption="Purchase_Amount" attribute="1" defaultMemberUniqueName="[Range].[Purchase_Amount].[All]" allUniqueName="[Range].[Purchase_Amount].[All]" dimensionUniqueName="[Range]" displayFolder="" count="0" memberValueDatatype="5" unbalanced="0"/>
    <cacheHierarchy uniqueName="[Range].[Frequency_of_Purchase]" caption="Frequency_of_Purchase" attribute="1" defaultMemberUniqueName="[Range].[Frequency_of_Purchase].[All]" allUniqueName="[Range].[Frequency_of_Purchase].[All]" dimensionUniqueName="[Range]" displayFolder="" count="0" memberValueDatatype="20" unbalanced="0"/>
    <cacheHierarchy uniqueName="[Range].[Purchase_Channel]" caption="Purchase_Channel" attribute="1" defaultMemberUniqueName="[Range].[Purchase_Channel].[All]" allUniqueName="[Range].[Purchase_Channel].[All]" dimensionUniqueName="[Range]" displayFolder="" count="0" memberValueDatatype="130" unbalanced="0"/>
    <cacheHierarchy uniqueName="[Range].[Brand_Loyalty]" caption="Brand_Loyalty" attribute="1" defaultMemberUniqueName="[Range].[Brand_Loyalty].[All]" allUniqueName="[Range].[Brand_Loyalty].[All]" dimensionUniqueName="[Range]" displayFolder="" count="0" memberValueDatatype="20" unbalanced="0"/>
    <cacheHierarchy uniqueName="[Range].[Product_Rating]" caption="Product_Rating" attribute="1" defaultMemberUniqueName="[Range].[Product_Rating].[All]" allUniqueName="[Range].[Product_Rating].[All]" dimensionUniqueName="[Range]" displayFolder="" count="0" memberValueDatatype="20" unbalanced="0"/>
    <cacheHierarchy uniqueName="[Range].[Time_Spent_on_Product_Research(hours)]" caption="Time_Spent_on_Product_Research(hours)" attribute="1" defaultMemberUniqueName="[Range].[Time_Spent_on_Product_Research(hours)].[All]" allUniqueName="[Range].[Time_Spent_on_Product_Research(hours)].[All]" dimensionUniqueName="[Range]" displayFolder="" count="0" memberValueDatatype="5" unbalanced="0"/>
    <cacheHierarchy uniqueName="[Range].[Social_Media_Influence]" caption="Social_Media_Influence" attribute="1" defaultMemberUniqueName="[Range].[Social_Media_Influence].[All]" allUniqueName="[Range].[Social_Media_Influence].[All]" dimensionUniqueName="[Range]" displayFolder="" count="0" memberValueDatatype="130" unbalanced="0"/>
    <cacheHierarchy uniqueName="[Range].[Discount_Sensitivity]" caption="Discount_Sensitivity" attribute="1" defaultMemberUniqueName="[Range].[Discount_Sensitivity].[All]" allUniqueName="[Range].[Discount_Sensitivity].[All]" dimensionUniqueName="[Range]" displayFolder="" count="0" memberValueDatatype="130" unbalanced="0"/>
    <cacheHierarchy uniqueName="[Range].[Return_Rate]" caption="Return_Rate" attribute="1" defaultMemberUniqueName="[Range].[Return_Rate].[All]" allUniqueName="[Range].[Return_Rate].[All]" dimensionUniqueName="[Range]" displayFolder="" count="0" memberValueDatatype="20" unbalanced="0"/>
    <cacheHierarchy uniqueName="[Range].[Customer_Satisfaction]" caption="Customer_Satisfaction" attribute="1" defaultMemberUniqueName="[Range].[Customer_Satisfaction].[All]" allUniqueName="[Range].[Customer_Satisfaction].[All]" dimensionUniqueName="[Range]" displayFolder="" count="0" memberValueDatatype="20" unbalanced="0"/>
    <cacheHierarchy uniqueName="[Range].[Engagement_with_Ads]" caption="Engagement_with_Ads" attribute="1" defaultMemberUniqueName="[Range].[Engagement_with_Ads].[All]" allUniqueName="[Range].[Engagement_with_Ads].[All]" dimensionUniqueName="[Range]" displayFolder="" count="0" memberValueDatatype="130" unbalanced="0"/>
    <cacheHierarchy uniqueName="[Range].[Device_Used_for_Shopping]" caption="Device_Used_for_Shopping" attribute="1" defaultMemberUniqueName="[Range].[Device_Used_for_Shopping].[All]" allUniqueName="[Range].[Device_Used_for_Shopping].[All]" dimensionUniqueName="[Range]" displayFolder="" count="0" memberValueDatatype="130" unbalanced="0"/>
    <cacheHierarchy uniqueName="[Range].[Payment_Method]" caption="Payment_Method" attribute="1" defaultMemberUniqueName="[Range].[Payment_Method].[All]" allUniqueName="[Range].[Payment_Method].[All]" dimensionUniqueName="[Range]" displayFolder="" count="0" memberValueDatatype="130" unbalanced="0"/>
    <cacheHierarchy uniqueName="[Range].[Time_of_Purchase]" caption="Time_of_Purchase" attribute="1" time="1" defaultMemberUniqueName="[Range].[Time_of_Purchase].[All]" allUniqueName="[Range].[Time_of_Purchase].[All]" dimensionUniqueName="[Range]" displayFolder="" count="0" memberValueDatatype="7" unbalanced="0"/>
    <cacheHierarchy uniqueName="[Range].[Month]" caption="Month" attribute="1" defaultMemberUniqueName="[Range].[Month].[All]" allUniqueName="[Range].[Month].[All]" dimensionUniqueName="[Range]" displayFolder="" count="0" memberValueDatatype="130" unbalanced="0"/>
    <cacheHierarchy uniqueName="[Range].[Year]" caption="Year" attribute="1" defaultMemberUniqueName="[Range].[Year].[All]" allUniqueName="[Range].[Year].[All]" dimensionUniqueName="[Range]" displayFolder="" count="0" memberValueDatatype="130" unbalanced="0"/>
    <cacheHierarchy uniqueName="[Range].[Discount_Used]" caption="Discount_Used" attribute="1" defaultMemberUniqueName="[Range].[Discount_Used].[All]" allUniqueName="[Range].[Discount_Used].[All]" dimensionUniqueName="[Range]" displayFolder="" count="0" memberValueDatatype="11" unbalanced="0"/>
    <cacheHierarchy uniqueName="[Range].[Customer_Loyalty_Program_Member]" caption="Customer_Loyalty_Program_Member" attribute="1" defaultMemberUniqueName="[Range].[Customer_Loyalty_Program_Member].[All]" allUniqueName="[Range].[Customer_Loyalty_Program_Member].[All]" dimensionUniqueName="[Range]" displayFolder="" count="0" memberValueDatatype="11" unbalanced="0"/>
    <cacheHierarchy uniqueName="[Range].[Purchase_Intent]" caption="Purchase_Intent" attribute="1" defaultMemberUniqueName="[Range].[Purchase_Intent].[All]" allUniqueName="[Range].[Purchase_Intent].[All]" dimensionUniqueName="[Range]" displayFolder="" count="0" memberValueDatatype="130" unbalanced="0"/>
    <cacheHierarchy uniqueName="[Range].[Shipping_Preference]" caption="Shipping_Preference" attribute="1" defaultMemberUniqueName="[Range].[Shipping_Preference].[All]" allUniqueName="[Range].[Shipping_Preference].[All]" dimensionUniqueName="[Range]" displayFolder="" count="0" memberValueDatatype="130" unbalanced="0"/>
    <cacheHierarchy uniqueName="[Range].[Time_to_Decision]" caption="Time_to_Decision" attribute="1" defaultMemberUniqueName="[Range].[Time_to_Decision].[All]" allUniqueName="[Range].[Time_to_Decision].[All]" dimensionUniqueName="[Range]" displayFolder="" count="0" memberValueDatatype="20" unbalanced="0"/>
    <cacheHierarchy uniqueName="[Range].[Time_of_Purchase (Year)]" caption="Time_of_Purchase (Year)" attribute="1" defaultMemberUniqueName="[Range].[Time_of_Purchase (Year)].[All]" allUniqueName="[Range].[Time_of_Purchase (Year)].[All]" dimensionUniqueName="[Range]" displayFolder="" count="0" memberValueDatatype="130" unbalanced="0"/>
    <cacheHierarchy uniqueName="[Range].[Time_of_Purchase (Quarter)]" caption="Time_of_Purchase (Quarter)" attribute="1" defaultMemberUniqueName="[Range].[Time_of_Purchase (Quarter)].[All]" allUniqueName="[Range].[Time_of_Purchase (Quarter)].[All]" dimensionUniqueName="[Range]" displayFolder="" count="0" memberValueDatatype="130" unbalanced="0"/>
    <cacheHierarchy uniqueName="[Range].[Time_of_Purchase (Month)]" caption="Time_of_Purchase (Month)" attribute="1" defaultMemberUniqueName="[Range].[Time_of_Purchase (Month)].[All]" allUniqueName="[Range].[Time_of_Purchase (Month)].[All]" dimensionUniqueName="[Range]" displayFolder="" count="0" memberValueDatatype="130" unbalanced="0"/>
    <cacheHierarchy uniqueName="[Range].[Time_of_Purchase (Month Index)]" caption="Time_of_Purchase (Month Index)" attribute="1" defaultMemberUniqueName="[Range].[Time_of_Purchase (Month Index)].[All]" allUniqueName="[Range].[Time_of_Purchase (Month Index)].[All]" dimensionUniqueName="[Range]" displayFolder="" count="0" memberValueDatatype="20" unbalanced="0" hidden="1"/>
    <cacheHierarchy uniqueName="[Measures].[__XL_Count Range]" caption="__XL_Count Range" measure="1" displayFolder="" measureGroup="Range" count="0" hidden="1"/>
    <cacheHierarchy uniqueName="[Measures].[__No measures defined]" caption="__No measures defined" measure="1" displayFolder="" count="0" hidden="1"/>
    <cacheHierarchy uniqueName="[Measures].[Sum of Purchase_Amount]" caption="Sum of Purchase_Amount" measure="1" displayFolder="" measureGroup="Range" count="0" hidden="1">
      <extLst>
        <ext xmlns:x15="http://schemas.microsoft.com/office/spreadsheetml/2010/11/main" uri="{B97F6D7D-B522-45F9-BDA1-12C45D357490}">
          <x15:cacheHierarchy aggregatedColumn="10"/>
        </ext>
      </extLst>
    </cacheHierarchy>
    <cacheHierarchy uniqueName="[Measures].[Sum of Time_Spent_on_Product_Research(hours)]" caption="Sum of Time_Spent_on_Product_Research(hours)" measure="1" displayFolder="" measureGroup="Range" count="0" hidden="1">
      <extLst>
        <ext xmlns:x15="http://schemas.microsoft.com/office/spreadsheetml/2010/11/main" uri="{B97F6D7D-B522-45F9-BDA1-12C45D357490}">
          <x15:cacheHierarchy aggregatedColumn="15"/>
        </ext>
      </extLst>
    </cacheHierarchy>
    <cacheHierarchy uniqueName="[Measures].[Sum of Time_to_Decision]" caption="Sum of Time_to_Decision" measure="1" displayFolder="" measureGroup="Range" count="0" hidden="1">
      <extLst>
        <ext xmlns:x15="http://schemas.microsoft.com/office/spreadsheetml/2010/11/main" uri="{B97F6D7D-B522-45F9-BDA1-12C45D357490}">
          <x15:cacheHierarchy aggregatedColumn="30"/>
        </ext>
      </extLst>
    </cacheHierarchy>
    <cacheHierarchy uniqueName="[Measures].[Sum of Brand_Loyalty]" caption="Sum of Brand_Loyalty" measure="1" displayFolder="" measureGroup="Range" count="0" hidden="1"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Average of Purchase_Amount]" caption="Average of Purchase_Amount" measure="1" displayFolder="" measureGroup="Range" count="0" oneField="1" hidden="1">
      <fieldsUsage count="1">
        <fieldUsage x="0"/>
      </fieldsUsage>
      <extLst>
        <ext xmlns:x15="http://schemas.microsoft.com/office/spreadsheetml/2010/11/main" uri="{B97F6D7D-B522-45F9-BDA1-12C45D357490}">
          <x15:cacheHierarchy aggregatedColumn="10"/>
        </ext>
      </extLst>
    </cacheHierarchy>
    <cacheHierarchy uniqueName="[Measures].[Sum of Return_Rate]" caption="Sum of Return_Rate" measure="1" displayFolder="" measureGroup="Range" count="0" hidden="1">
      <extLst>
        <ext xmlns:x15="http://schemas.microsoft.com/office/spreadsheetml/2010/11/main" uri="{B97F6D7D-B522-45F9-BDA1-12C45D357490}">
          <x15:cacheHierarchy aggregatedColumn="18"/>
        </ext>
      </extLst>
    </cacheHierarchy>
    <cacheHierarchy uniqueName="[Measures].[Sum of Product_Rating]" caption="Sum of Product_Rating" measure="1" displayFolder="" measureGroup="Range" count="0" hidden="1">
      <extLst>
        <ext xmlns:x15="http://schemas.microsoft.com/office/spreadsheetml/2010/11/main" uri="{B97F6D7D-B522-45F9-BDA1-12C45D357490}">
          <x15:cacheHierarchy aggregatedColumn="14"/>
        </ext>
      </extLst>
    </cacheHierarchy>
    <cacheHierarchy uniqueName="[Measures].[Sum of Customer_Satisfaction]" caption="Sum of Customer_Satisfaction" measure="1" displayFolder="" measureGroup="Range" count="0" hidden="1">
      <extLst>
        <ext xmlns:x15="http://schemas.microsoft.com/office/spreadsheetml/2010/11/main" uri="{B97F6D7D-B522-45F9-BDA1-12C45D357490}">
          <x15:cacheHierarchy aggregatedColumn="19"/>
        </ext>
      </extLst>
    </cacheHierarchy>
    <cacheHierarchy uniqueName="[Measures].[Average of Customer_Satisfaction]" caption="Average of Customer_Satisfaction" measure="1" displayFolder="" measureGroup="Range" count="0" hidden="1">
      <extLst>
        <ext xmlns:x15="http://schemas.microsoft.com/office/spreadsheetml/2010/11/main" uri="{B97F6D7D-B522-45F9-BDA1-12C45D357490}">
          <x15:cacheHierarchy aggregatedColumn="19"/>
        </ext>
      </extLst>
    </cacheHierarchy>
  </cacheHierarchies>
  <kpis count="0"/>
  <dimensions count="2">
    <dimension measure="1" name="Measures" uniqueName="[Measures]" caption="Measures"/>
    <dimension name="Range" uniqueName="[Range]" caption="Range"/>
  </dimensions>
  <measureGroups count="1">
    <measureGroup name="Range" caption="Range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1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SHILPA ROY" refreshedDate="46174.039102083334" backgroundQuery="1" createdVersion="8" refreshedVersion="8" minRefreshableVersion="3" recordCount="0" supportSubquery="1" supportAdvancedDrill="1" xr:uid="{864422C9-F287-41C9-A863-8A179ADB1DF7}">
  <cacheSource type="external" connectionId="1"/>
  <cacheFields count="2">
    <cacheField name="[Range].[Time_to_Decision].[Time_to_Decision]" caption="Time_to_Decision" numFmtId="0" hierarchy="30" level="1">
      <sharedItems containsSemiMixedTypes="0" containsString="0" containsNumber="1" containsInteger="1" minValue="1" maxValue="14" count="14">
        <n v="1"/>
        <n v="2"/>
        <n v="3"/>
        <n v="4"/>
        <n v="5"/>
        <n v="6"/>
        <n v="7"/>
        <n v="8"/>
        <n v="9"/>
        <n v="10"/>
        <n v="11"/>
        <n v="12"/>
        <n v="13"/>
        <n v="14"/>
      </sharedItems>
      <extLst>
        <ext xmlns:x15="http://schemas.microsoft.com/office/spreadsheetml/2010/11/main" uri="{4F2E5C28-24EA-4eb8-9CBF-B6C8F9C3D259}">
          <x15:cachedUniqueNames>
            <x15:cachedUniqueName index="0" name="[Range].[Time_to_Decision].&amp;[1]"/>
            <x15:cachedUniqueName index="1" name="[Range].[Time_to_Decision].&amp;[2]"/>
            <x15:cachedUniqueName index="2" name="[Range].[Time_to_Decision].&amp;[3]"/>
            <x15:cachedUniqueName index="3" name="[Range].[Time_to_Decision].&amp;[4]"/>
            <x15:cachedUniqueName index="4" name="[Range].[Time_to_Decision].&amp;[5]"/>
            <x15:cachedUniqueName index="5" name="[Range].[Time_to_Decision].&amp;[6]"/>
            <x15:cachedUniqueName index="6" name="[Range].[Time_to_Decision].&amp;[7]"/>
            <x15:cachedUniqueName index="7" name="[Range].[Time_to_Decision].&amp;[8]"/>
            <x15:cachedUniqueName index="8" name="[Range].[Time_to_Decision].&amp;[9]"/>
            <x15:cachedUniqueName index="9" name="[Range].[Time_to_Decision].&amp;[10]"/>
            <x15:cachedUniqueName index="10" name="[Range].[Time_to_Decision].&amp;[11]"/>
            <x15:cachedUniqueName index="11" name="[Range].[Time_to_Decision].&amp;[12]"/>
            <x15:cachedUniqueName index="12" name="[Range].[Time_to_Decision].&amp;[13]"/>
            <x15:cachedUniqueName index="13" name="[Range].[Time_to_Decision].&amp;[14]"/>
          </x15:cachedUniqueNames>
        </ext>
      </extLst>
    </cacheField>
    <cacheField name="[Measures].[Sum of Purchase_Amount]" caption="Sum of Purchase_Amount" numFmtId="0" hierarchy="37" level="32767"/>
  </cacheFields>
  <cacheHierarchies count="46">
    <cacheHierarchy uniqueName="[Range].[Customer_ID]" caption="Customer_ID" attribute="1" defaultMemberUniqueName="[Range].[Customer_ID].[All]" allUniqueName="[Range].[Customer_ID].[All]" dimensionUniqueName="[Range]" displayFolder="" count="0" memberValueDatatype="130" unbalanced="0"/>
    <cacheHierarchy uniqueName="[Range].[Age]" caption="Age" attribute="1" defaultMemberUniqueName="[Range].[Age].[All]" allUniqueName="[Range].[Age].[All]" dimensionUniqueName="[Range]" displayFolder="" count="0" memberValueDatatype="20" unbalanced="0"/>
    <cacheHierarchy uniqueName="[Range].[Age-Group]" caption="Age-Group" attribute="1" defaultMemberUniqueName="[Range].[Age-Group].[All]" allUniqueName="[Range].[Age-Group].[All]" dimensionUniqueName="[Range]" displayFolder="" count="0" memberValueDatatype="130" unbalanced="0"/>
    <cacheHierarchy uniqueName="[Range].[Gender]" caption="Gender" attribute="1" defaultMemberUniqueName="[Range].[Gender].[All]" allUniqueName="[Range].[Gender].[All]" dimensionUniqueName="[Range]" displayFolder="" count="0" memberValueDatatype="130" unbalanced="0"/>
    <cacheHierarchy uniqueName="[Range].[Income_Level]" caption="Income_Level" attribute="1" defaultMemberUniqueName="[Range].[Income_Level].[All]" allUniqueName="[Range].[Income_Level].[All]" dimensionUniqueName="[Range]" displayFolder="" count="0" memberValueDatatype="130" unbalanced="0"/>
    <cacheHierarchy uniqueName="[Range].[Marital_Status]" caption="Marital_Status" attribute="1" defaultMemberUniqueName="[Range].[Marital_Status].[All]" allUniqueName="[Range].[Marital_Status].[All]" dimensionUniqueName="[Range]" displayFolder="" count="0" memberValueDatatype="130" unbalanced="0"/>
    <cacheHierarchy uniqueName="[Range].[Education_Level]" caption="Education_Level" attribute="1" defaultMemberUniqueName="[Range].[Education_Level].[All]" allUniqueName="[Range].[Education_Level].[All]" dimensionUniqueName="[Range]" displayFolder="" count="0" memberValueDatatype="130" unbalanced="0"/>
    <cacheHierarchy uniqueName="[Range].[Occupation]" caption="Occupation" attribute="1" defaultMemberUniqueName="[Range].[Occupation].[All]" allUniqueName="[Range].[Occupation].[All]" dimensionUniqueName="[Range]" displayFolder="" count="0" memberValueDatatype="130" unbalanced="0"/>
    <cacheHierarchy uniqueName="[Range].[Location]" caption="Location" attribute="1" defaultMemberUniqueName="[Range].[Location].[All]" allUniqueName="[Range].[Location].[All]" dimensionUniqueName="[Range]" displayFolder="" count="0" memberValueDatatype="130" unbalanced="0"/>
    <cacheHierarchy uniqueName="[Range].[Purchase_Category]" caption="Purchase_Category" attribute="1" defaultMemberUniqueName="[Range].[Purchase_Category].[All]" allUniqueName="[Range].[Purchase_Category].[All]" dimensionUniqueName="[Range]" displayFolder="" count="0" memberValueDatatype="130" unbalanced="0"/>
    <cacheHierarchy uniqueName="[Range].[Purchase_Amount]" caption="Purchase_Amount" attribute="1" defaultMemberUniqueName="[Range].[Purchase_Amount].[All]" allUniqueName="[Range].[Purchase_Amount].[All]" dimensionUniqueName="[Range]" displayFolder="" count="0" memberValueDatatype="5" unbalanced="0"/>
    <cacheHierarchy uniqueName="[Range].[Frequency_of_Purchase]" caption="Frequency_of_Purchase" attribute="1" defaultMemberUniqueName="[Range].[Frequency_of_Purchase].[All]" allUniqueName="[Range].[Frequency_of_Purchase].[All]" dimensionUniqueName="[Range]" displayFolder="" count="0" memberValueDatatype="20" unbalanced="0"/>
    <cacheHierarchy uniqueName="[Range].[Purchase_Channel]" caption="Purchase_Channel" attribute="1" defaultMemberUniqueName="[Range].[Purchase_Channel].[All]" allUniqueName="[Range].[Purchase_Channel].[All]" dimensionUniqueName="[Range]" displayFolder="" count="0" memberValueDatatype="130" unbalanced="0"/>
    <cacheHierarchy uniqueName="[Range].[Brand_Loyalty]" caption="Brand_Loyalty" attribute="1" defaultMemberUniqueName="[Range].[Brand_Loyalty].[All]" allUniqueName="[Range].[Brand_Loyalty].[All]" dimensionUniqueName="[Range]" displayFolder="" count="0" memberValueDatatype="20" unbalanced="0"/>
    <cacheHierarchy uniqueName="[Range].[Product_Rating]" caption="Product_Rating" attribute="1" defaultMemberUniqueName="[Range].[Product_Rating].[All]" allUniqueName="[Range].[Product_Rating].[All]" dimensionUniqueName="[Range]" displayFolder="" count="0" memberValueDatatype="20" unbalanced="0"/>
    <cacheHierarchy uniqueName="[Range].[Time_Spent_on_Product_Research(hours)]" caption="Time_Spent_on_Product_Research(hours)" attribute="1" defaultMemberUniqueName="[Range].[Time_Spent_on_Product_Research(hours)].[All]" allUniqueName="[Range].[Time_Spent_on_Product_Research(hours)].[All]" dimensionUniqueName="[Range]" displayFolder="" count="0" memberValueDatatype="5" unbalanced="0"/>
    <cacheHierarchy uniqueName="[Range].[Social_Media_Influence]" caption="Social_Media_Influence" attribute="1" defaultMemberUniqueName="[Range].[Social_Media_Influence].[All]" allUniqueName="[Range].[Social_Media_Influence].[All]" dimensionUniqueName="[Range]" displayFolder="" count="0" memberValueDatatype="130" unbalanced="0"/>
    <cacheHierarchy uniqueName="[Range].[Discount_Sensitivity]" caption="Discount_Sensitivity" attribute="1" defaultMemberUniqueName="[Range].[Discount_Sensitivity].[All]" allUniqueName="[Range].[Discount_Sensitivity].[All]" dimensionUniqueName="[Range]" displayFolder="" count="0" memberValueDatatype="130" unbalanced="0"/>
    <cacheHierarchy uniqueName="[Range].[Return_Rate]" caption="Return_Rate" attribute="1" defaultMemberUniqueName="[Range].[Return_Rate].[All]" allUniqueName="[Range].[Return_Rate].[All]" dimensionUniqueName="[Range]" displayFolder="" count="0" memberValueDatatype="20" unbalanced="0"/>
    <cacheHierarchy uniqueName="[Range].[Customer_Satisfaction]" caption="Customer_Satisfaction" attribute="1" defaultMemberUniqueName="[Range].[Customer_Satisfaction].[All]" allUniqueName="[Range].[Customer_Satisfaction].[All]" dimensionUniqueName="[Range]" displayFolder="" count="0" memberValueDatatype="20" unbalanced="0"/>
    <cacheHierarchy uniqueName="[Range].[Engagement_with_Ads]" caption="Engagement_with_Ads" attribute="1" defaultMemberUniqueName="[Range].[Engagement_with_Ads].[All]" allUniqueName="[Range].[Engagement_with_Ads].[All]" dimensionUniqueName="[Range]" displayFolder="" count="0" memberValueDatatype="130" unbalanced="0"/>
    <cacheHierarchy uniqueName="[Range].[Device_Used_for_Shopping]" caption="Device_Used_for_Shopping" attribute="1" defaultMemberUniqueName="[Range].[Device_Used_for_Shopping].[All]" allUniqueName="[Range].[Device_Used_for_Shopping].[All]" dimensionUniqueName="[Range]" displayFolder="" count="0" memberValueDatatype="130" unbalanced="0"/>
    <cacheHierarchy uniqueName="[Range].[Payment_Method]" caption="Payment_Method" attribute="1" defaultMemberUniqueName="[Range].[Payment_Method].[All]" allUniqueName="[Range].[Payment_Method].[All]" dimensionUniqueName="[Range]" displayFolder="" count="0" memberValueDatatype="130" unbalanced="0"/>
    <cacheHierarchy uniqueName="[Range].[Time_of_Purchase]" caption="Time_of_Purchase" attribute="1" time="1" defaultMemberUniqueName="[Range].[Time_of_Purchase].[All]" allUniqueName="[Range].[Time_of_Purchase].[All]" dimensionUniqueName="[Range]" displayFolder="" count="0" memberValueDatatype="7" unbalanced="0"/>
    <cacheHierarchy uniqueName="[Range].[Month]" caption="Month" attribute="1" defaultMemberUniqueName="[Range].[Month].[All]" allUniqueName="[Range].[Month].[All]" dimensionUniqueName="[Range]" displayFolder="" count="0" memberValueDatatype="130" unbalanced="0"/>
    <cacheHierarchy uniqueName="[Range].[Year]" caption="Year" attribute="1" defaultMemberUniqueName="[Range].[Year].[All]" allUniqueName="[Range].[Year].[All]" dimensionUniqueName="[Range]" displayFolder="" count="0" memberValueDatatype="130" unbalanced="0"/>
    <cacheHierarchy uniqueName="[Range].[Discount_Used]" caption="Discount_Used" attribute="1" defaultMemberUniqueName="[Range].[Discount_Used].[All]" allUniqueName="[Range].[Discount_Used].[All]" dimensionUniqueName="[Range]" displayFolder="" count="0" memberValueDatatype="11" unbalanced="0"/>
    <cacheHierarchy uniqueName="[Range].[Customer_Loyalty_Program_Member]" caption="Customer_Loyalty_Program_Member" attribute="1" defaultMemberUniqueName="[Range].[Customer_Loyalty_Program_Member].[All]" allUniqueName="[Range].[Customer_Loyalty_Program_Member].[All]" dimensionUniqueName="[Range]" displayFolder="" count="0" memberValueDatatype="11" unbalanced="0"/>
    <cacheHierarchy uniqueName="[Range].[Purchase_Intent]" caption="Purchase_Intent" attribute="1" defaultMemberUniqueName="[Range].[Purchase_Intent].[All]" allUniqueName="[Range].[Purchase_Intent].[All]" dimensionUniqueName="[Range]" displayFolder="" count="0" memberValueDatatype="130" unbalanced="0"/>
    <cacheHierarchy uniqueName="[Range].[Shipping_Preference]" caption="Shipping_Preference" attribute="1" defaultMemberUniqueName="[Range].[Shipping_Preference].[All]" allUniqueName="[Range].[Shipping_Preference].[All]" dimensionUniqueName="[Range]" displayFolder="" count="0" memberValueDatatype="130" unbalanced="0"/>
    <cacheHierarchy uniqueName="[Range].[Time_to_Decision]" caption="Time_to_Decision" attribute="1" defaultMemberUniqueName="[Range].[Time_to_Decision].[All]" allUniqueName="[Range].[Time_to_Decision].[All]" dimensionUniqueName="[Range]" displayFolder="" count="2" memberValueDatatype="20" unbalanced="0">
      <fieldsUsage count="2">
        <fieldUsage x="-1"/>
        <fieldUsage x="0"/>
      </fieldsUsage>
    </cacheHierarchy>
    <cacheHierarchy uniqueName="[Range].[Time_of_Purchase (Year)]" caption="Time_of_Purchase (Year)" attribute="1" defaultMemberUniqueName="[Range].[Time_of_Purchase (Year)].[All]" allUniqueName="[Range].[Time_of_Purchase (Year)].[All]" dimensionUniqueName="[Range]" displayFolder="" count="0" memberValueDatatype="130" unbalanced="0"/>
    <cacheHierarchy uniqueName="[Range].[Time_of_Purchase (Quarter)]" caption="Time_of_Purchase (Quarter)" attribute="1" defaultMemberUniqueName="[Range].[Time_of_Purchase (Quarter)].[All]" allUniqueName="[Range].[Time_of_Purchase (Quarter)].[All]" dimensionUniqueName="[Range]" displayFolder="" count="0" memberValueDatatype="130" unbalanced="0"/>
    <cacheHierarchy uniqueName="[Range].[Time_of_Purchase (Month)]" caption="Time_of_Purchase (Month)" attribute="1" defaultMemberUniqueName="[Range].[Time_of_Purchase (Month)].[All]" allUniqueName="[Range].[Time_of_Purchase (Month)].[All]" dimensionUniqueName="[Range]" displayFolder="" count="0" memberValueDatatype="130" unbalanced="0"/>
    <cacheHierarchy uniqueName="[Range].[Time_of_Purchase (Month Index)]" caption="Time_of_Purchase (Month Index)" attribute="1" defaultMemberUniqueName="[Range].[Time_of_Purchase (Month Index)].[All]" allUniqueName="[Range].[Time_of_Purchase (Month Index)].[All]" dimensionUniqueName="[Range]" displayFolder="" count="0" memberValueDatatype="20" unbalanced="0" hidden="1"/>
    <cacheHierarchy uniqueName="[Measures].[__XL_Count Range]" caption="__XL_Count Range" measure="1" displayFolder="" measureGroup="Range" count="0" hidden="1"/>
    <cacheHierarchy uniqueName="[Measures].[__No measures defined]" caption="__No measures defined" measure="1" displayFolder="" count="0" hidden="1"/>
    <cacheHierarchy uniqueName="[Measures].[Sum of Purchase_Amount]" caption="Sum of Purchase_Amount" measure="1" displayFolder="" measureGroup="Range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10"/>
        </ext>
      </extLst>
    </cacheHierarchy>
    <cacheHierarchy uniqueName="[Measures].[Sum of Time_Spent_on_Product_Research(hours)]" caption="Sum of Time_Spent_on_Product_Research(hours)" measure="1" displayFolder="" measureGroup="Range" count="0" hidden="1">
      <extLst>
        <ext xmlns:x15="http://schemas.microsoft.com/office/spreadsheetml/2010/11/main" uri="{B97F6D7D-B522-45F9-BDA1-12C45D357490}">
          <x15:cacheHierarchy aggregatedColumn="15"/>
        </ext>
      </extLst>
    </cacheHierarchy>
    <cacheHierarchy uniqueName="[Measures].[Sum of Time_to_Decision]" caption="Sum of Time_to_Decision" measure="1" displayFolder="" measureGroup="Range" count="0" hidden="1">
      <extLst>
        <ext xmlns:x15="http://schemas.microsoft.com/office/spreadsheetml/2010/11/main" uri="{B97F6D7D-B522-45F9-BDA1-12C45D357490}">
          <x15:cacheHierarchy aggregatedColumn="30"/>
        </ext>
      </extLst>
    </cacheHierarchy>
    <cacheHierarchy uniqueName="[Measures].[Sum of Brand_Loyalty]" caption="Sum of Brand_Loyalty" measure="1" displayFolder="" measureGroup="Range" count="0" hidden="1"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Average of Purchase_Amount]" caption="Average of Purchase_Amount" measure="1" displayFolder="" measureGroup="Range" count="0" hidden="1">
      <extLst>
        <ext xmlns:x15="http://schemas.microsoft.com/office/spreadsheetml/2010/11/main" uri="{B97F6D7D-B522-45F9-BDA1-12C45D357490}">
          <x15:cacheHierarchy aggregatedColumn="10"/>
        </ext>
      </extLst>
    </cacheHierarchy>
    <cacheHierarchy uniqueName="[Measures].[Sum of Return_Rate]" caption="Sum of Return_Rate" measure="1" displayFolder="" measureGroup="Range" count="0" hidden="1">
      <extLst>
        <ext xmlns:x15="http://schemas.microsoft.com/office/spreadsheetml/2010/11/main" uri="{B97F6D7D-B522-45F9-BDA1-12C45D357490}">
          <x15:cacheHierarchy aggregatedColumn="18"/>
        </ext>
      </extLst>
    </cacheHierarchy>
    <cacheHierarchy uniqueName="[Measures].[Sum of Product_Rating]" caption="Sum of Product_Rating" measure="1" displayFolder="" measureGroup="Range" count="0" hidden="1">
      <extLst>
        <ext xmlns:x15="http://schemas.microsoft.com/office/spreadsheetml/2010/11/main" uri="{B97F6D7D-B522-45F9-BDA1-12C45D357490}">
          <x15:cacheHierarchy aggregatedColumn="14"/>
        </ext>
      </extLst>
    </cacheHierarchy>
    <cacheHierarchy uniqueName="[Measures].[Sum of Customer_Satisfaction]" caption="Sum of Customer_Satisfaction" measure="1" displayFolder="" measureGroup="Range" count="0" hidden="1">
      <extLst>
        <ext xmlns:x15="http://schemas.microsoft.com/office/spreadsheetml/2010/11/main" uri="{B97F6D7D-B522-45F9-BDA1-12C45D357490}">
          <x15:cacheHierarchy aggregatedColumn="19"/>
        </ext>
      </extLst>
    </cacheHierarchy>
    <cacheHierarchy uniqueName="[Measures].[Average of Customer_Satisfaction]" caption="Average of Customer_Satisfaction" measure="1" displayFolder="" measureGroup="Range" count="0" hidden="1">
      <extLst>
        <ext xmlns:x15="http://schemas.microsoft.com/office/spreadsheetml/2010/11/main" uri="{B97F6D7D-B522-45F9-BDA1-12C45D357490}">
          <x15:cacheHierarchy aggregatedColumn="19"/>
        </ext>
      </extLst>
    </cacheHierarchy>
  </cacheHierarchies>
  <kpis count="0"/>
  <dimensions count="2">
    <dimension measure="1" name="Measures" uniqueName="[Measures]" caption="Measures"/>
    <dimension name="Range" uniqueName="[Range]" caption="Range"/>
  </dimensions>
  <measureGroups count="1">
    <measureGroup name="Range" caption="Range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1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SHILPA ROY" refreshedDate="46174.030200000001" backgroundQuery="1" createdVersion="8" refreshedVersion="8" minRefreshableVersion="3" recordCount="0" supportSubquery="1" supportAdvancedDrill="1" xr:uid="{4991F4E0-E019-41F4-92E7-31AEF2FC817E}">
  <cacheSource type="external" connectionId="1"/>
  <cacheFields count="2">
    <cacheField name="[Measures].[Sum of Purchase_Amount]" caption="Sum of Purchase_Amount" numFmtId="0" hierarchy="37" level="32767"/>
    <cacheField name="[Range].[Brand_Loyalty].[Brand_Loyalty]" caption="Brand_Loyalty" numFmtId="0" hierarchy="13" level="1">
      <sharedItems containsSemiMixedTypes="0" containsString="0" containsNumber="1" containsInteger="1" minValue="1" maxValue="5" count="5">
        <n v="1"/>
        <n v="2"/>
        <n v="3"/>
        <n v="4"/>
        <n v="5"/>
      </sharedItems>
      <extLst>
        <ext xmlns:x15="http://schemas.microsoft.com/office/spreadsheetml/2010/11/main" uri="{4F2E5C28-24EA-4eb8-9CBF-B6C8F9C3D259}">
          <x15:cachedUniqueNames>
            <x15:cachedUniqueName index="0" name="[Range].[Brand_Loyalty].&amp;[1]"/>
            <x15:cachedUniqueName index="1" name="[Range].[Brand_Loyalty].&amp;[2]"/>
            <x15:cachedUniqueName index="2" name="[Range].[Brand_Loyalty].&amp;[3]"/>
            <x15:cachedUniqueName index="3" name="[Range].[Brand_Loyalty].&amp;[4]"/>
            <x15:cachedUniqueName index="4" name="[Range].[Brand_Loyalty].&amp;[5]"/>
          </x15:cachedUniqueNames>
        </ext>
      </extLst>
    </cacheField>
  </cacheFields>
  <cacheHierarchies count="46">
    <cacheHierarchy uniqueName="[Range].[Customer_ID]" caption="Customer_ID" attribute="1" defaultMemberUniqueName="[Range].[Customer_ID].[All]" allUniqueName="[Range].[Customer_ID].[All]" dimensionUniqueName="[Range]" displayFolder="" count="0" memberValueDatatype="130" unbalanced="0"/>
    <cacheHierarchy uniqueName="[Range].[Age]" caption="Age" attribute="1" defaultMemberUniqueName="[Range].[Age].[All]" allUniqueName="[Range].[Age].[All]" dimensionUniqueName="[Range]" displayFolder="" count="0" memberValueDatatype="20" unbalanced="0"/>
    <cacheHierarchy uniqueName="[Range].[Age-Group]" caption="Age-Group" attribute="1" defaultMemberUniqueName="[Range].[Age-Group].[All]" allUniqueName="[Range].[Age-Group].[All]" dimensionUniqueName="[Range]" displayFolder="" count="0" memberValueDatatype="130" unbalanced="0"/>
    <cacheHierarchy uniqueName="[Range].[Gender]" caption="Gender" attribute="1" defaultMemberUniqueName="[Range].[Gender].[All]" allUniqueName="[Range].[Gender].[All]" dimensionUniqueName="[Range]" displayFolder="" count="0" memberValueDatatype="130" unbalanced="0"/>
    <cacheHierarchy uniqueName="[Range].[Income_Level]" caption="Income_Level" attribute="1" defaultMemberUniqueName="[Range].[Income_Level].[All]" allUniqueName="[Range].[Income_Level].[All]" dimensionUniqueName="[Range]" displayFolder="" count="0" memberValueDatatype="130" unbalanced="0"/>
    <cacheHierarchy uniqueName="[Range].[Marital_Status]" caption="Marital_Status" attribute="1" defaultMemberUniqueName="[Range].[Marital_Status].[All]" allUniqueName="[Range].[Marital_Status].[All]" dimensionUniqueName="[Range]" displayFolder="" count="0" memberValueDatatype="130" unbalanced="0"/>
    <cacheHierarchy uniqueName="[Range].[Education_Level]" caption="Education_Level" attribute="1" defaultMemberUniqueName="[Range].[Education_Level].[All]" allUniqueName="[Range].[Education_Level].[All]" dimensionUniqueName="[Range]" displayFolder="" count="0" memberValueDatatype="130" unbalanced="0"/>
    <cacheHierarchy uniqueName="[Range].[Occupation]" caption="Occupation" attribute="1" defaultMemberUniqueName="[Range].[Occupation].[All]" allUniqueName="[Range].[Occupation].[All]" dimensionUniqueName="[Range]" displayFolder="" count="0" memberValueDatatype="130" unbalanced="0"/>
    <cacheHierarchy uniqueName="[Range].[Location]" caption="Location" attribute="1" defaultMemberUniqueName="[Range].[Location].[All]" allUniqueName="[Range].[Location].[All]" dimensionUniqueName="[Range]" displayFolder="" count="0" memberValueDatatype="130" unbalanced="0"/>
    <cacheHierarchy uniqueName="[Range].[Purchase_Category]" caption="Purchase_Category" attribute="1" defaultMemberUniqueName="[Range].[Purchase_Category].[All]" allUniqueName="[Range].[Purchase_Category].[All]" dimensionUniqueName="[Range]" displayFolder="" count="0" memberValueDatatype="130" unbalanced="0"/>
    <cacheHierarchy uniqueName="[Range].[Purchase_Amount]" caption="Purchase_Amount" attribute="1" defaultMemberUniqueName="[Range].[Purchase_Amount].[All]" allUniqueName="[Range].[Purchase_Amount].[All]" dimensionUniqueName="[Range]" displayFolder="" count="0" memberValueDatatype="5" unbalanced="0"/>
    <cacheHierarchy uniqueName="[Range].[Frequency_of_Purchase]" caption="Frequency_of_Purchase" attribute="1" defaultMemberUniqueName="[Range].[Frequency_of_Purchase].[All]" allUniqueName="[Range].[Frequency_of_Purchase].[All]" dimensionUniqueName="[Range]" displayFolder="" count="0" memberValueDatatype="20" unbalanced="0"/>
    <cacheHierarchy uniqueName="[Range].[Purchase_Channel]" caption="Purchase_Channel" attribute="1" defaultMemberUniqueName="[Range].[Purchase_Channel].[All]" allUniqueName="[Range].[Purchase_Channel].[All]" dimensionUniqueName="[Range]" displayFolder="" count="0" memberValueDatatype="130" unbalanced="0"/>
    <cacheHierarchy uniqueName="[Range].[Brand_Loyalty]" caption="Brand_Loyalty" attribute="1" defaultMemberUniqueName="[Range].[Brand_Loyalty].[All]" allUniqueName="[Range].[Brand_Loyalty].[All]" dimensionUniqueName="[Range]" displayFolder="" count="2" memberValueDatatype="20" unbalanced="0">
      <fieldsUsage count="2">
        <fieldUsage x="-1"/>
        <fieldUsage x="1"/>
      </fieldsUsage>
    </cacheHierarchy>
    <cacheHierarchy uniqueName="[Range].[Product_Rating]" caption="Product_Rating" attribute="1" defaultMemberUniqueName="[Range].[Product_Rating].[All]" allUniqueName="[Range].[Product_Rating].[All]" dimensionUniqueName="[Range]" displayFolder="" count="0" memberValueDatatype="20" unbalanced="0"/>
    <cacheHierarchy uniqueName="[Range].[Time_Spent_on_Product_Research(hours)]" caption="Time_Spent_on_Product_Research(hours)" attribute="1" defaultMemberUniqueName="[Range].[Time_Spent_on_Product_Research(hours)].[All]" allUniqueName="[Range].[Time_Spent_on_Product_Research(hours)].[All]" dimensionUniqueName="[Range]" displayFolder="" count="0" memberValueDatatype="5" unbalanced="0"/>
    <cacheHierarchy uniqueName="[Range].[Social_Media_Influence]" caption="Social_Media_Influence" attribute="1" defaultMemberUniqueName="[Range].[Social_Media_Influence].[All]" allUniqueName="[Range].[Social_Media_Influence].[All]" dimensionUniqueName="[Range]" displayFolder="" count="0" memberValueDatatype="130" unbalanced="0"/>
    <cacheHierarchy uniqueName="[Range].[Discount_Sensitivity]" caption="Discount_Sensitivity" attribute="1" defaultMemberUniqueName="[Range].[Discount_Sensitivity].[All]" allUniqueName="[Range].[Discount_Sensitivity].[All]" dimensionUniqueName="[Range]" displayFolder="" count="0" memberValueDatatype="130" unbalanced="0"/>
    <cacheHierarchy uniqueName="[Range].[Return_Rate]" caption="Return_Rate" attribute="1" defaultMemberUniqueName="[Range].[Return_Rate].[All]" allUniqueName="[Range].[Return_Rate].[All]" dimensionUniqueName="[Range]" displayFolder="" count="0" memberValueDatatype="20" unbalanced="0"/>
    <cacheHierarchy uniqueName="[Range].[Customer_Satisfaction]" caption="Customer_Satisfaction" attribute="1" defaultMemberUniqueName="[Range].[Customer_Satisfaction].[All]" allUniqueName="[Range].[Customer_Satisfaction].[All]" dimensionUniqueName="[Range]" displayFolder="" count="0" memberValueDatatype="20" unbalanced="0"/>
    <cacheHierarchy uniqueName="[Range].[Engagement_with_Ads]" caption="Engagement_with_Ads" attribute="1" defaultMemberUniqueName="[Range].[Engagement_with_Ads].[All]" allUniqueName="[Range].[Engagement_with_Ads].[All]" dimensionUniqueName="[Range]" displayFolder="" count="0" memberValueDatatype="130" unbalanced="0"/>
    <cacheHierarchy uniqueName="[Range].[Device_Used_for_Shopping]" caption="Device_Used_for_Shopping" attribute="1" defaultMemberUniqueName="[Range].[Device_Used_for_Shopping].[All]" allUniqueName="[Range].[Device_Used_for_Shopping].[All]" dimensionUniqueName="[Range]" displayFolder="" count="0" memberValueDatatype="130" unbalanced="0"/>
    <cacheHierarchy uniqueName="[Range].[Payment_Method]" caption="Payment_Method" attribute="1" defaultMemberUniqueName="[Range].[Payment_Method].[All]" allUniqueName="[Range].[Payment_Method].[All]" dimensionUniqueName="[Range]" displayFolder="" count="0" memberValueDatatype="130" unbalanced="0"/>
    <cacheHierarchy uniqueName="[Range].[Time_of_Purchase]" caption="Time_of_Purchase" attribute="1" time="1" defaultMemberUniqueName="[Range].[Time_of_Purchase].[All]" allUniqueName="[Range].[Time_of_Purchase].[All]" dimensionUniqueName="[Range]" displayFolder="" count="0" memberValueDatatype="7" unbalanced="0"/>
    <cacheHierarchy uniqueName="[Range].[Month]" caption="Month" attribute="1" defaultMemberUniqueName="[Range].[Month].[All]" allUniqueName="[Range].[Month].[All]" dimensionUniqueName="[Range]" displayFolder="" count="0" memberValueDatatype="130" unbalanced="0"/>
    <cacheHierarchy uniqueName="[Range].[Year]" caption="Year" attribute="1" defaultMemberUniqueName="[Range].[Year].[All]" allUniqueName="[Range].[Year].[All]" dimensionUniqueName="[Range]" displayFolder="" count="0" memberValueDatatype="130" unbalanced="0"/>
    <cacheHierarchy uniqueName="[Range].[Discount_Used]" caption="Discount_Used" attribute="1" defaultMemberUniqueName="[Range].[Discount_Used].[All]" allUniqueName="[Range].[Discount_Used].[All]" dimensionUniqueName="[Range]" displayFolder="" count="0" memberValueDatatype="11" unbalanced="0"/>
    <cacheHierarchy uniqueName="[Range].[Customer_Loyalty_Program_Member]" caption="Customer_Loyalty_Program_Member" attribute="1" defaultMemberUniqueName="[Range].[Customer_Loyalty_Program_Member].[All]" allUniqueName="[Range].[Customer_Loyalty_Program_Member].[All]" dimensionUniqueName="[Range]" displayFolder="" count="0" memberValueDatatype="11" unbalanced="0"/>
    <cacheHierarchy uniqueName="[Range].[Purchase_Intent]" caption="Purchase_Intent" attribute="1" defaultMemberUniqueName="[Range].[Purchase_Intent].[All]" allUniqueName="[Range].[Purchase_Intent].[All]" dimensionUniqueName="[Range]" displayFolder="" count="0" memberValueDatatype="130" unbalanced="0"/>
    <cacheHierarchy uniqueName="[Range].[Shipping_Preference]" caption="Shipping_Preference" attribute="1" defaultMemberUniqueName="[Range].[Shipping_Preference].[All]" allUniqueName="[Range].[Shipping_Preference].[All]" dimensionUniqueName="[Range]" displayFolder="" count="0" memberValueDatatype="130" unbalanced="0"/>
    <cacheHierarchy uniqueName="[Range].[Time_to_Decision]" caption="Time_to_Decision" attribute="1" defaultMemberUniqueName="[Range].[Time_to_Decision].[All]" allUniqueName="[Range].[Time_to_Decision].[All]" dimensionUniqueName="[Range]" displayFolder="" count="0" memberValueDatatype="20" unbalanced="0"/>
    <cacheHierarchy uniqueName="[Range].[Time_of_Purchase (Year)]" caption="Time_of_Purchase (Year)" attribute="1" defaultMemberUniqueName="[Range].[Time_of_Purchase (Year)].[All]" allUniqueName="[Range].[Time_of_Purchase (Year)].[All]" dimensionUniqueName="[Range]" displayFolder="" count="0" memberValueDatatype="130" unbalanced="0"/>
    <cacheHierarchy uniqueName="[Range].[Time_of_Purchase (Quarter)]" caption="Time_of_Purchase (Quarter)" attribute="1" defaultMemberUniqueName="[Range].[Time_of_Purchase (Quarter)].[All]" allUniqueName="[Range].[Time_of_Purchase (Quarter)].[All]" dimensionUniqueName="[Range]" displayFolder="" count="0" memberValueDatatype="130" unbalanced="0"/>
    <cacheHierarchy uniqueName="[Range].[Time_of_Purchase (Month)]" caption="Time_of_Purchase (Month)" attribute="1" defaultMemberUniqueName="[Range].[Time_of_Purchase (Month)].[All]" allUniqueName="[Range].[Time_of_Purchase (Month)].[All]" dimensionUniqueName="[Range]" displayFolder="" count="0" memberValueDatatype="130" unbalanced="0"/>
    <cacheHierarchy uniqueName="[Range].[Time_of_Purchase (Month Index)]" caption="Time_of_Purchase (Month Index)" attribute="1" defaultMemberUniqueName="[Range].[Time_of_Purchase (Month Index)].[All]" allUniqueName="[Range].[Time_of_Purchase (Month Index)].[All]" dimensionUniqueName="[Range]" displayFolder="" count="0" memberValueDatatype="20" unbalanced="0" hidden="1"/>
    <cacheHierarchy uniqueName="[Measures].[__XL_Count Range]" caption="__XL_Count Range" measure="1" displayFolder="" measureGroup="Range" count="0" hidden="1"/>
    <cacheHierarchy uniqueName="[Measures].[__No measures defined]" caption="__No measures defined" measure="1" displayFolder="" count="0" hidden="1"/>
    <cacheHierarchy uniqueName="[Measures].[Sum of Purchase_Amount]" caption="Sum of Purchase_Amount" measure="1" displayFolder="" measureGroup="Range" count="0" oneField="1" hidden="1">
      <fieldsUsage count="1">
        <fieldUsage x="0"/>
      </fieldsUsage>
      <extLst>
        <ext xmlns:x15="http://schemas.microsoft.com/office/spreadsheetml/2010/11/main" uri="{B97F6D7D-B522-45F9-BDA1-12C45D357490}">
          <x15:cacheHierarchy aggregatedColumn="10"/>
        </ext>
      </extLst>
    </cacheHierarchy>
    <cacheHierarchy uniqueName="[Measures].[Sum of Time_Spent_on_Product_Research(hours)]" caption="Sum of Time_Spent_on_Product_Research(hours)" measure="1" displayFolder="" measureGroup="Range" count="0" hidden="1">
      <extLst>
        <ext xmlns:x15="http://schemas.microsoft.com/office/spreadsheetml/2010/11/main" uri="{B97F6D7D-B522-45F9-BDA1-12C45D357490}">
          <x15:cacheHierarchy aggregatedColumn="15"/>
        </ext>
      </extLst>
    </cacheHierarchy>
    <cacheHierarchy uniqueName="[Measures].[Sum of Time_to_Decision]" caption="Sum of Time_to_Decision" measure="1" displayFolder="" measureGroup="Range" count="0" hidden="1">
      <extLst>
        <ext xmlns:x15="http://schemas.microsoft.com/office/spreadsheetml/2010/11/main" uri="{B97F6D7D-B522-45F9-BDA1-12C45D357490}">
          <x15:cacheHierarchy aggregatedColumn="30"/>
        </ext>
      </extLst>
    </cacheHierarchy>
    <cacheHierarchy uniqueName="[Measures].[Sum of Brand_Loyalty]" caption="Sum of Brand_Loyalty" measure="1" displayFolder="" measureGroup="Range" count="0" hidden="1"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Average of Purchase_Amount]" caption="Average of Purchase_Amount" measure="1" displayFolder="" measureGroup="Range" count="0" hidden="1">
      <extLst>
        <ext xmlns:x15="http://schemas.microsoft.com/office/spreadsheetml/2010/11/main" uri="{B97F6D7D-B522-45F9-BDA1-12C45D357490}">
          <x15:cacheHierarchy aggregatedColumn="10"/>
        </ext>
      </extLst>
    </cacheHierarchy>
    <cacheHierarchy uniqueName="[Measures].[Sum of Return_Rate]" caption="Sum of Return_Rate" measure="1" displayFolder="" measureGroup="Range" count="0" hidden="1">
      <extLst>
        <ext xmlns:x15="http://schemas.microsoft.com/office/spreadsheetml/2010/11/main" uri="{B97F6D7D-B522-45F9-BDA1-12C45D357490}">
          <x15:cacheHierarchy aggregatedColumn="18"/>
        </ext>
      </extLst>
    </cacheHierarchy>
    <cacheHierarchy uniqueName="[Measures].[Sum of Product_Rating]" caption="Sum of Product_Rating" measure="1" displayFolder="" measureGroup="Range" count="0" hidden="1">
      <extLst>
        <ext xmlns:x15="http://schemas.microsoft.com/office/spreadsheetml/2010/11/main" uri="{B97F6D7D-B522-45F9-BDA1-12C45D357490}">
          <x15:cacheHierarchy aggregatedColumn="14"/>
        </ext>
      </extLst>
    </cacheHierarchy>
    <cacheHierarchy uniqueName="[Measures].[Sum of Customer_Satisfaction]" caption="Sum of Customer_Satisfaction" measure="1" displayFolder="" measureGroup="Range" count="0" hidden="1">
      <extLst>
        <ext xmlns:x15="http://schemas.microsoft.com/office/spreadsheetml/2010/11/main" uri="{B97F6D7D-B522-45F9-BDA1-12C45D357490}">
          <x15:cacheHierarchy aggregatedColumn="19"/>
        </ext>
      </extLst>
    </cacheHierarchy>
    <cacheHierarchy uniqueName="[Measures].[Average of Customer_Satisfaction]" caption="Average of Customer_Satisfaction" measure="1" displayFolder="" measureGroup="Range" count="0" hidden="1">
      <extLst>
        <ext xmlns:x15="http://schemas.microsoft.com/office/spreadsheetml/2010/11/main" uri="{B97F6D7D-B522-45F9-BDA1-12C45D357490}">
          <x15:cacheHierarchy aggregatedColumn="19"/>
        </ext>
      </extLst>
    </cacheHierarchy>
  </cacheHierarchies>
  <kpis count="0"/>
  <dimensions count="2">
    <dimension measure="1" name="Measures" uniqueName="[Measures]" caption="Measures"/>
    <dimension name="Range" uniqueName="[Range]" caption="Range"/>
  </dimensions>
  <measureGroups count="1">
    <measureGroup name="Range" caption="Range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15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SHILPA ROY" refreshedDate="46174.033465972221" backgroundQuery="1" createdVersion="8" refreshedVersion="8" minRefreshableVersion="3" recordCount="0" supportSubquery="1" supportAdvancedDrill="1" xr:uid="{FB44F549-363B-4F9C-9523-C6EF826C7F55}">
  <cacheSource type="external" connectionId="1"/>
  <cacheFields count="2">
    <cacheField name="[Range].[Engagement_with_Ads].[Engagement_with_Ads]" caption="Engagement_with_Ads" numFmtId="0" hierarchy="20" level="1">
      <sharedItems count="4">
        <s v="High"/>
        <s v="Low"/>
        <s v="Medium"/>
        <s v="None"/>
      </sharedItems>
    </cacheField>
    <cacheField name="[Measures].[Sum of Purchase_Amount]" caption="Sum of Purchase_Amount" numFmtId="0" hierarchy="37" level="32767"/>
  </cacheFields>
  <cacheHierarchies count="46">
    <cacheHierarchy uniqueName="[Range].[Customer_ID]" caption="Customer_ID" attribute="1" defaultMemberUniqueName="[Range].[Customer_ID].[All]" allUniqueName="[Range].[Customer_ID].[All]" dimensionUniqueName="[Range]" displayFolder="" count="0" memberValueDatatype="130" unbalanced="0"/>
    <cacheHierarchy uniqueName="[Range].[Age]" caption="Age" attribute="1" defaultMemberUniqueName="[Range].[Age].[All]" allUniqueName="[Range].[Age].[All]" dimensionUniqueName="[Range]" displayFolder="" count="0" memberValueDatatype="20" unbalanced="0"/>
    <cacheHierarchy uniqueName="[Range].[Age-Group]" caption="Age-Group" attribute="1" defaultMemberUniqueName="[Range].[Age-Group].[All]" allUniqueName="[Range].[Age-Group].[All]" dimensionUniqueName="[Range]" displayFolder="" count="0" memberValueDatatype="130" unbalanced="0"/>
    <cacheHierarchy uniqueName="[Range].[Gender]" caption="Gender" attribute="1" defaultMemberUniqueName="[Range].[Gender].[All]" allUniqueName="[Range].[Gender].[All]" dimensionUniqueName="[Range]" displayFolder="" count="0" memberValueDatatype="130" unbalanced="0"/>
    <cacheHierarchy uniqueName="[Range].[Income_Level]" caption="Income_Level" attribute="1" defaultMemberUniqueName="[Range].[Income_Level].[All]" allUniqueName="[Range].[Income_Level].[All]" dimensionUniqueName="[Range]" displayFolder="" count="0" memberValueDatatype="130" unbalanced="0"/>
    <cacheHierarchy uniqueName="[Range].[Marital_Status]" caption="Marital_Status" attribute="1" defaultMemberUniqueName="[Range].[Marital_Status].[All]" allUniqueName="[Range].[Marital_Status].[All]" dimensionUniqueName="[Range]" displayFolder="" count="0" memberValueDatatype="130" unbalanced="0"/>
    <cacheHierarchy uniqueName="[Range].[Education_Level]" caption="Education_Level" attribute="1" defaultMemberUniqueName="[Range].[Education_Level].[All]" allUniqueName="[Range].[Education_Level].[All]" dimensionUniqueName="[Range]" displayFolder="" count="0" memberValueDatatype="130" unbalanced="0"/>
    <cacheHierarchy uniqueName="[Range].[Occupation]" caption="Occupation" attribute="1" defaultMemberUniqueName="[Range].[Occupation].[All]" allUniqueName="[Range].[Occupation].[All]" dimensionUniqueName="[Range]" displayFolder="" count="0" memberValueDatatype="130" unbalanced="0"/>
    <cacheHierarchy uniqueName="[Range].[Location]" caption="Location" attribute="1" defaultMemberUniqueName="[Range].[Location].[All]" allUniqueName="[Range].[Location].[All]" dimensionUniqueName="[Range]" displayFolder="" count="0" memberValueDatatype="130" unbalanced="0"/>
    <cacheHierarchy uniqueName="[Range].[Purchase_Category]" caption="Purchase_Category" attribute="1" defaultMemberUniqueName="[Range].[Purchase_Category].[All]" allUniqueName="[Range].[Purchase_Category].[All]" dimensionUniqueName="[Range]" displayFolder="" count="0" memberValueDatatype="130" unbalanced="0"/>
    <cacheHierarchy uniqueName="[Range].[Purchase_Amount]" caption="Purchase_Amount" attribute="1" defaultMemberUniqueName="[Range].[Purchase_Amount].[All]" allUniqueName="[Range].[Purchase_Amount].[All]" dimensionUniqueName="[Range]" displayFolder="" count="0" memberValueDatatype="5" unbalanced="0"/>
    <cacheHierarchy uniqueName="[Range].[Frequency_of_Purchase]" caption="Frequency_of_Purchase" attribute="1" defaultMemberUniqueName="[Range].[Frequency_of_Purchase].[All]" allUniqueName="[Range].[Frequency_of_Purchase].[All]" dimensionUniqueName="[Range]" displayFolder="" count="0" memberValueDatatype="20" unbalanced="0"/>
    <cacheHierarchy uniqueName="[Range].[Purchase_Channel]" caption="Purchase_Channel" attribute="1" defaultMemberUniqueName="[Range].[Purchase_Channel].[All]" allUniqueName="[Range].[Purchase_Channel].[All]" dimensionUniqueName="[Range]" displayFolder="" count="0" memberValueDatatype="130" unbalanced="0"/>
    <cacheHierarchy uniqueName="[Range].[Brand_Loyalty]" caption="Brand_Loyalty" attribute="1" defaultMemberUniqueName="[Range].[Brand_Loyalty].[All]" allUniqueName="[Range].[Brand_Loyalty].[All]" dimensionUniqueName="[Range]" displayFolder="" count="0" memberValueDatatype="20" unbalanced="0"/>
    <cacheHierarchy uniqueName="[Range].[Product_Rating]" caption="Product_Rating" attribute="1" defaultMemberUniqueName="[Range].[Product_Rating].[All]" allUniqueName="[Range].[Product_Rating].[All]" dimensionUniqueName="[Range]" displayFolder="" count="0" memberValueDatatype="20" unbalanced="0"/>
    <cacheHierarchy uniqueName="[Range].[Time_Spent_on_Product_Research(hours)]" caption="Time_Spent_on_Product_Research(hours)" attribute="1" defaultMemberUniqueName="[Range].[Time_Spent_on_Product_Research(hours)].[All]" allUniqueName="[Range].[Time_Spent_on_Product_Research(hours)].[All]" dimensionUniqueName="[Range]" displayFolder="" count="0" memberValueDatatype="5" unbalanced="0"/>
    <cacheHierarchy uniqueName="[Range].[Social_Media_Influence]" caption="Social_Media_Influence" attribute="1" defaultMemberUniqueName="[Range].[Social_Media_Influence].[All]" allUniqueName="[Range].[Social_Media_Influence].[All]" dimensionUniqueName="[Range]" displayFolder="" count="0" memberValueDatatype="130" unbalanced="0"/>
    <cacheHierarchy uniqueName="[Range].[Discount_Sensitivity]" caption="Discount_Sensitivity" attribute="1" defaultMemberUniqueName="[Range].[Discount_Sensitivity].[All]" allUniqueName="[Range].[Discount_Sensitivity].[All]" dimensionUniqueName="[Range]" displayFolder="" count="0" memberValueDatatype="130" unbalanced="0"/>
    <cacheHierarchy uniqueName="[Range].[Return_Rate]" caption="Return_Rate" attribute="1" defaultMemberUniqueName="[Range].[Return_Rate].[All]" allUniqueName="[Range].[Return_Rate].[All]" dimensionUniqueName="[Range]" displayFolder="" count="0" memberValueDatatype="20" unbalanced="0"/>
    <cacheHierarchy uniqueName="[Range].[Customer_Satisfaction]" caption="Customer_Satisfaction" attribute="1" defaultMemberUniqueName="[Range].[Customer_Satisfaction].[All]" allUniqueName="[Range].[Customer_Satisfaction].[All]" dimensionUniqueName="[Range]" displayFolder="" count="0" memberValueDatatype="20" unbalanced="0"/>
    <cacheHierarchy uniqueName="[Range].[Engagement_with_Ads]" caption="Engagement_with_Ads" attribute="1" defaultMemberUniqueName="[Range].[Engagement_with_Ads].[All]" allUniqueName="[Range].[Engagement_with_Ads].[All]" dimensionUniqueName="[Range]" displayFolder="" count="2" memberValueDatatype="130" unbalanced="0">
      <fieldsUsage count="2">
        <fieldUsage x="-1"/>
        <fieldUsage x="0"/>
      </fieldsUsage>
    </cacheHierarchy>
    <cacheHierarchy uniqueName="[Range].[Device_Used_for_Shopping]" caption="Device_Used_for_Shopping" attribute="1" defaultMemberUniqueName="[Range].[Device_Used_for_Shopping].[All]" allUniqueName="[Range].[Device_Used_for_Shopping].[All]" dimensionUniqueName="[Range]" displayFolder="" count="0" memberValueDatatype="130" unbalanced="0"/>
    <cacheHierarchy uniqueName="[Range].[Payment_Method]" caption="Payment_Method" attribute="1" defaultMemberUniqueName="[Range].[Payment_Method].[All]" allUniqueName="[Range].[Payment_Method].[All]" dimensionUniqueName="[Range]" displayFolder="" count="0" memberValueDatatype="130" unbalanced="0"/>
    <cacheHierarchy uniqueName="[Range].[Time_of_Purchase]" caption="Time_of_Purchase" attribute="1" time="1" defaultMemberUniqueName="[Range].[Time_of_Purchase].[All]" allUniqueName="[Range].[Time_of_Purchase].[All]" dimensionUniqueName="[Range]" displayFolder="" count="0" memberValueDatatype="7" unbalanced="0"/>
    <cacheHierarchy uniqueName="[Range].[Month]" caption="Month" attribute="1" defaultMemberUniqueName="[Range].[Month].[All]" allUniqueName="[Range].[Month].[All]" dimensionUniqueName="[Range]" displayFolder="" count="0" memberValueDatatype="130" unbalanced="0"/>
    <cacheHierarchy uniqueName="[Range].[Year]" caption="Year" attribute="1" defaultMemberUniqueName="[Range].[Year].[All]" allUniqueName="[Range].[Year].[All]" dimensionUniqueName="[Range]" displayFolder="" count="0" memberValueDatatype="130" unbalanced="0"/>
    <cacheHierarchy uniqueName="[Range].[Discount_Used]" caption="Discount_Used" attribute="1" defaultMemberUniqueName="[Range].[Discount_Used].[All]" allUniqueName="[Range].[Discount_Used].[All]" dimensionUniqueName="[Range]" displayFolder="" count="0" memberValueDatatype="11" unbalanced="0"/>
    <cacheHierarchy uniqueName="[Range].[Customer_Loyalty_Program_Member]" caption="Customer_Loyalty_Program_Member" attribute="1" defaultMemberUniqueName="[Range].[Customer_Loyalty_Program_Member].[All]" allUniqueName="[Range].[Customer_Loyalty_Program_Member].[All]" dimensionUniqueName="[Range]" displayFolder="" count="0" memberValueDatatype="11" unbalanced="0"/>
    <cacheHierarchy uniqueName="[Range].[Purchase_Intent]" caption="Purchase_Intent" attribute="1" defaultMemberUniqueName="[Range].[Purchase_Intent].[All]" allUniqueName="[Range].[Purchase_Intent].[All]" dimensionUniqueName="[Range]" displayFolder="" count="0" memberValueDatatype="130" unbalanced="0"/>
    <cacheHierarchy uniqueName="[Range].[Shipping_Preference]" caption="Shipping_Preference" attribute="1" defaultMemberUniqueName="[Range].[Shipping_Preference].[All]" allUniqueName="[Range].[Shipping_Preference].[All]" dimensionUniqueName="[Range]" displayFolder="" count="0" memberValueDatatype="130" unbalanced="0"/>
    <cacheHierarchy uniqueName="[Range].[Time_to_Decision]" caption="Time_to_Decision" attribute="1" defaultMemberUniqueName="[Range].[Time_to_Decision].[All]" allUniqueName="[Range].[Time_to_Decision].[All]" dimensionUniqueName="[Range]" displayFolder="" count="0" memberValueDatatype="20" unbalanced="0"/>
    <cacheHierarchy uniqueName="[Range].[Time_of_Purchase (Year)]" caption="Time_of_Purchase (Year)" attribute="1" defaultMemberUniqueName="[Range].[Time_of_Purchase (Year)].[All]" allUniqueName="[Range].[Time_of_Purchase (Year)].[All]" dimensionUniqueName="[Range]" displayFolder="" count="0" memberValueDatatype="130" unbalanced="0"/>
    <cacheHierarchy uniqueName="[Range].[Time_of_Purchase (Quarter)]" caption="Time_of_Purchase (Quarter)" attribute="1" defaultMemberUniqueName="[Range].[Time_of_Purchase (Quarter)].[All]" allUniqueName="[Range].[Time_of_Purchase (Quarter)].[All]" dimensionUniqueName="[Range]" displayFolder="" count="0" memberValueDatatype="130" unbalanced="0"/>
    <cacheHierarchy uniqueName="[Range].[Time_of_Purchase (Month)]" caption="Time_of_Purchase (Month)" attribute="1" defaultMemberUniqueName="[Range].[Time_of_Purchase (Month)].[All]" allUniqueName="[Range].[Time_of_Purchase (Month)].[All]" dimensionUniqueName="[Range]" displayFolder="" count="0" memberValueDatatype="130" unbalanced="0"/>
    <cacheHierarchy uniqueName="[Range].[Time_of_Purchase (Month Index)]" caption="Time_of_Purchase (Month Index)" attribute="1" defaultMemberUniqueName="[Range].[Time_of_Purchase (Month Index)].[All]" allUniqueName="[Range].[Time_of_Purchase (Month Index)].[All]" dimensionUniqueName="[Range]" displayFolder="" count="0" memberValueDatatype="20" unbalanced="0" hidden="1"/>
    <cacheHierarchy uniqueName="[Measures].[__XL_Count Range]" caption="__XL_Count Range" measure="1" displayFolder="" measureGroup="Range" count="0" hidden="1"/>
    <cacheHierarchy uniqueName="[Measures].[__No measures defined]" caption="__No measures defined" measure="1" displayFolder="" count="0" hidden="1"/>
    <cacheHierarchy uniqueName="[Measures].[Sum of Purchase_Amount]" caption="Sum of Purchase_Amount" measure="1" displayFolder="" measureGroup="Range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10"/>
        </ext>
      </extLst>
    </cacheHierarchy>
    <cacheHierarchy uniqueName="[Measures].[Sum of Time_Spent_on_Product_Research(hours)]" caption="Sum of Time_Spent_on_Product_Research(hours)" measure="1" displayFolder="" measureGroup="Range" count="0" hidden="1">
      <extLst>
        <ext xmlns:x15="http://schemas.microsoft.com/office/spreadsheetml/2010/11/main" uri="{B97F6D7D-B522-45F9-BDA1-12C45D357490}">
          <x15:cacheHierarchy aggregatedColumn="15"/>
        </ext>
      </extLst>
    </cacheHierarchy>
    <cacheHierarchy uniqueName="[Measures].[Sum of Time_to_Decision]" caption="Sum of Time_to_Decision" measure="1" displayFolder="" measureGroup="Range" count="0" hidden="1">
      <extLst>
        <ext xmlns:x15="http://schemas.microsoft.com/office/spreadsheetml/2010/11/main" uri="{B97F6D7D-B522-45F9-BDA1-12C45D357490}">
          <x15:cacheHierarchy aggregatedColumn="30"/>
        </ext>
      </extLst>
    </cacheHierarchy>
    <cacheHierarchy uniqueName="[Measures].[Sum of Brand_Loyalty]" caption="Sum of Brand_Loyalty" measure="1" displayFolder="" measureGroup="Range" count="0" hidden="1"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Average of Purchase_Amount]" caption="Average of Purchase_Amount" measure="1" displayFolder="" measureGroup="Range" count="0" hidden="1">
      <extLst>
        <ext xmlns:x15="http://schemas.microsoft.com/office/spreadsheetml/2010/11/main" uri="{B97F6D7D-B522-45F9-BDA1-12C45D357490}">
          <x15:cacheHierarchy aggregatedColumn="10"/>
        </ext>
      </extLst>
    </cacheHierarchy>
    <cacheHierarchy uniqueName="[Measures].[Sum of Return_Rate]" caption="Sum of Return_Rate" measure="1" displayFolder="" measureGroup="Range" count="0" hidden="1">
      <extLst>
        <ext xmlns:x15="http://schemas.microsoft.com/office/spreadsheetml/2010/11/main" uri="{B97F6D7D-B522-45F9-BDA1-12C45D357490}">
          <x15:cacheHierarchy aggregatedColumn="18"/>
        </ext>
      </extLst>
    </cacheHierarchy>
    <cacheHierarchy uniqueName="[Measures].[Sum of Product_Rating]" caption="Sum of Product_Rating" measure="1" displayFolder="" measureGroup="Range" count="0" hidden="1">
      <extLst>
        <ext xmlns:x15="http://schemas.microsoft.com/office/spreadsheetml/2010/11/main" uri="{B97F6D7D-B522-45F9-BDA1-12C45D357490}">
          <x15:cacheHierarchy aggregatedColumn="14"/>
        </ext>
      </extLst>
    </cacheHierarchy>
    <cacheHierarchy uniqueName="[Measures].[Sum of Customer_Satisfaction]" caption="Sum of Customer_Satisfaction" measure="1" displayFolder="" measureGroup="Range" count="0" hidden="1">
      <extLst>
        <ext xmlns:x15="http://schemas.microsoft.com/office/spreadsheetml/2010/11/main" uri="{B97F6D7D-B522-45F9-BDA1-12C45D357490}">
          <x15:cacheHierarchy aggregatedColumn="19"/>
        </ext>
      </extLst>
    </cacheHierarchy>
    <cacheHierarchy uniqueName="[Measures].[Average of Customer_Satisfaction]" caption="Average of Customer_Satisfaction" measure="1" displayFolder="" measureGroup="Range" count="0" hidden="1">
      <extLst>
        <ext xmlns:x15="http://schemas.microsoft.com/office/spreadsheetml/2010/11/main" uri="{B97F6D7D-B522-45F9-BDA1-12C45D357490}">
          <x15:cacheHierarchy aggregatedColumn="19"/>
        </ext>
      </extLst>
    </cacheHierarchy>
  </cacheHierarchies>
  <kpis count="0"/>
  <dimensions count="2">
    <dimension measure="1" name="Measures" uniqueName="[Measures]" caption="Measures"/>
    <dimension name="Range" uniqueName="[Range]" caption="Range"/>
  </dimensions>
  <measureGroups count="1">
    <measureGroup name="Range" caption="Range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16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SHILPA ROY" refreshedDate="46174.031530092594" backgroundQuery="1" createdVersion="8" refreshedVersion="8" minRefreshableVersion="3" recordCount="0" supportSubquery="1" supportAdvancedDrill="1" xr:uid="{82A41657-9D3E-4607-A64A-7FDD86056123}">
  <cacheSource type="external" connectionId="1"/>
  <cacheFields count="2">
    <cacheField name="[Measures].[Sum of Purchase_Amount]" caption="Sum of Purchase_Amount" numFmtId="0" hierarchy="37" level="32767"/>
    <cacheField name="[Range].[Return_Rate].[Return_Rate]" caption="Return_Rate" numFmtId="0" hierarchy="18" level="1">
      <sharedItems containsSemiMixedTypes="0" containsString="0" containsNumber="1" containsInteger="1" minValue="0" maxValue="2" count="3">
        <n v="0"/>
        <n v="1"/>
        <n v="2"/>
      </sharedItems>
      <extLst>
        <ext xmlns:x15="http://schemas.microsoft.com/office/spreadsheetml/2010/11/main" uri="{4F2E5C28-24EA-4eb8-9CBF-B6C8F9C3D259}">
          <x15:cachedUniqueNames>
            <x15:cachedUniqueName index="0" name="[Range].[Return_Rate].&amp;[0]"/>
            <x15:cachedUniqueName index="1" name="[Range].[Return_Rate].&amp;[1]"/>
            <x15:cachedUniqueName index="2" name="[Range].[Return_Rate].&amp;[2]"/>
          </x15:cachedUniqueNames>
        </ext>
      </extLst>
    </cacheField>
  </cacheFields>
  <cacheHierarchies count="46">
    <cacheHierarchy uniqueName="[Range].[Customer_ID]" caption="Customer_ID" attribute="1" defaultMemberUniqueName="[Range].[Customer_ID].[All]" allUniqueName="[Range].[Customer_ID].[All]" dimensionUniqueName="[Range]" displayFolder="" count="0" memberValueDatatype="130" unbalanced="0"/>
    <cacheHierarchy uniqueName="[Range].[Age]" caption="Age" attribute="1" defaultMemberUniqueName="[Range].[Age].[All]" allUniqueName="[Range].[Age].[All]" dimensionUniqueName="[Range]" displayFolder="" count="0" memberValueDatatype="20" unbalanced="0"/>
    <cacheHierarchy uniqueName="[Range].[Age-Group]" caption="Age-Group" attribute="1" defaultMemberUniqueName="[Range].[Age-Group].[All]" allUniqueName="[Range].[Age-Group].[All]" dimensionUniqueName="[Range]" displayFolder="" count="0" memberValueDatatype="130" unbalanced="0"/>
    <cacheHierarchy uniqueName="[Range].[Gender]" caption="Gender" attribute="1" defaultMemberUniqueName="[Range].[Gender].[All]" allUniqueName="[Range].[Gender].[All]" dimensionUniqueName="[Range]" displayFolder="" count="0" memberValueDatatype="130" unbalanced="0"/>
    <cacheHierarchy uniqueName="[Range].[Income_Level]" caption="Income_Level" attribute="1" defaultMemberUniqueName="[Range].[Income_Level].[All]" allUniqueName="[Range].[Income_Level].[All]" dimensionUniqueName="[Range]" displayFolder="" count="0" memberValueDatatype="130" unbalanced="0"/>
    <cacheHierarchy uniqueName="[Range].[Marital_Status]" caption="Marital_Status" attribute="1" defaultMemberUniqueName="[Range].[Marital_Status].[All]" allUniqueName="[Range].[Marital_Status].[All]" dimensionUniqueName="[Range]" displayFolder="" count="0" memberValueDatatype="130" unbalanced="0"/>
    <cacheHierarchy uniqueName="[Range].[Education_Level]" caption="Education_Level" attribute="1" defaultMemberUniqueName="[Range].[Education_Level].[All]" allUniqueName="[Range].[Education_Level].[All]" dimensionUniqueName="[Range]" displayFolder="" count="0" memberValueDatatype="130" unbalanced="0"/>
    <cacheHierarchy uniqueName="[Range].[Occupation]" caption="Occupation" attribute="1" defaultMemberUniqueName="[Range].[Occupation].[All]" allUniqueName="[Range].[Occupation].[All]" dimensionUniqueName="[Range]" displayFolder="" count="0" memberValueDatatype="130" unbalanced="0"/>
    <cacheHierarchy uniqueName="[Range].[Location]" caption="Location" attribute="1" defaultMemberUniqueName="[Range].[Location].[All]" allUniqueName="[Range].[Location].[All]" dimensionUniqueName="[Range]" displayFolder="" count="0" memberValueDatatype="130" unbalanced="0"/>
    <cacheHierarchy uniqueName="[Range].[Purchase_Category]" caption="Purchase_Category" attribute="1" defaultMemberUniqueName="[Range].[Purchase_Category].[All]" allUniqueName="[Range].[Purchase_Category].[All]" dimensionUniqueName="[Range]" displayFolder="" count="0" memberValueDatatype="130" unbalanced="0"/>
    <cacheHierarchy uniqueName="[Range].[Purchase_Amount]" caption="Purchase_Amount" attribute="1" defaultMemberUniqueName="[Range].[Purchase_Amount].[All]" allUniqueName="[Range].[Purchase_Amount].[All]" dimensionUniqueName="[Range]" displayFolder="" count="0" memberValueDatatype="5" unbalanced="0"/>
    <cacheHierarchy uniqueName="[Range].[Frequency_of_Purchase]" caption="Frequency_of_Purchase" attribute="1" defaultMemberUniqueName="[Range].[Frequency_of_Purchase].[All]" allUniqueName="[Range].[Frequency_of_Purchase].[All]" dimensionUniqueName="[Range]" displayFolder="" count="0" memberValueDatatype="20" unbalanced="0"/>
    <cacheHierarchy uniqueName="[Range].[Purchase_Channel]" caption="Purchase_Channel" attribute="1" defaultMemberUniqueName="[Range].[Purchase_Channel].[All]" allUniqueName="[Range].[Purchase_Channel].[All]" dimensionUniqueName="[Range]" displayFolder="" count="0" memberValueDatatype="130" unbalanced="0"/>
    <cacheHierarchy uniqueName="[Range].[Brand_Loyalty]" caption="Brand_Loyalty" attribute="1" defaultMemberUniqueName="[Range].[Brand_Loyalty].[All]" allUniqueName="[Range].[Brand_Loyalty].[All]" dimensionUniqueName="[Range]" displayFolder="" count="0" memberValueDatatype="20" unbalanced="0"/>
    <cacheHierarchy uniqueName="[Range].[Product_Rating]" caption="Product_Rating" attribute="1" defaultMemberUniqueName="[Range].[Product_Rating].[All]" allUniqueName="[Range].[Product_Rating].[All]" dimensionUniqueName="[Range]" displayFolder="" count="0" memberValueDatatype="20" unbalanced="0"/>
    <cacheHierarchy uniqueName="[Range].[Time_Spent_on_Product_Research(hours)]" caption="Time_Spent_on_Product_Research(hours)" attribute="1" defaultMemberUniqueName="[Range].[Time_Spent_on_Product_Research(hours)].[All]" allUniqueName="[Range].[Time_Spent_on_Product_Research(hours)].[All]" dimensionUniqueName="[Range]" displayFolder="" count="0" memberValueDatatype="5" unbalanced="0"/>
    <cacheHierarchy uniqueName="[Range].[Social_Media_Influence]" caption="Social_Media_Influence" attribute="1" defaultMemberUniqueName="[Range].[Social_Media_Influence].[All]" allUniqueName="[Range].[Social_Media_Influence].[All]" dimensionUniqueName="[Range]" displayFolder="" count="0" memberValueDatatype="130" unbalanced="0"/>
    <cacheHierarchy uniqueName="[Range].[Discount_Sensitivity]" caption="Discount_Sensitivity" attribute="1" defaultMemberUniqueName="[Range].[Discount_Sensitivity].[All]" allUniqueName="[Range].[Discount_Sensitivity].[All]" dimensionUniqueName="[Range]" displayFolder="" count="0" memberValueDatatype="130" unbalanced="0"/>
    <cacheHierarchy uniqueName="[Range].[Return_Rate]" caption="Return_Rate" attribute="1" defaultMemberUniqueName="[Range].[Return_Rate].[All]" allUniqueName="[Range].[Return_Rate].[All]" dimensionUniqueName="[Range]" displayFolder="" count="2" memberValueDatatype="20" unbalanced="0">
      <fieldsUsage count="2">
        <fieldUsage x="-1"/>
        <fieldUsage x="1"/>
      </fieldsUsage>
    </cacheHierarchy>
    <cacheHierarchy uniqueName="[Range].[Customer_Satisfaction]" caption="Customer_Satisfaction" attribute="1" defaultMemberUniqueName="[Range].[Customer_Satisfaction].[All]" allUniqueName="[Range].[Customer_Satisfaction].[All]" dimensionUniqueName="[Range]" displayFolder="" count="0" memberValueDatatype="20" unbalanced="0"/>
    <cacheHierarchy uniqueName="[Range].[Engagement_with_Ads]" caption="Engagement_with_Ads" attribute="1" defaultMemberUniqueName="[Range].[Engagement_with_Ads].[All]" allUniqueName="[Range].[Engagement_with_Ads].[All]" dimensionUniqueName="[Range]" displayFolder="" count="0" memberValueDatatype="130" unbalanced="0"/>
    <cacheHierarchy uniqueName="[Range].[Device_Used_for_Shopping]" caption="Device_Used_for_Shopping" attribute="1" defaultMemberUniqueName="[Range].[Device_Used_for_Shopping].[All]" allUniqueName="[Range].[Device_Used_for_Shopping].[All]" dimensionUniqueName="[Range]" displayFolder="" count="0" memberValueDatatype="130" unbalanced="0"/>
    <cacheHierarchy uniqueName="[Range].[Payment_Method]" caption="Payment_Method" attribute="1" defaultMemberUniqueName="[Range].[Payment_Method].[All]" allUniqueName="[Range].[Payment_Method].[All]" dimensionUniqueName="[Range]" displayFolder="" count="0" memberValueDatatype="130" unbalanced="0"/>
    <cacheHierarchy uniqueName="[Range].[Time_of_Purchase]" caption="Time_of_Purchase" attribute="1" time="1" defaultMemberUniqueName="[Range].[Time_of_Purchase].[All]" allUniqueName="[Range].[Time_of_Purchase].[All]" dimensionUniqueName="[Range]" displayFolder="" count="0" memberValueDatatype="7" unbalanced="0"/>
    <cacheHierarchy uniqueName="[Range].[Month]" caption="Month" attribute="1" defaultMemberUniqueName="[Range].[Month].[All]" allUniqueName="[Range].[Month].[All]" dimensionUniqueName="[Range]" displayFolder="" count="0" memberValueDatatype="130" unbalanced="0"/>
    <cacheHierarchy uniqueName="[Range].[Year]" caption="Year" attribute="1" defaultMemberUniqueName="[Range].[Year].[All]" allUniqueName="[Range].[Year].[All]" dimensionUniqueName="[Range]" displayFolder="" count="0" memberValueDatatype="130" unbalanced="0"/>
    <cacheHierarchy uniqueName="[Range].[Discount_Used]" caption="Discount_Used" attribute="1" defaultMemberUniqueName="[Range].[Discount_Used].[All]" allUniqueName="[Range].[Discount_Used].[All]" dimensionUniqueName="[Range]" displayFolder="" count="0" memberValueDatatype="11" unbalanced="0"/>
    <cacheHierarchy uniqueName="[Range].[Customer_Loyalty_Program_Member]" caption="Customer_Loyalty_Program_Member" attribute="1" defaultMemberUniqueName="[Range].[Customer_Loyalty_Program_Member].[All]" allUniqueName="[Range].[Customer_Loyalty_Program_Member].[All]" dimensionUniqueName="[Range]" displayFolder="" count="0" memberValueDatatype="11" unbalanced="0"/>
    <cacheHierarchy uniqueName="[Range].[Purchase_Intent]" caption="Purchase_Intent" attribute="1" defaultMemberUniqueName="[Range].[Purchase_Intent].[All]" allUniqueName="[Range].[Purchase_Intent].[All]" dimensionUniqueName="[Range]" displayFolder="" count="0" memberValueDatatype="130" unbalanced="0"/>
    <cacheHierarchy uniqueName="[Range].[Shipping_Preference]" caption="Shipping_Preference" attribute="1" defaultMemberUniqueName="[Range].[Shipping_Preference].[All]" allUniqueName="[Range].[Shipping_Preference].[All]" dimensionUniqueName="[Range]" displayFolder="" count="0" memberValueDatatype="130" unbalanced="0"/>
    <cacheHierarchy uniqueName="[Range].[Time_to_Decision]" caption="Time_to_Decision" attribute="1" defaultMemberUniqueName="[Range].[Time_to_Decision].[All]" allUniqueName="[Range].[Time_to_Decision].[All]" dimensionUniqueName="[Range]" displayFolder="" count="0" memberValueDatatype="20" unbalanced="0"/>
    <cacheHierarchy uniqueName="[Range].[Time_of_Purchase (Year)]" caption="Time_of_Purchase (Year)" attribute="1" defaultMemberUniqueName="[Range].[Time_of_Purchase (Year)].[All]" allUniqueName="[Range].[Time_of_Purchase (Year)].[All]" dimensionUniqueName="[Range]" displayFolder="" count="0" memberValueDatatype="130" unbalanced="0"/>
    <cacheHierarchy uniqueName="[Range].[Time_of_Purchase (Quarter)]" caption="Time_of_Purchase (Quarter)" attribute="1" defaultMemberUniqueName="[Range].[Time_of_Purchase (Quarter)].[All]" allUniqueName="[Range].[Time_of_Purchase (Quarter)].[All]" dimensionUniqueName="[Range]" displayFolder="" count="0" memberValueDatatype="130" unbalanced="0"/>
    <cacheHierarchy uniqueName="[Range].[Time_of_Purchase (Month)]" caption="Time_of_Purchase (Month)" attribute="1" defaultMemberUniqueName="[Range].[Time_of_Purchase (Month)].[All]" allUniqueName="[Range].[Time_of_Purchase (Month)].[All]" dimensionUniqueName="[Range]" displayFolder="" count="0" memberValueDatatype="130" unbalanced="0"/>
    <cacheHierarchy uniqueName="[Range].[Time_of_Purchase (Month Index)]" caption="Time_of_Purchase (Month Index)" attribute="1" defaultMemberUniqueName="[Range].[Time_of_Purchase (Month Index)].[All]" allUniqueName="[Range].[Time_of_Purchase (Month Index)].[All]" dimensionUniqueName="[Range]" displayFolder="" count="0" memberValueDatatype="20" unbalanced="0" hidden="1"/>
    <cacheHierarchy uniqueName="[Measures].[__XL_Count Range]" caption="__XL_Count Range" measure="1" displayFolder="" measureGroup="Range" count="0" hidden="1"/>
    <cacheHierarchy uniqueName="[Measures].[__No measures defined]" caption="__No measures defined" measure="1" displayFolder="" count="0" hidden="1"/>
    <cacheHierarchy uniqueName="[Measures].[Sum of Purchase_Amount]" caption="Sum of Purchase_Amount" measure="1" displayFolder="" measureGroup="Range" count="0" oneField="1" hidden="1">
      <fieldsUsage count="1">
        <fieldUsage x="0"/>
      </fieldsUsage>
      <extLst>
        <ext xmlns:x15="http://schemas.microsoft.com/office/spreadsheetml/2010/11/main" uri="{B97F6D7D-B522-45F9-BDA1-12C45D357490}">
          <x15:cacheHierarchy aggregatedColumn="10"/>
        </ext>
      </extLst>
    </cacheHierarchy>
    <cacheHierarchy uniqueName="[Measures].[Sum of Time_Spent_on_Product_Research(hours)]" caption="Sum of Time_Spent_on_Product_Research(hours)" measure="1" displayFolder="" measureGroup="Range" count="0" hidden="1">
      <extLst>
        <ext xmlns:x15="http://schemas.microsoft.com/office/spreadsheetml/2010/11/main" uri="{B97F6D7D-B522-45F9-BDA1-12C45D357490}">
          <x15:cacheHierarchy aggregatedColumn="15"/>
        </ext>
      </extLst>
    </cacheHierarchy>
    <cacheHierarchy uniqueName="[Measures].[Sum of Time_to_Decision]" caption="Sum of Time_to_Decision" measure="1" displayFolder="" measureGroup="Range" count="0" hidden="1">
      <extLst>
        <ext xmlns:x15="http://schemas.microsoft.com/office/spreadsheetml/2010/11/main" uri="{B97F6D7D-B522-45F9-BDA1-12C45D357490}">
          <x15:cacheHierarchy aggregatedColumn="30"/>
        </ext>
      </extLst>
    </cacheHierarchy>
    <cacheHierarchy uniqueName="[Measures].[Sum of Brand_Loyalty]" caption="Sum of Brand_Loyalty" measure="1" displayFolder="" measureGroup="Range" count="0" hidden="1"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Average of Purchase_Amount]" caption="Average of Purchase_Amount" measure="1" displayFolder="" measureGroup="Range" count="0" hidden="1">
      <extLst>
        <ext xmlns:x15="http://schemas.microsoft.com/office/spreadsheetml/2010/11/main" uri="{B97F6D7D-B522-45F9-BDA1-12C45D357490}">
          <x15:cacheHierarchy aggregatedColumn="10"/>
        </ext>
      </extLst>
    </cacheHierarchy>
    <cacheHierarchy uniqueName="[Measures].[Sum of Return_Rate]" caption="Sum of Return_Rate" measure="1" displayFolder="" measureGroup="Range" count="0" hidden="1">
      <extLst>
        <ext xmlns:x15="http://schemas.microsoft.com/office/spreadsheetml/2010/11/main" uri="{B97F6D7D-B522-45F9-BDA1-12C45D357490}">
          <x15:cacheHierarchy aggregatedColumn="18"/>
        </ext>
      </extLst>
    </cacheHierarchy>
    <cacheHierarchy uniqueName="[Measures].[Sum of Product_Rating]" caption="Sum of Product_Rating" measure="1" displayFolder="" measureGroup="Range" count="0" hidden="1">
      <extLst>
        <ext xmlns:x15="http://schemas.microsoft.com/office/spreadsheetml/2010/11/main" uri="{B97F6D7D-B522-45F9-BDA1-12C45D357490}">
          <x15:cacheHierarchy aggregatedColumn="14"/>
        </ext>
      </extLst>
    </cacheHierarchy>
    <cacheHierarchy uniqueName="[Measures].[Sum of Customer_Satisfaction]" caption="Sum of Customer_Satisfaction" measure="1" displayFolder="" measureGroup="Range" count="0" hidden="1">
      <extLst>
        <ext xmlns:x15="http://schemas.microsoft.com/office/spreadsheetml/2010/11/main" uri="{B97F6D7D-B522-45F9-BDA1-12C45D357490}">
          <x15:cacheHierarchy aggregatedColumn="19"/>
        </ext>
      </extLst>
    </cacheHierarchy>
    <cacheHierarchy uniqueName="[Measures].[Average of Customer_Satisfaction]" caption="Average of Customer_Satisfaction" measure="1" displayFolder="" measureGroup="Range" count="0" hidden="1">
      <extLst>
        <ext xmlns:x15="http://schemas.microsoft.com/office/spreadsheetml/2010/11/main" uri="{B97F6D7D-B522-45F9-BDA1-12C45D357490}">
          <x15:cacheHierarchy aggregatedColumn="19"/>
        </ext>
      </extLst>
    </cacheHierarchy>
  </cacheHierarchies>
  <kpis count="0"/>
  <dimensions count="2">
    <dimension measure="1" name="Measures" uniqueName="[Measures]" caption="Measures"/>
    <dimension name="Range" uniqueName="[Range]" caption="Range"/>
  </dimensions>
  <measureGroups count="1">
    <measureGroup name="Range" caption="Range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17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SHILPA ROY" refreshedDate="46174.026175115738" backgroundQuery="1" createdVersion="8" refreshedVersion="8" minRefreshableVersion="3" recordCount="0" supportSubquery="1" supportAdvancedDrill="1" xr:uid="{443D6C61-47AA-4808-889C-03C725A33D7C}">
  <cacheSource type="external" connectionId="1"/>
  <cacheFields count="1">
    <cacheField name="[Measures].[Sum of Purchase_Amount]" caption="Sum of Purchase_Amount" numFmtId="0" hierarchy="37" level="32767"/>
  </cacheFields>
  <cacheHierarchies count="46">
    <cacheHierarchy uniqueName="[Range].[Customer_ID]" caption="Customer_ID" attribute="1" defaultMemberUniqueName="[Range].[Customer_ID].[All]" allUniqueName="[Range].[Customer_ID].[All]" dimensionUniqueName="[Range]" displayFolder="" count="0" memberValueDatatype="130" unbalanced="0"/>
    <cacheHierarchy uniqueName="[Range].[Age]" caption="Age" attribute="1" defaultMemberUniqueName="[Range].[Age].[All]" allUniqueName="[Range].[Age].[All]" dimensionUniqueName="[Range]" displayFolder="" count="0" memberValueDatatype="20" unbalanced="0"/>
    <cacheHierarchy uniqueName="[Range].[Age-Group]" caption="Age-Group" attribute="1" defaultMemberUniqueName="[Range].[Age-Group].[All]" allUniqueName="[Range].[Age-Group].[All]" dimensionUniqueName="[Range]" displayFolder="" count="0" memberValueDatatype="130" unbalanced="0"/>
    <cacheHierarchy uniqueName="[Range].[Gender]" caption="Gender" attribute="1" defaultMemberUniqueName="[Range].[Gender].[All]" allUniqueName="[Range].[Gender].[All]" dimensionUniqueName="[Range]" displayFolder="" count="0" memberValueDatatype="130" unbalanced="0"/>
    <cacheHierarchy uniqueName="[Range].[Income_Level]" caption="Income_Level" attribute="1" defaultMemberUniqueName="[Range].[Income_Level].[All]" allUniqueName="[Range].[Income_Level].[All]" dimensionUniqueName="[Range]" displayFolder="" count="0" memberValueDatatype="130" unbalanced="0"/>
    <cacheHierarchy uniqueName="[Range].[Marital_Status]" caption="Marital_Status" attribute="1" defaultMemberUniqueName="[Range].[Marital_Status].[All]" allUniqueName="[Range].[Marital_Status].[All]" dimensionUniqueName="[Range]" displayFolder="" count="0" memberValueDatatype="130" unbalanced="0"/>
    <cacheHierarchy uniqueName="[Range].[Education_Level]" caption="Education_Level" attribute="1" defaultMemberUniqueName="[Range].[Education_Level].[All]" allUniqueName="[Range].[Education_Level].[All]" dimensionUniqueName="[Range]" displayFolder="" count="0" memberValueDatatype="130" unbalanced="0"/>
    <cacheHierarchy uniqueName="[Range].[Occupation]" caption="Occupation" attribute="1" defaultMemberUniqueName="[Range].[Occupation].[All]" allUniqueName="[Range].[Occupation].[All]" dimensionUniqueName="[Range]" displayFolder="" count="0" memberValueDatatype="130" unbalanced="0"/>
    <cacheHierarchy uniqueName="[Range].[Location]" caption="Location" attribute="1" defaultMemberUniqueName="[Range].[Location].[All]" allUniqueName="[Range].[Location].[All]" dimensionUniqueName="[Range]" displayFolder="" count="0" memberValueDatatype="130" unbalanced="0"/>
    <cacheHierarchy uniqueName="[Range].[Purchase_Category]" caption="Purchase_Category" attribute="1" defaultMemberUniqueName="[Range].[Purchase_Category].[All]" allUniqueName="[Range].[Purchase_Category].[All]" dimensionUniqueName="[Range]" displayFolder="" count="0" memberValueDatatype="130" unbalanced="0"/>
    <cacheHierarchy uniqueName="[Range].[Purchase_Amount]" caption="Purchase_Amount" attribute="1" defaultMemberUniqueName="[Range].[Purchase_Amount].[All]" allUniqueName="[Range].[Purchase_Amount].[All]" dimensionUniqueName="[Range]" displayFolder="" count="0" memberValueDatatype="5" unbalanced="0"/>
    <cacheHierarchy uniqueName="[Range].[Frequency_of_Purchase]" caption="Frequency_of_Purchase" attribute="1" defaultMemberUniqueName="[Range].[Frequency_of_Purchase].[All]" allUniqueName="[Range].[Frequency_of_Purchase].[All]" dimensionUniqueName="[Range]" displayFolder="" count="0" memberValueDatatype="20" unbalanced="0"/>
    <cacheHierarchy uniqueName="[Range].[Purchase_Channel]" caption="Purchase_Channel" attribute="1" defaultMemberUniqueName="[Range].[Purchase_Channel].[All]" allUniqueName="[Range].[Purchase_Channel].[All]" dimensionUniqueName="[Range]" displayFolder="" count="0" memberValueDatatype="130" unbalanced="0"/>
    <cacheHierarchy uniqueName="[Range].[Brand_Loyalty]" caption="Brand_Loyalty" attribute="1" defaultMemberUniqueName="[Range].[Brand_Loyalty].[All]" allUniqueName="[Range].[Brand_Loyalty].[All]" dimensionUniqueName="[Range]" displayFolder="" count="0" memberValueDatatype="20" unbalanced="0"/>
    <cacheHierarchy uniqueName="[Range].[Product_Rating]" caption="Product_Rating" attribute="1" defaultMemberUniqueName="[Range].[Product_Rating].[All]" allUniqueName="[Range].[Product_Rating].[All]" dimensionUniqueName="[Range]" displayFolder="" count="0" memberValueDatatype="20" unbalanced="0"/>
    <cacheHierarchy uniqueName="[Range].[Time_Spent_on_Product_Research(hours)]" caption="Time_Spent_on_Product_Research(hours)" attribute="1" defaultMemberUniqueName="[Range].[Time_Spent_on_Product_Research(hours)].[All]" allUniqueName="[Range].[Time_Spent_on_Product_Research(hours)].[All]" dimensionUniqueName="[Range]" displayFolder="" count="0" memberValueDatatype="5" unbalanced="0"/>
    <cacheHierarchy uniqueName="[Range].[Social_Media_Influence]" caption="Social_Media_Influence" attribute="1" defaultMemberUniqueName="[Range].[Social_Media_Influence].[All]" allUniqueName="[Range].[Social_Media_Influence].[All]" dimensionUniqueName="[Range]" displayFolder="" count="0" memberValueDatatype="130" unbalanced="0"/>
    <cacheHierarchy uniqueName="[Range].[Discount_Sensitivity]" caption="Discount_Sensitivity" attribute="1" defaultMemberUniqueName="[Range].[Discount_Sensitivity].[All]" allUniqueName="[Range].[Discount_Sensitivity].[All]" dimensionUniqueName="[Range]" displayFolder="" count="0" memberValueDatatype="130" unbalanced="0"/>
    <cacheHierarchy uniqueName="[Range].[Return_Rate]" caption="Return_Rate" attribute="1" defaultMemberUniqueName="[Range].[Return_Rate].[All]" allUniqueName="[Range].[Return_Rate].[All]" dimensionUniqueName="[Range]" displayFolder="" count="0" memberValueDatatype="20" unbalanced="0"/>
    <cacheHierarchy uniqueName="[Range].[Customer_Satisfaction]" caption="Customer_Satisfaction" attribute="1" defaultMemberUniqueName="[Range].[Customer_Satisfaction].[All]" allUniqueName="[Range].[Customer_Satisfaction].[All]" dimensionUniqueName="[Range]" displayFolder="" count="0" memberValueDatatype="20" unbalanced="0"/>
    <cacheHierarchy uniqueName="[Range].[Engagement_with_Ads]" caption="Engagement_with_Ads" attribute="1" defaultMemberUniqueName="[Range].[Engagement_with_Ads].[All]" allUniqueName="[Range].[Engagement_with_Ads].[All]" dimensionUniqueName="[Range]" displayFolder="" count="0" memberValueDatatype="130" unbalanced="0"/>
    <cacheHierarchy uniqueName="[Range].[Device_Used_for_Shopping]" caption="Device_Used_for_Shopping" attribute="1" defaultMemberUniqueName="[Range].[Device_Used_for_Shopping].[All]" allUniqueName="[Range].[Device_Used_for_Shopping].[All]" dimensionUniqueName="[Range]" displayFolder="" count="0" memberValueDatatype="130" unbalanced="0"/>
    <cacheHierarchy uniqueName="[Range].[Payment_Method]" caption="Payment_Method" attribute="1" defaultMemberUniqueName="[Range].[Payment_Method].[All]" allUniqueName="[Range].[Payment_Method].[All]" dimensionUniqueName="[Range]" displayFolder="" count="0" memberValueDatatype="130" unbalanced="0"/>
    <cacheHierarchy uniqueName="[Range].[Time_of_Purchase]" caption="Time_of_Purchase" attribute="1" time="1" defaultMemberUniqueName="[Range].[Time_of_Purchase].[All]" allUniqueName="[Range].[Time_of_Purchase].[All]" dimensionUniqueName="[Range]" displayFolder="" count="0" memberValueDatatype="7" unbalanced="0"/>
    <cacheHierarchy uniqueName="[Range].[Month]" caption="Month" attribute="1" defaultMemberUniqueName="[Range].[Month].[All]" allUniqueName="[Range].[Month].[All]" dimensionUniqueName="[Range]" displayFolder="" count="0" memberValueDatatype="130" unbalanced="0"/>
    <cacheHierarchy uniqueName="[Range].[Year]" caption="Year" attribute="1" defaultMemberUniqueName="[Range].[Year].[All]" allUniqueName="[Range].[Year].[All]" dimensionUniqueName="[Range]" displayFolder="" count="0" memberValueDatatype="130" unbalanced="0"/>
    <cacheHierarchy uniqueName="[Range].[Discount_Used]" caption="Discount_Used" attribute="1" defaultMemberUniqueName="[Range].[Discount_Used].[All]" allUniqueName="[Range].[Discount_Used].[All]" dimensionUniqueName="[Range]" displayFolder="" count="0" memberValueDatatype="11" unbalanced="0"/>
    <cacheHierarchy uniqueName="[Range].[Customer_Loyalty_Program_Member]" caption="Customer_Loyalty_Program_Member" attribute="1" defaultMemberUniqueName="[Range].[Customer_Loyalty_Program_Member].[All]" allUniqueName="[Range].[Customer_Loyalty_Program_Member].[All]" dimensionUniqueName="[Range]" displayFolder="" count="0" memberValueDatatype="11" unbalanced="0"/>
    <cacheHierarchy uniqueName="[Range].[Purchase_Intent]" caption="Purchase_Intent" attribute="1" defaultMemberUniqueName="[Range].[Purchase_Intent].[All]" allUniqueName="[Range].[Purchase_Intent].[All]" dimensionUniqueName="[Range]" displayFolder="" count="0" memberValueDatatype="130" unbalanced="0"/>
    <cacheHierarchy uniqueName="[Range].[Shipping_Preference]" caption="Shipping_Preference" attribute="1" defaultMemberUniqueName="[Range].[Shipping_Preference].[All]" allUniqueName="[Range].[Shipping_Preference].[All]" dimensionUniqueName="[Range]" displayFolder="" count="0" memberValueDatatype="130" unbalanced="0"/>
    <cacheHierarchy uniqueName="[Range].[Time_to_Decision]" caption="Time_to_Decision" attribute="1" defaultMemberUniqueName="[Range].[Time_to_Decision].[All]" allUniqueName="[Range].[Time_to_Decision].[All]" dimensionUniqueName="[Range]" displayFolder="" count="0" memberValueDatatype="20" unbalanced="0"/>
    <cacheHierarchy uniqueName="[Range].[Time_of_Purchase (Year)]" caption="Time_of_Purchase (Year)" attribute="1" defaultMemberUniqueName="[Range].[Time_of_Purchase (Year)].[All]" allUniqueName="[Range].[Time_of_Purchase (Year)].[All]" dimensionUniqueName="[Range]" displayFolder="" count="0" memberValueDatatype="130" unbalanced="0"/>
    <cacheHierarchy uniqueName="[Range].[Time_of_Purchase (Quarter)]" caption="Time_of_Purchase (Quarter)" attribute="1" defaultMemberUniqueName="[Range].[Time_of_Purchase (Quarter)].[All]" allUniqueName="[Range].[Time_of_Purchase (Quarter)].[All]" dimensionUniqueName="[Range]" displayFolder="" count="0" memberValueDatatype="130" unbalanced="0"/>
    <cacheHierarchy uniqueName="[Range].[Time_of_Purchase (Month)]" caption="Time_of_Purchase (Month)" attribute="1" defaultMemberUniqueName="[Range].[Time_of_Purchase (Month)].[All]" allUniqueName="[Range].[Time_of_Purchase (Month)].[All]" dimensionUniqueName="[Range]" displayFolder="" count="0" memberValueDatatype="130" unbalanced="0"/>
    <cacheHierarchy uniqueName="[Range].[Time_of_Purchase (Month Index)]" caption="Time_of_Purchase (Month Index)" attribute="1" defaultMemberUniqueName="[Range].[Time_of_Purchase (Month Index)].[All]" allUniqueName="[Range].[Time_of_Purchase (Month Index)].[All]" dimensionUniqueName="[Range]" displayFolder="" count="0" memberValueDatatype="20" unbalanced="0" hidden="1"/>
    <cacheHierarchy uniqueName="[Measures].[__XL_Count Range]" caption="__XL_Count Range" measure="1" displayFolder="" measureGroup="Range" count="0" hidden="1"/>
    <cacheHierarchy uniqueName="[Measures].[__No measures defined]" caption="__No measures defined" measure="1" displayFolder="" count="0" hidden="1"/>
    <cacheHierarchy uniqueName="[Measures].[Sum of Purchase_Amount]" caption="Sum of Purchase_Amount" measure="1" displayFolder="" measureGroup="Range" count="0" oneField="1" hidden="1">
      <fieldsUsage count="1">
        <fieldUsage x="0"/>
      </fieldsUsage>
      <extLst>
        <ext xmlns:x15="http://schemas.microsoft.com/office/spreadsheetml/2010/11/main" uri="{B97F6D7D-B522-45F9-BDA1-12C45D357490}">
          <x15:cacheHierarchy aggregatedColumn="10"/>
        </ext>
      </extLst>
    </cacheHierarchy>
    <cacheHierarchy uniqueName="[Measures].[Sum of Time_Spent_on_Product_Research(hours)]" caption="Sum of Time_Spent_on_Product_Research(hours)" measure="1" displayFolder="" measureGroup="Range" count="0" hidden="1">
      <extLst>
        <ext xmlns:x15="http://schemas.microsoft.com/office/spreadsheetml/2010/11/main" uri="{B97F6D7D-B522-45F9-BDA1-12C45D357490}">
          <x15:cacheHierarchy aggregatedColumn="15"/>
        </ext>
      </extLst>
    </cacheHierarchy>
    <cacheHierarchy uniqueName="[Measures].[Sum of Time_to_Decision]" caption="Sum of Time_to_Decision" measure="1" displayFolder="" measureGroup="Range" count="0" hidden="1">
      <extLst>
        <ext xmlns:x15="http://schemas.microsoft.com/office/spreadsheetml/2010/11/main" uri="{B97F6D7D-B522-45F9-BDA1-12C45D357490}">
          <x15:cacheHierarchy aggregatedColumn="30"/>
        </ext>
      </extLst>
    </cacheHierarchy>
    <cacheHierarchy uniqueName="[Measures].[Sum of Brand_Loyalty]" caption="Sum of Brand_Loyalty" measure="1" displayFolder="" measureGroup="Range" count="0" hidden="1"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Average of Purchase_Amount]" caption="Average of Purchase_Amount" measure="1" displayFolder="" measureGroup="Range" count="0" hidden="1">
      <extLst>
        <ext xmlns:x15="http://schemas.microsoft.com/office/spreadsheetml/2010/11/main" uri="{B97F6D7D-B522-45F9-BDA1-12C45D357490}">
          <x15:cacheHierarchy aggregatedColumn="10"/>
        </ext>
      </extLst>
    </cacheHierarchy>
    <cacheHierarchy uniqueName="[Measures].[Sum of Return_Rate]" caption="Sum of Return_Rate" measure="1" displayFolder="" measureGroup="Range" count="0" hidden="1">
      <extLst>
        <ext xmlns:x15="http://schemas.microsoft.com/office/spreadsheetml/2010/11/main" uri="{B97F6D7D-B522-45F9-BDA1-12C45D357490}">
          <x15:cacheHierarchy aggregatedColumn="18"/>
        </ext>
      </extLst>
    </cacheHierarchy>
    <cacheHierarchy uniqueName="[Measures].[Sum of Product_Rating]" caption="Sum of Product_Rating" measure="1" displayFolder="" measureGroup="Range" count="0" hidden="1">
      <extLst>
        <ext xmlns:x15="http://schemas.microsoft.com/office/spreadsheetml/2010/11/main" uri="{B97F6D7D-B522-45F9-BDA1-12C45D357490}">
          <x15:cacheHierarchy aggregatedColumn="14"/>
        </ext>
      </extLst>
    </cacheHierarchy>
    <cacheHierarchy uniqueName="[Measures].[Sum of Customer_Satisfaction]" caption="Sum of Customer_Satisfaction" measure="1" displayFolder="" measureGroup="Range" count="0" hidden="1">
      <extLst>
        <ext xmlns:x15="http://schemas.microsoft.com/office/spreadsheetml/2010/11/main" uri="{B97F6D7D-B522-45F9-BDA1-12C45D357490}">
          <x15:cacheHierarchy aggregatedColumn="19"/>
        </ext>
      </extLst>
    </cacheHierarchy>
    <cacheHierarchy uniqueName="[Measures].[Average of Customer_Satisfaction]" caption="Average of Customer_Satisfaction" measure="1" displayFolder="" measureGroup="Range" count="0" hidden="1">
      <extLst>
        <ext xmlns:x15="http://schemas.microsoft.com/office/spreadsheetml/2010/11/main" uri="{B97F6D7D-B522-45F9-BDA1-12C45D357490}">
          <x15:cacheHierarchy aggregatedColumn="19"/>
        </ext>
      </extLst>
    </cacheHierarchy>
  </cacheHierarchies>
  <kpis count="0"/>
  <dimensions count="2">
    <dimension measure="1" name="Measures" uniqueName="[Measures]" caption="Measures"/>
    <dimension name="Range" uniqueName="[Range]" caption="Range"/>
  </dimensions>
  <measureGroups count="1">
    <measureGroup name="Range" caption="Range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18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SHILPA ROY" refreshedDate="46174.026175925923" backgroundQuery="1" createdVersion="8" refreshedVersion="8" minRefreshableVersion="3" recordCount="0" supportSubquery="1" supportAdvancedDrill="1" xr:uid="{97D8DC68-CD83-4C0E-BEEA-5583C71B059B}">
  <cacheSource type="external" connectionId="1"/>
  <cacheFields count="2">
    <cacheField name="[Range].[Age-Group].[Age-Group]" caption="Age-Group" numFmtId="0" hierarchy="2" level="1">
      <sharedItems count="4">
        <s v="0-18"/>
        <s v="19-29"/>
        <s v="30-49"/>
        <s v="70+"/>
      </sharedItems>
    </cacheField>
    <cacheField name="[Measures].[Sum of Purchase_Amount]" caption="Sum of Purchase_Amount" numFmtId="0" hierarchy="37" level="32767"/>
  </cacheFields>
  <cacheHierarchies count="46">
    <cacheHierarchy uniqueName="[Range].[Customer_ID]" caption="Customer_ID" attribute="1" defaultMemberUniqueName="[Range].[Customer_ID].[All]" allUniqueName="[Range].[Customer_ID].[All]" dimensionUniqueName="[Range]" displayFolder="" count="0" memberValueDatatype="130" unbalanced="0"/>
    <cacheHierarchy uniqueName="[Range].[Age]" caption="Age" attribute="1" defaultMemberUniqueName="[Range].[Age].[All]" allUniqueName="[Range].[Age].[All]" dimensionUniqueName="[Range]" displayFolder="" count="0" memberValueDatatype="20" unbalanced="0"/>
    <cacheHierarchy uniqueName="[Range].[Age-Group]" caption="Age-Group" attribute="1" defaultMemberUniqueName="[Range].[Age-Group].[All]" allUniqueName="[Range].[Age-Group].[All]" dimensionUniqueName="[Range]" displayFolder="" count="2" memberValueDatatype="130" unbalanced="0">
      <fieldsUsage count="2">
        <fieldUsage x="-1"/>
        <fieldUsage x="0"/>
      </fieldsUsage>
    </cacheHierarchy>
    <cacheHierarchy uniqueName="[Range].[Gender]" caption="Gender" attribute="1" defaultMemberUniqueName="[Range].[Gender].[All]" allUniqueName="[Range].[Gender].[All]" dimensionUniqueName="[Range]" displayFolder="" count="0" memberValueDatatype="130" unbalanced="0"/>
    <cacheHierarchy uniqueName="[Range].[Income_Level]" caption="Income_Level" attribute="1" defaultMemberUniqueName="[Range].[Income_Level].[All]" allUniqueName="[Range].[Income_Level].[All]" dimensionUniqueName="[Range]" displayFolder="" count="0" memberValueDatatype="130" unbalanced="0"/>
    <cacheHierarchy uniqueName="[Range].[Marital_Status]" caption="Marital_Status" attribute="1" defaultMemberUniqueName="[Range].[Marital_Status].[All]" allUniqueName="[Range].[Marital_Status].[All]" dimensionUniqueName="[Range]" displayFolder="" count="0" memberValueDatatype="130" unbalanced="0"/>
    <cacheHierarchy uniqueName="[Range].[Education_Level]" caption="Education_Level" attribute="1" defaultMemberUniqueName="[Range].[Education_Level].[All]" allUniqueName="[Range].[Education_Level].[All]" dimensionUniqueName="[Range]" displayFolder="" count="0" memberValueDatatype="130" unbalanced="0"/>
    <cacheHierarchy uniqueName="[Range].[Occupation]" caption="Occupation" attribute="1" defaultMemberUniqueName="[Range].[Occupation].[All]" allUniqueName="[Range].[Occupation].[All]" dimensionUniqueName="[Range]" displayFolder="" count="0" memberValueDatatype="130" unbalanced="0"/>
    <cacheHierarchy uniqueName="[Range].[Location]" caption="Location" attribute="1" defaultMemberUniqueName="[Range].[Location].[All]" allUniqueName="[Range].[Location].[All]" dimensionUniqueName="[Range]" displayFolder="" count="0" memberValueDatatype="130" unbalanced="0"/>
    <cacheHierarchy uniqueName="[Range].[Purchase_Category]" caption="Purchase_Category" attribute="1" defaultMemberUniqueName="[Range].[Purchase_Category].[All]" allUniqueName="[Range].[Purchase_Category].[All]" dimensionUniqueName="[Range]" displayFolder="" count="0" memberValueDatatype="130" unbalanced="0"/>
    <cacheHierarchy uniqueName="[Range].[Purchase_Amount]" caption="Purchase_Amount" attribute="1" defaultMemberUniqueName="[Range].[Purchase_Amount].[All]" allUniqueName="[Range].[Purchase_Amount].[All]" dimensionUniqueName="[Range]" displayFolder="" count="0" memberValueDatatype="5" unbalanced="0"/>
    <cacheHierarchy uniqueName="[Range].[Frequency_of_Purchase]" caption="Frequency_of_Purchase" attribute="1" defaultMemberUniqueName="[Range].[Frequency_of_Purchase].[All]" allUniqueName="[Range].[Frequency_of_Purchase].[All]" dimensionUniqueName="[Range]" displayFolder="" count="0" memberValueDatatype="20" unbalanced="0"/>
    <cacheHierarchy uniqueName="[Range].[Purchase_Channel]" caption="Purchase_Channel" attribute="1" defaultMemberUniqueName="[Range].[Purchase_Channel].[All]" allUniqueName="[Range].[Purchase_Channel].[All]" dimensionUniqueName="[Range]" displayFolder="" count="0" memberValueDatatype="130" unbalanced="0"/>
    <cacheHierarchy uniqueName="[Range].[Brand_Loyalty]" caption="Brand_Loyalty" attribute="1" defaultMemberUniqueName="[Range].[Brand_Loyalty].[All]" allUniqueName="[Range].[Brand_Loyalty].[All]" dimensionUniqueName="[Range]" displayFolder="" count="0" memberValueDatatype="20" unbalanced="0"/>
    <cacheHierarchy uniqueName="[Range].[Product_Rating]" caption="Product_Rating" attribute="1" defaultMemberUniqueName="[Range].[Product_Rating].[All]" allUniqueName="[Range].[Product_Rating].[All]" dimensionUniqueName="[Range]" displayFolder="" count="0" memberValueDatatype="20" unbalanced="0"/>
    <cacheHierarchy uniqueName="[Range].[Time_Spent_on_Product_Research(hours)]" caption="Time_Spent_on_Product_Research(hours)" attribute="1" defaultMemberUniqueName="[Range].[Time_Spent_on_Product_Research(hours)].[All]" allUniqueName="[Range].[Time_Spent_on_Product_Research(hours)].[All]" dimensionUniqueName="[Range]" displayFolder="" count="0" memberValueDatatype="5" unbalanced="0"/>
    <cacheHierarchy uniqueName="[Range].[Social_Media_Influence]" caption="Social_Media_Influence" attribute="1" defaultMemberUniqueName="[Range].[Social_Media_Influence].[All]" allUniqueName="[Range].[Social_Media_Influence].[All]" dimensionUniqueName="[Range]" displayFolder="" count="0" memberValueDatatype="130" unbalanced="0"/>
    <cacheHierarchy uniqueName="[Range].[Discount_Sensitivity]" caption="Discount_Sensitivity" attribute="1" defaultMemberUniqueName="[Range].[Discount_Sensitivity].[All]" allUniqueName="[Range].[Discount_Sensitivity].[All]" dimensionUniqueName="[Range]" displayFolder="" count="0" memberValueDatatype="130" unbalanced="0"/>
    <cacheHierarchy uniqueName="[Range].[Return_Rate]" caption="Return_Rate" attribute="1" defaultMemberUniqueName="[Range].[Return_Rate].[All]" allUniqueName="[Range].[Return_Rate].[All]" dimensionUniqueName="[Range]" displayFolder="" count="0" memberValueDatatype="20" unbalanced="0"/>
    <cacheHierarchy uniqueName="[Range].[Customer_Satisfaction]" caption="Customer_Satisfaction" attribute="1" defaultMemberUniqueName="[Range].[Customer_Satisfaction].[All]" allUniqueName="[Range].[Customer_Satisfaction].[All]" dimensionUniqueName="[Range]" displayFolder="" count="0" memberValueDatatype="20" unbalanced="0"/>
    <cacheHierarchy uniqueName="[Range].[Engagement_with_Ads]" caption="Engagement_with_Ads" attribute="1" defaultMemberUniqueName="[Range].[Engagement_with_Ads].[All]" allUniqueName="[Range].[Engagement_with_Ads].[All]" dimensionUniqueName="[Range]" displayFolder="" count="0" memberValueDatatype="130" unbalanced="0"/>
    <cacheHierarchy uniqueName="[Range].[Device_Used_for_Shopping]" caption="Device_Used_for_Shopping" attribute="1" defaultMemberUniqueName="[Range].[Device_Used_for_Shopping].[All]" allUniqueName="[Range].[Device_Used_for_Shopping].[All]" dimensionUniqueName="[Range]" displayFolder="" count="0" memberValueDatatype="130" unbalanced="0"/>
    <cacheHierarchy uniqueName="[Range].[Payment_Method]" caption="Payment_Method" attribute="1" defaultMemberUniqueName="[Range].[Payment_Method].[All]" allUniqueName="[Range].[Payment_Method].[All]" dimensionUniqueName="[Range]" displayFolder="" count="0" memberValueDatatype="130" unbalanced="0"/>
    <cacheHierarchy uniqueName="[Range].[Time_of_Purchase]" caption="Time_of_Purchase" attribute="1" time="1" defaultMemberUniqueName="[Range].[Time_of_Purchase].[All]" allUniqueName="[Range].[Time_of_Purchase].[All]" dimensionUniqueName="[Range]" displayFolder="" count="0" memberValueDatatype="7" unbalanced="0"/>
    <cacheHierarchy uniqueName="[Range].[Month]" caption="Month" attribute="1" defaultMemberUniqueName="[Range].[Month].[All]" allUniqueName="[Range].[Month].[All]" dimensionUniqueName="[Range]" displayFolder="" count="0" memberValueDatatype="130" unbalanced="0"/>
    <cacheHierarchy uniqueName="[Range].[Year]" caption="Year" attribute="1" defaultMemberUniqueName="[Range].[Year].[All]" allUniqueName="[Range].[Year].[All]" dimensionUniqueName="[Range]" displayFolder="" count="0" memberValueDatatype="130" unbalanced="0"/>
    <cacheHierarchy uniqueName="[Range].[Discount_Used]" caption="Discount_Used" attribute="1" defaultMemberUniqueName="[Range].[Discount_Used].[All]" allUniqueName="[Range].[Discount_Used].[All]" dimensionUniqueName="[Range]" displayFolder="" count="0" memberValueDatatype="11" unbalanced="0"/>
    <cacheHierarchy uniqueName="[Range].[Customer_Loyalty_Program_Member]" caption="Customer_Loyalty_Program_Member" attribute="1" defaultMemberUniqueName="[Range].[Customer_Loyalty_Program_Member].[All]" allUniqueName="[Range].[Customer_Loyalty_Program_Member].[All]" dimensionUniqueName="[Range]" displayFolder="" count="0" memberValueDatatype="11" unbalanced="0"/>
    <cacheHierarchy uniqueName="[Range].[Purchase_Intent]" caption="Purchase_Intent" attribute="1" defaultMemberUniqueName="[Range].[Purchase_Intent].[All]" allUniqueName="[Range].[Purchase_Intent].[All]" dimensionUniqueName="[Range]" displayFolder="" count="0" memberValueDatatype="130" unbalanced="0"/>
    <cacheHierarchy uniqueName="[Range].[Shipping_Preference]" caption="Shipping_Preference" attribute="1" defaultMemberUniqueName="[Range].[Shipping_Preference].[All]" allUniqueName="[Range].[Shipping_Preference].[All]" dimensionUniqueName="[Range]" displayFolder="" count="0" memberValueDatatype="130" unbalanced="0"/>
    <cacheHierarchy uniqueName="[Range].[Time_to_Decision]" caption="Time_to_Decision" attribute="1" defaultMemberUniqueName="[Range].[Time_to_Decision].[All]" allUniqueName="[Range].[Time_to_Decision].[All]" dimensionUniqueName="[Range]" displayFolder="" count="0" memberValueDatatype="20" unbalanced="0"/>
    <cacheHierarchy uniqueName="[Range].[Time_of_Purchase (Year)]" caption="Time_of_Purchase (Year)" attribute="1" defaultMemberUniqueName="[Range].[Time_of_Purchase (Year)].[All]" allUniqueName="[Range].[Time_of_Purchase (Year)].[All]" dimensionUniqueName="[Range]" displayFolder="" count="0" memberValueDatatype="130" unbalanced="0"/>
    <cacheHierarchy uniqueName="[Range].[Time_of_Purchase (Quarter)]" caption="Time_of_Purchase (Quarter)" attribute="1" defaultMemberUniqueName="[Range].[Time_of_Purchase (Quarter)].[All]" allUniqueName="[Range].[Time_of_Purchase (Quarter)].[All]" dimensionUniqueName="[Range]" displayFolder="" count="0" memberValueDatatype="130" unbalanced="0"/>
    <cacheHierarchy uniqueName="[Range].[Time_of_Purchase (Month)]" caption="Time_of_Purchase (Month)" attribute="1" defaultMemberUniqueName="[Range].[Time_of_Purchase (Month)].[All]" allUniqueName="[Range].[Time_of_Purchase (Month)].[All]" dimensionUniqueName="[Range]" displayFolder="" count="0" memberValueDatatype="130" unbalanced="0"/>
    <cacheHierarchy uniqueName="[Range].[Time_of_Purchase (Month Index)]" caption="Time_of_Purchase (Month Index)" attribute="1" defaultMemberUniqueName="[Range].[Time_of_Purchase (Month Index)].[All]" allUniqueName="[Range].[Time_of_Purchase (Month Index)].[All]" dimensionUniqueName="[Range]" displayFolder="" count="0" memberValueDatatype="20" unbalanced="0" hidden="1"/>
    <cacheHierarchy uniqueName="[Measures].[__XL_Count Range]" caption="__XL_Count Range" measure="1" displayFolder="" measureGroup="Range" count="0" hidden="1"/>
    <cacheHierarchy uniqueName="[Measures].[__No measures defined]" caption="__No measures defined" measure="1" displayFolder="" count="0" hidden="1"/>
    <cacheHierarchy uniqueName="[Measures].[Sum of Purchase_Amount]" caption="Sum of Purchase_Amount" measure="1" displayFolder="" measureGroup="Range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10"/>
        </ext>
      </extLst>
    </cacheHierarchy>
    <cacheHierarchy uniqueName="[Measures].[Sum of Time_Spent_on_Product_Research(hours)]" caption="Sum of Time_Spent_on_Product_Research(hours)" measure="1" displayFolder="" measureGroup="Range" count="0" hidden="1">
      <extLst>
        <ext xmlns:x15="http://schemas.microsoft.com/office/spreadsheetml/2010/11/main" uri="{B97F6D7D-B522-45F9-BDA1-12C45D357490}">
          <x15:cacheHierarchy aggregatedColumn="15"/>
        </ext>
      </extLst>
    </cacheHierarchy>
    <cacheHierarchy uniqueName="[Measures].[Sum of Time_to_Decision]" caption="Sum of Time_to_Decision" measure="1" displayFolder="" measureGroup="Range" count="0" hidden="1">
      <extLst>
        <ext xmlns:x15="http://schemas.microsoft.com/office/spreadsheetml/2010/11/main" uri="{B97F6D7D-B522-45F9-BDA1-12C45D357490}">
          <x15:cacheHierarchy aggregatedColumn="30"/>
        </ext>
      </extLst>
    </cacheHierarchy>
    <cacheHierarchy uniqueName="[Measures].[Sum of Brand_Loyalty]" caption="Sum of Brand_Loyalty" measure="1" displayFolder="" measureGroup="Range" count="0" hidden="1"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Average of Purchase_Amount]" caption="Average of Purchase_Amount" measure="1" displayFolder="" measureGroup="Range" count="0" hidden="1">
      <extLst>
        <ext xmlns:x15="http://schemas.microsoft.com/office/spreadsheetml/2010/11/main" uri="{B97F6D7D-B522-45F9-BDA1-12C45D357490}">
          <x15:cacheHierarchy aggregatedColumn="10"/>
        </ext>
      </extLst>
    </cacheHierarchy>
    <cacheHierarchy uniqueName="[Measures].[Sum of Return_Rate]" caption="Sum of Return_Rate" measure="1" displayFolder="" measureGroup="Range" count="0" hidden="1">
      <extLst>
        <ext xmlns:x15="http://schemas.microsoft.com/office/spreadsheetml/2010/11/main" uri="{B97F6D7D-B522-45F9-BDA1-12C45D357490}">
          <x15:cacheHierarchy aggregatedColumn="18"/>
        </ext>
      </extLst>
    </cacheHierarchy>
    <cacheHierarchy uniqueName="[Measures].[Sum of Product_Rating]" caption="Sum of Product_Rating" measure="1" displayFolder="" measureGroup="Range" count="0" hidden="1">
      <extLst>
        <ext xmlns:x15="http://schemas.microsoft.com/office/spreadsheetml/2010/11/main" uri="{B97F6D7D-B522-45F9-BDA1-12C45D357490}">
          <x15:cacheHierarchy aggregatedColumn="14"/>
        </ext>
      </extLst>
    </cacheHierarchy>
    <cacheHierarchy uniqueName="[Measures].[Sum of Customer_Satisfaction]" caption="Sum of Customer_Satisfaction" measure="1" displayFolder="" measureGroup="Range" count="0" hidden="1">
      <extLst>
        <ext xmlns:x15="http://schemas.microsoft.com/office/spreadsheetml/2010/11/main" uri="{B97F6D7D-B522-45F9-BDA1-12C45D357490}">
          <x15:cacheHierarchy aggregatedColumn="19"/>
        </ext>
      </extLst>
    </cacheHierarchy>
    <cacheHierarchy uniqueName="[Measures].[Average of Customer_Satisfaction]" caption="Average of Customer_Satisfaction" measure="1" displayFolder="" measureGroup="Range" count="0" hidden="1">
      <extLst>
        <ext xmlns:x15="http://schemas.microsoft.com/office/spreadsheetml/2010/11/main" uri="{B97F6D7D-B522-45F9-BDA1-12C45D357490}">
          <x15:cacheHierarchy aggregatedColumn="19"/>
        </ext>
      </extLst>
    </cacheHierarchy>
  </cacheHierarchies>
  <kpis count="0"/>
  <dimensions count="2">
    <dimension measure="1" name="Measures" uniqueName="[Measures]" caption="Measures"/>
    <dimension name="Range" uniqueName="[Range]" caption="Range"/>
  </dimensions>
  <measureGroups count="1">
    <measureGroup name="Range" caption="Range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19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SHILPA ROY" refreshedDate="46174.026177777778" backgroundQuery="1" createdVersion="8" refreshedVersion="8" minRefreshableVersion="3" recordCount="0" supportSubquery="1" supportAdvancedDrill="1" xr:uid="{96B7075E-0ED3-46B0-88D4-9D9584643299}">
  <cacheSource type="external" connectionId="1"/>
  <cacheFields count="2">
    <cacheField name="[Range].[Income_Level].[Income_Level]" caption="Income_Level" numFmtId="0" hierarchy="4" level="1">
      <sharedItems count="2">
        <s v="High"/>
        <s v="Middle"/>
      </sharedItems>
    </cacheField>
    <cacheField name="[Measures].[Sum of Purchase_Amount]" caption="Sum of Purchase_Amount" numFmtId="0" hierarchy="37" level="32767"/>
  </cacheFields>
  <cacheHierarchies count="46">
    <cacheHierarchy uniqueName="[Range].[Customer_ID]" caption="Customer_ID" attribute="1" defaultMemberUniqueName="[Range].[Customer_ID].[All]" allUniqueName="[Range].[Customer_ID].[All]" dimensionUniqueName="[Range]" displayFolder="" count="0" memberValueDatatype="130" unbalanced="0"/>
    <cacheHierarchy uniqueName="[Range].[Age]" caption="Age" attribute="1" defaultMemberUniqueName="[Range].[Age].[All]" allUniqueName="[Range].[Age].[All]" dimensionUniqueName="[Range]" displayFolder="" count="0" memberValueDatatype="20" unbalanced="0"/>
    <cacheHierarchy uniqueName="[Range].[Age-Group]" caption="Age-Group" attribute="1" defaultMemberUniqueName="[Range].[Age-Group].[All]" allUniqueName="[Range].[Age-Group].[All]" dimensionUniqueName="[Range]" displayFolder="" count="0" memberValueDatatype="130" unbalanced="0"/>
    <cacheHierarchy uniqueName="[Range].[Gender]" caption="Gender" attribute="1" defaultMemberUniqueName="[Range].[Gender].[All]" allUniqueName="[Range].[Gender].[All]" dimensionUniqueName="[Range]" displayFolder="" count="0" memberValueDatatype="130" unbalanced="0"/>
    <cacheHierarchy uniqueName="[Range].[Income_Level]" caption="Income_Level" attribute="1" defaultMemberUniqueName="[Range].[Income_Level].[All]" allUniqueName="[Range].[Income_Level].[All]" dimensionUniqueName="[Range]" displayFolder="" count="2" memberValueDatatype="130" unbalanced="0">
      <fieldsUsage count="2">
        <fieldUsage x="-1"/>
        <fieldUsage x="0"/>
      </fieldsUsage>
    </cacheHierarchy>
    <cacheHierarchy uniqueName="[Range].[Marital_Status]" caption="Marital_Status" attribute="1" defaultMemberUniqueName="[Range].[Marital_Status].[All]" allUniqueName="[Range].[Marital_Status].[All]" dimensionUniqueName="[Range]" displayFolder="" count="0" memberValueDatatype="130" unbalanced="0"/>
    <cacheHierarchy uniqueName="[Range].[Education_Level]" caption="Education_Level" attribute="1" defaultMemberUniqueName="[Range].[Education_Level].[All]" allUniqueName="[Range].[Education_Level].[All]" dimensionUniqueName="[Range]" displayFolder="" count="0" memberValueDatatype="130" unbalanced="0"/>
    <cacheHierarchy uniqueName="[Range].[Occupation]" caption="Occupation" attribute="1" defaultMemberUniqueName="[Range].[Occupation].[All]" allUniqueName="[Range].[Occupation].[All]" dimensionUniqueName="[Range]" displayFolder="" count="0" memberValueDatatype="130" unbalanced="0"/>
    <cacheHierarchy uniqueName="[Range].[Location]" caption="Location" attribute="1" defaultMemberUniqueName="[Range].[Location].[All]" allUniqueName="[Range].[Location].[All]" dimensionUniqueName="[Range]" displayFolder="" count="0" memberValueDatatype="130" unbalanced="0"/>
    <cacheHierarchy uniqueName="[Range].[Purchase_Category]" caption="Purchase_Category" attribute="1" defaultMemberUniqueName="[Range].[Purchase_Category].[All]" allUniqueName="[Range].[Purchase_Category].[All]" dimensionUniqueName="[Range]" displayFolder="" count="0" memberValueDatatype="130" unbalanced="0"/>
    <cacheHierarchy uniqueName="[Range].[Purchase_Amount]" caption="Purchase_Amount" attribute="1" defaultMemberUniqueName="[Range].[Purchase_Amount].[All]" allUniqueName="[Range].[Purchase_Amount].[All]" dimensionUniqueName="[Range]" displayFolder="" count="0" memberValueDatatype="5" unbalanced="0"/>
    <cacheHierarchy uniqueName="[Range].[Frequency_of_Purchase]" caption="Frequency_of_Purchase" attribute="1" defaultMemberUniqueName="[Range].[Frequency_of_Purchase].[All]" allUniqueName="[Range].[Frequency_of_Purchase].[All]" dimensionUniqueName="[Range]" displayFolder="" count="0" memberValueDatatype="20" unbalanced="0"/>
    <cacheHierarchy uniqueName="[Range].[Purchase_Channel]" caption="Purchase_Channel" attribute="1" defaultMemberUniqueName="[Range].[Purchase_Channel].[All]" allUniqueName="[Range].[Purchase_Channel].[All]" dimensionUniqueName="[Range]" displayFolder="" count="0" memberValueDatatype="130" unbalanced="0"/>
    <cacheHierarchy uniqueName="[Range].[Brand_Loyalty]" caption="Brand_Loyalty" attribute="1" defaultMemberUniqueName="[Range].[Brand_Loyalty].[All]" allUniqueName="[Range].[Brand_Loyalty].[All]" dimensionUniqueName="[Range]" displayFolder="" count="0" memberValueDatatype="20" unbalanced="0"/>
    <cacheHierarchy uniqueName="[Range].[Product_Rating]" caption="Product_Rating" attribute="1" defaultMemberUniqueName="[Range].[Product_Rating].[All]" allUniqueName="[Range].[Product_Rating].[All]" dimensionUniqueName="[Range]" displayFolder="" count="0" memberValueDatatype="20" unbalanced="0"/>
    <cacheHierarchy uniqueName="[Range].[Time_Spent_on_Product_Research(hours)]" caption="Time_Spent_on_Product_Research(hours)" attribute="1" defaultMemberUniqueName="[Range].[Time_Spent_on_Product_Research(hours)].[All]" allUniqueName="[Range].[Time_Spent_on_Product_Research(hours)].[All]" dimensionUniqueName="[Range]" displayFolder="" count="0" memberValueDatatype="5" unbalanced="0"/>
    <cacheHierarchy uniqueName="[Range].[Social_Media_Influence]" caption="Social_Media_Influence" attribute="1" defaultMemberUniqueName="[Range].[Social_Media_Influence].[All]" allUniqueName="[Range].[Social_Media_Influence].[All]" dimensionUniqueName="[Range]" displayFolder="" count="0" memberValueDatatype="130" unbalanced="0"/>
    <cacheHierarchy uniqueName="[Range].[Discount_Sensitivity]" caption="Discount_Sensitivity" attribute="1" defaultMemberUniqueName="[Range].[Discount_Sensitivity].[All]" allUniqueName="[Range].[Discount_Sensitivity].[All]" dimensionUniqueName="[Range]" displayFolder="" count="0" memberValueDatatype="130" unbalanced="0"/>
    <cacheHierarchy uniqueName="[Range].[Return_Rate]" caption="Return_Rate" attribute="1" defaultMemberUniqueName="[Range].[Return_Rate].[All]" allUniqueName="[Range].[Return_Rate].[All]" dimensionUniqueName="[Range]" displayFolder="" count="0" memberValueDatatype="20" unbalanced="0"/>
    <cacheHierarchy uniqueName="[Range].[Customer_Satisfaction]" caption="Customer_Satisfaction" attribute="1" defaultMemberUniqueName="[Range].[Customer_Satisfaction].[All]" allUniqueName="[Range].[Customer_Satisfaction].[All]" dimensionUniqueName="[Range]" displayFolder="" count="0" memberValueDatatype="20" unbalanced="0"/>
    <cacheHierarchy uniqueName="[Range].[Engagement_with_Ads]" caption="Engagement_with_Ads" attribute="1" defaultMemberUniqueName="[Range].[Engagement_with_Ads].[All]" allUniqueName="[Range].[Engagement_with_Ads].[All]" dimensionUniqueName="[Range]" displayFolder="" count="0" memberValueDatatype="130" unbalanced="0"/>
    <cacheHierarchy uniqueName="[Range].[Device_Used_for_Shopping]" caption="Device_Used_for_Shopping" attribute="1" defaultMemberUniqueName="[Range].[Device_Used_for_Shopping].[All]" allUniqueName="[Range].[Device_Used_for_Shopping].[All]" dimensionUniqueName="[Range]" displayFolder="" count="0" memberValueDatatype="130" unbalanced="0"/>
    <cacheHierarchy uniqueName="[Range].[Payment_Method]" caption="Payment_Method" attribute="1" defaultMemberUniqueName="[Range].[Payment_Method].[All]" allUniqueName="[Range].[Payment_Method].[All]" dimensionUniqueName="[Range]" displayFolder="" count="0" memberValueDatatype="130" unbalanced="0"/>
    <cacheHierarchy uniqueName="[Range].[Time_of_Purchase]" caption="Time_of_Purchase" attribute="1" time="1" defaultMemberUniqueName="[Range].[Time_of_Purchase].[All]" allUniqueName="[Range].[Time_of_Purchase].[All]" dimensionUniqueName="[Range]" displayFolder="" count="0" memberValueDatatype="7" unbalanced="0"/>
    <cacheHierarchy uniqueName="[Range].[Month]" caption="Month" attribute="1" defaultMemberUniqueName="[Range].[Month].[All]" allUniqueName="[Range].[Month].[All]" dimensionUniqueName="[Range]" displayFolder="" count="0" memberValueDatatype="130" unbalanced="0"/>
    <cacheHierarchy uniqueName="[Range].[Year]" caption="Year" attribute="1" defaultMemberUniqueName="[Range].[Year].[All]" allUniqueName="[Range].[Year].[All]" dimensionUniqueName="[Range]" displayFolder="" count="0" memberValueDatatype="130" unbalanced="0"/>
    <cacheHierarchy uniqueName="[Range].[Discount_Used]" caption="Discount_Used" attribute="1" defaultMemberUniqueName="[Range].[Discount_Used].[All]" allUniqueName="[Range].[Discount_Used].[All]" dimensionUniqueName="[Range]" displayFolder="" count="0" memberValueDatatype="11" unbalanced="0"/>
    <cacheHierarchy uniqueName="[Range].[Customer_Loyalty_Program_Member]" caption="Customer_Loyalty_Program_Member" attribute="1" defaultMemberUniqueName="[Range].[Customer_Loyalty_Program_Member].[All]" allUniqueName="[Range].[Customer_Loyalty_Program_Member].[All]" dimensionUniqueName="[Range]" displayFolder="" count="0" memberValueDatatype="11" unbalanced="0"/>
    <cacheHierarchy uniqueName="[Range].[Purchase_Intent]" caption="Purchase_Intent" attribute="1" defaultMemberUniqueName="[Range].[Purchase_Intent].[All]" allUniqueName="[Range].[Purchase_Intent].[All]" dimensionUniqueName="[Range]" displayFolder="" count="0" memberValueDatatype="130" unbalanced="0"/>
    <cacheHierarchy uniqueName="[Range].[Shipping_Preference]" caption="Shipping_Preference" attribute="1" defaultMemberUniqueName="[Range].[Shipping_Preference].[All]" allUniqueName="[Range].[Shipping_Preference].[All]" dimensionUniqueName="[Range]" displayFolder="" count="0" memberValueDatatype="130" unbalanced="0"/>
    <cacheHierarchy uniqueName="[Range].[Time_to_Decision]" caption="Time_to_Decision" attribute="1" defaultMemberUniqueName="[Range].[Time_to_Decision].[All]" allUniqueName="[Range].[Time_to_Decision].[All]" dimensionUniqueName="[Range]" displayFolder="" count="0" memberValueDatatype="20" unbalanced="0"/>
    <cacheHierarchy uniqueName="[Range].[Time_of_Purchase (Year)]" caption="Time_of_Purchase (Year)" attribute="1" defaultMemberUniqueName="[Range].[Time_of_Purchase (Year)].[All]" allUniqueName="[Range].[Time_of_Purchase (Year)].[All]" dimensionUniqueName="[Range]" displayFolder="" count="0" memberValueDatatype="130" unbalanced="0"/>
    <cacheHierarchy uniqueName="[Range].[Time_of_Purchase (Quarter)]" caption="Time_of_Purchase (Quarter)" attribute="1" defaultMemberUniqueName="[Range].[Time_of_Purchase (Quarter)].[All]" allUniqueName="[Range].[Time_of_Purchase (Quarter)].[All]" dimensionUniqueName="[Range]" displayFolder="" count="0" memberValueDatatype="130" unbalanced="0"/>
    <cacheHierarchy uniqueName="[Range].[Time_of_Purchase (Month)]" caption="Time_of_Purchase (Month)" attribute="1" defaultMemberUniqueName="[Range].[Time_of_Purchase (Month)].[All]" allUniqueName="[Range].[Time_of_Purchase (Month)].[All]" dimensionUniqueName="[Range]" displayFolder="" count="0" memberValueDatatype="130" unbalanced="0"/>
    <cacheHierarchy uniqueName="[Range].[Time_of_Purchase (Month Index)]" caption="Time_of_Purchase (Month Index)" attribute="1" defaultMemberUniqueName="[Range].[Time_of_Purchase (Month Index)].[All]" allUniqueName="[Range].[Time_of_Purchase (Month Index)].[All]" dimensionUniqueName="[Range]" displayFolder="" count="0" memberValueDatatype="20" unbalanced="0" hidden="1"/>
    <cacheHierarchy uniqueName="[Measures].[__XL_Count Range]" caption="__XL_Count Range" measure="1" displayFolder="" measureGroup="Range" count="0" hidden="1"/>
    <cacheHierarchy uniqueName="[Measures].[__No measures defined]" caption="__No measures defined" measure="1" displayFolder="" count="0" hidden="1"/>
    <cacheHierarchy uniqueName="[Measures].[Sum of Purchase_Amount]" caption="Sum of Purchase_Amount" measure="1" displayFolder="" measureGroup="Range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10"/>
        </ext>
      </extLst>
    </cacheHierarchy>
    <cacheHierarchy uniqueName="[Measures].[Sum of Time_Spent_on_Product_Research(hours)]" caption="Sum of Time_Spent_on_Product_Research(hours)" measure="1" displayFolder="" measureGroup="Range" count="0" hidden="1">
      <extLst>
        <ext xmlns:x15="http://schemas.microsoft.com/office/spreadsheetml/2010/11/main" uri="{B97F6D7D-B522-45F9-BDA1-12C45D357490}">
          <x15:cacheHierarchy aggregatedColumn="15"/>
        </ext>
      </extLst>
    </cacheHierarchy>
    <cacheHierarchy uniqueName="[Measures].[Sum of Time_to_Decision]" caption="Sum of Time_to_Decision" measure="1" displayFolder="" measureGroup="Range" count="0" hidden="1">
      <extLst>
        <ext xmlns:x15="http://schemas.microsoft.com/office/spreadsheetml/2010/11/main" uri="{B97F6D7D-B522-45F9-BDA1-12C45D357490}">
          <x15:cacheHierarchy aggregatedColumn="30"/>
        </ext>
      </extLst>
    </cacheHierarchy>
    <cacheHierarchy uniqueName="[Measures].[Sum of Brand_Loyalty]" caption="Sum of Brand_Loyalty" measure="1" displayFolder="" measureGroup="Range" count="0" hidden="1"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Average of Purchase_Amount]" caption="Average of Purchase_Amount" measure="1" displayFolder="" measureGroup="Range" count="0" hidden="1">
      <extLst>
        <ext xmlns:x15="http://schemas.microsoft.com/office/spreadsheetml/2010/11/main" uri="{B97F6D7D-B522-45F9-BDA1-12C45D357490}">
          <x15:cacheHierarchy aggregatedColumn="10"/>
        </ext>
      </extLst>
    </cacheHierarchy>
    <cacheHierarchy uniqueName="[Measures].[Sum of Return_Rate]" caption="Sum of Return_Rate" measure="1" displayFolder="" measureGroup="Range" count="0" hidden="1">
      <extLst>
        <ext xmlns:x15="http://schemas.microsoft.com/office/spreadsheetml/2010/11/main" uri="{B97F6D7D-B522-45F9-BDA1-12C45D357490}">
          <x15:cacheHierarchy aggregatedColumn="18"/>
        </ext>
      </extLst>
    </cacheHierarchy>
    <cacheHierarchy uniqueName="[Measures].[Sum of Product_Rating]" caption="Sum of Product_Rating" measure="1" displayFolder="" measureGroup="Range" count="0" hidden="1">
      <extLst>
        <ext xmlns:x15="http://schemas.microsoft.com/office/spreadsheetml/2010/11/main" uri="{B97F6D7D-B522-45F9-BDA1-12C45D357490}">
          <x15:cacheHierarchy aggregatedColumn="14"/>
        </ext>
      </extLst>
    </cacheHierarchy>
    <cacheHierarchy uniqueName="[Measures].[Sum of Customer_Satisfaction]" caption="Sum of Customer_Satisfaction" measure="1" displayFolder="" measureGroup="Range" count="0" hidden="1">
      <extLst>
        <ext xmlns:x15="http://schemas.microsoft.com/office/spreadsheetml/2010/11/main" uri="{B97F6D7D-B522-45F9-BDA1-12C45D357490}">
          <x15:cacheHierarchy aggregatedColumn="19"/>
        </ext>
      </extLst>
    </cacheHierarchy>
    <cacheHierarchy uniqueName="[Measures].[Average of Customer_Satisfaction]" caption="Average of Customer_Satisfaction" measure="1" displayFolder="" measureGroup="Range" count="0" hidden="1">
      <extLst>
        <ext xmlns:x15="http://schemas.microsoft.com/office/spreadsheetml/2010/11/main" uri="{B97F6D7D-B522-45F9-BDA1-12C45D357490}">
          <x15:cacheHierarchy aggregatedColumn="19"/>
        </ext>
      </extLst>
    </cacheHierarchy>
  </cacheHierarchies>
  <kpis count="0"/>
  <dimensions count="2">
    <dimension measure="1" name="Measures" uniqueName="[Measures]" caption="Measures"/>
    <dimension name="Range" uniqueName="[Range]" caption="Range"/>
  </dimensions>
  <measureGroups count="1">
    <measureGroup name="Range" caption="Range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20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SHILPA ROY" refreshedDate="46176.590274305556" backgroundQuery="1" createdVersion="8" refreshedVersion="8" minRefreshableVersion="3" recordCount="0" supportSubquery="1" supportAdvancedDrill="1" xr:uid="{FEB2D2B9-8DB1-432D-97C0-875D1C9A4A7B}">
  <cacheSource type="external" connectionId="1"/>
  <cacheFields count="1">
    <cacheField name="[Measures].[Average of Customer_Satisfaction]" caption="Average of Customer_Satisfaction" numFmtId="0" hierarchy="45" level="32767"/>
  </cacheFields>
  <cacheHierarchies count="46">
    <cacheHierarchy uniqueName="[Range].[Customer_ID]" caption="Customer_ID" attribute="1" defaultMemberUniqueName="[Range].[Customer_ID].[All]" allUniqueName="[Range].[Customer_ID].[All]" dimensionUniqueName="[Range]" displayFolder="" count="0" memberValueDatatype="130" unbalanced="0"/>
    <cacheHierarchy uniqueName="[Range].[Age]" caption="Age" attribute="1" defaultMemberUniqueName="[Range].[Age].[All]" allUniqueName="[Range].[Age].[All]" dimensionUniqueName="[Range]" displayFolder="" count="0" memberValueDatatype="20" unbalanced="0"/>
    <cacheHierarchy uniqueName="[Range].[Age-Group]" caption="Age-Group" attribute="1" defaultMemberUniqueName="[Range].[Age-Group].[All]" allUniqueName="[Range].[Age-Group].[All]" dimensionUniqueName="[Range]" displayFolder="" count="0" memberValueDatatype="130" unbalanced="0"/>
    <cacheHierarchy uniqueName="[Range].[Gender]" caption="Gender" attribute="1" defaultMemberUniqueName="[Range].[Gender].[All]" allUniqueName="[Range].[Gender].[All]" dimensionUniqueName="[Range]" displayFolder="" count="0" memberValueDatatype="130" unbalanced="0"/>
    <cacheHierarchy uniqueName="[Range].[Income_Level]" caption="Income_Level" attribute="1" defaultMemberUniqueName="[Range].[Income_Level].[All]" allUniqueName="[Range].[Income_Level].[All]" dimensionUniqueName="[Range]" displayFolder="" count="0" memberValueDatatype="130" unbalanced="0"/>
    <cacheHierarchy uniqueName="[Range].[Marital_Status]" caption="Marital_Status" attribute="1" defaultMemberUniqueName="[Range].[Marital_Status].[All]" allUniqueName="[Range].[Marital_Status].[All]" dimensionUniqueName="[Range]" displayFolder="" count="0" memberValueDatatype="130" unbalanced="0"/>
    <cacheHierarchy uniqueName="[Range].[Education_Level]" caption="Education_Level" attribute="1" defaultMemberUniqueName="[Range].[Education_Level].[All]" allUniqueName="[Range].[Education_Level].[All]" dimensionUniqueName="[Range]" displayFolder="" count="0" memberValueDatatype="130" unbalanced="0"/>
    <cacheHierarchy uniqueName="[Range].[Occupation]" caption="Occupation" attribute="1" defaultMemberUniqueName="[Range].[Occupation].[All]" allUniqueName="[Range].[Occupation].[All]" dimensionUniqueName="[Range]" displayFolder="" count="0" memberValueDatatype="130" unbalanced="0"/>
    <cacheHierarchy uniqueName="[Range].[Location]" caption="Location" attribute="1" defaultMemberUniqueName="[Range].[Location].[All]" allUniqueName="[Range].[Location].[All]" dimensionUniqueName="[Range]" displayFolder="" count="0" memberValueDatatype="130" unbalanced="0"/>
    <cacheHierarchy uniqueName="[Range].[Purchase_Category]" caption="Purchase_Category" attribute="1" defaultMemberUniqueName="[Range].[Purchase_Category].[All]" allUniqueName="[Range].[Purchase_Category].[All]" dimensionUniqueName="[Range]" displayFolder="" count="0" memberValueDatatype="130" unbalanced="0"/>
    <cacheHierarchy uniqueName="[Range].[Purchase_Amount]" caption="Purchase_Amount" attribute="1" defaultMemberUniqueName="[Range].[Purchase_Amount].[All]" allUniqueName="[Range].[Purchase_Amount].[All]" dimensionUniqueName="[Range]" displayFolder="" count="0" memberValueDatatype="5" unbalanced="0"/>
    <cacheHierarchy uniqueName="[Range].[Frequency_of_Purchase]" caption="Frequency_of_Purchase" attribute="1" defaultMemberUniqueName="[Range].[Frequency_of_Purchase].[All]" allUniqueName="[Range].[Frequency_of_Purchase].[All]" dimensionUniqueName="[Range]" displayFolder="" count="0" memberValueDatatype="20" unbalanced="0"/>
    <cacheHierarchy uniqueName="[Range].[Purchase_Channel]" caption="Purchase_Channel" attribute="1" defaultMemberUniqueName="[Range].[Purchase_Channel].[All]" allUniqueName="[Range].[Purchase_Channel].[All]" dimensionUniqueName="[Range]" displayFolder="" count="0" memberValueDatatype="130" unbalanced="0"/>
    <cacheHierarchy uniqueName="[Range].[Brand_Loyalty]" caption="Brand_Loyalty" attribute="1" defaultMemberUniqueName="[Range].[Brand_Loyalty].[All]" allUniqueName="[Range].[Brand_Loyalty].[All]" dimensionUniqueName="[Range]" displayFolder="" count="0" memberValueDatatype="20" unbalanced="0"/>
    <cacheHierarchy uniqueName="[Range].[Product_Rating]" caption="Product_Rating" attribute="1" defaultMemberUniqueName="[Range].[Product_Rating].[All]" allUniqueName="[Range].[Product_Rating].[All]" dimensionUniqueName="[Range]" displayFolder="" count="0" memberValueDatatype="20" unbalanced="0"/>
    <cacheHierarchy uniqueName="[Range].[Time_Spent_on_Product_Research(hours)]" caption="Time_Spent_on_Product_Research(hours)" attribute="1" defaultMemberUniqueName="[Range].[Time_Spent_on_Product_Research(hours)].[All]" allUniqueName="[Range].[Time_Spent_on_Product_Research(hours)].[All]" dimensionUniqueName="[Range]" displayFolder="" count="0" memberValueDatatype="5" unbalanced="0"/>
    <cacheHierarchy uniqueName="[Range].[Social_Media_Influence]" caption="Social_Media_Influence" attribute="1" defaultMemberUniqueName="[Range].[Social_Media_Influence].[All]" allUniqueName="[Range].[Social_Media_Influence].[All]" dimensionUniqueName="[Range]" displayFolder="" count="0" memberValueDatatype="130" unbalanced="0"/>
    <cacheHierarchy uniqueName="[Range].[Discount_Sensitivity]" caption="Discount_Sensitivity" attribute="1" defaultMemberUniqueName="[Range].[Discount_Sensitivity].[All]" allUniqueName="[Range].[Discount_Sensitivity].[All]" dimensionUniqueName="[Range]" displayFolder="" count="0" memberValueDatatype="130" unbalanced="0"/>
    <cacheHierarchy uniqueName="[Range].[Return_Rate]" caption="Return_Rate" attribute="1" defaultMemberUniqueName="[Range].[Return_Rate].[All]" allUniqueName="[Range].[Return_Rate].[All]" dimensionUniqueName="[Range]" displayFolder="" count="0" memberValueDatatype="20" unbalanced="0"/>
    <cacheHierarchy uniqueName="[Range].[Customer_Satisfaction]" caption="Customer_Satisfaction" attribute="1" defaultMemberUniqueName="[Range].[Customer_Satisfaction].[All]" allUniqueName="[Range].[Customer_Satisfaction].[All]" dimensionUniqueName="[Range]" displayFolder="" count="0" memberValueDatatype="20" unbalanced="0"/>
    <cacheHierarchy uniqueName="[Range].[Engagement_with_Ads]" caption="Engagement_with_Ads" attribute="1" defaultMemberUniqueName="[Range].[Engagement_with_Ads].[All]" allUniqueName="[Range].[Engagement_with_Ads].[All]" dimensionUniqueName="[Range]" displayFolder="" count="0" memberValueDatatype="130" unbalanced="0"/>
    <cacheHierarchy uniqueName="[Range].[Device_Used_for_Shopping]" caption="Device_Used_for_Shopping" attribute="1" defaultMemberUniqueName="[Range].[Device_Used_for_Shopping].[All]" allUniqueName="[Range].[Device_Used_for_Shopping].[All]" dimensionUniqueName="[Range]" displayFolder="" count="0" memberValueDatatype="130" unbalanced="0"/>
    <cacheHierarchy uniqueName="[Range].[Payment_Method]" caption="Payment_Method" attribute="1" defaultMemberUniqueName="[Range].[Payment_Method].[All]" allUniqueName="[Range].[Payment_Method].[All]" dimensionUniqueName="[Range]" displayFolder="" count="0" memberValueDatatype="130" unbalanced="0"/>
    <cacheHierarchy uniqueName="[Range].[Time_of_Purchase]" caption="Time_of_Purchase" attribute="1" time="1" defaultMemberUniqueName="[Range].[Time_of_Purchase].[All]" allUniqueName="[Range].[Time_of_Purchase].[All]" dimensionUniqueName="[Range]" displayFolder="" count="0" memberValueDatatype="7" unbalanced="0"/>
    <cacheHierarchy uniqueName="[Range].[Month]" caption="Month" attribute="1" defaultMemberUniqueName="[Range].[Month].[All]" allUniqueName="[Range].[Month].[All]" dimensionUniqueName="[Range]" displayFolder="" count="0" memberValueDatatype="130" unbalanced="0"/>
    <cacheHierarchy uniqueName="[Range].[Year]" caption="Year" attribute="1" defaultMemberUniqueName="[Range].[Year].[All]" allUniqueName="[Range].[Year].[All]" dimensionUniqueName="[Range]" displayFolder="" count="0" memberValueDatatype="130" unbalanced="0"/>
    <cacheHierarchy uniqueName="[Range].[Discount_Used]" caption="Discount_Used" attribute="1" defaultMemberUniqueName="[Range].[Discount_Used].[All]" allUniqueName="[Range].[Discount_Used].[All]" dimensionUniqueName="[Range]" displayFolder="" count="0" memberValueDatatype="11" unbalanced="0"/>
    <cacheHierarchy uniqueName="[Range].[Customer_Loyalty_Program_Member]" caption="Customer_Loyalty_Program_Member" attribute="1" defaultMemberUniqueName="[Range].[Customer_Loyalty_Program_Member].[All]" allUniqueName="[Range].[Customer_Loyalty_Program_Member].[All]" dimensionUniqueName="[Range]" displayFolder="" count="0" memberValueDatatype="11" unbalanced="0"/>
    <cacheHierarchy uniqueName="[Range].[Purchase_Intent]" caption="Purchase_Intent" attribute="1" defaultMemberUniqueName="[Range].[Purchase_Intent].[All]" allUniqueName="[Range].[Purchase_Intent].[All]" dimensionUniqueName="[Range]" displayFolder="" count="0" memberValueDatatype="130" unbalanced="0"/>
    <cacheHierarchy uniqueName="[Range].[Shipping_Preference]" caption="Shipping_Preference" attribute="1" defaultMemberUniqueName="[Range].[Shipping_Preference].[All]" allUniqueName="[Range].[Shipping_Preference].[All]" dimensionUniqueName="[Range]" displayFolder="" count="0" memberValueDatatype="130" unbalanced="0"/>
    <cacheHierarchy uniqueName="[Range].[Time_to_Decision]" caption="Time_to_Decision" attribute="1" defaultMemberUniqueName="[Range].[Time_to_Decision].[All]" allUniqueName="[Range].[Time_to_Decision].[All]" dimensionUniqueName="[Range]" displayFolder="" count="0" memberValueDatatype="20" unbalanced="0"/>
    <cacheHierarchy uniqueName="[Range].[Time_of_Purchase (Year)]" caption="Time_of_Purchase (Year)" attribute="1" defaultMemberUniqueName="[Range].[Time_of_Purchase (Year)].[All]" allUniqueName="[Range].[Time_of_Purchase (Year)].[All]" dimensionUniqueName="[Range]" displayFolder="" count="0" memberValueDatatype="130" unbalanced="0"/>
    <cacheHierarchy uniqueName="[Range].[Time_of_Purchase (Quarter)]" caption="Time_of_Purchase (Quarter)" attribute="1" defaultMemberUniqueName="[Range].[Time_of_Purchase (Quarter)].[All]" allUniqueName="[Range].[Time_of_Purchase (Quarter)].[All]" dimensionUniqueName="[Range]" displayFolder="" count="0" memberValueDatatype="130" unbalanced="0"/>
    <cacheHierarchy uniqueName="[Range].[Time_of_Purchase (Month)]" caption="Time_of_Purchase (Month)" attribute="1" defaultMemberUniqueName="[Range].[Time_of_Purchase (Month)].[All]" allUniqueName="[Range].[Time_of_Purchase (Month)].[All]" dimensionUniqueName="[Range]" displayFolder="" count="0" memberValueDatatype="130" unbalanced="0"/>
    <cacheHierarchy uniqueName="[Range].[Time_of_Purchase (Month Index)]" caption="Time_of_Purchase (Month Index)" attribute="1" defaultMemberUniqueName="[Range].[Time_of_Purchase (Month Index)].[All]" allUniqueName="[Range].[Time_of_Purchase (Month Index)].[All]" dimensionUniqueName="[Range]" displayFolder="" count="0" memberValueDatatype="20" unbalanced="0" hidden="1"/>
    <cacheHierarchy uniqueName="[Measures].[__XL_Count Range]" caption="__XL_Count Range" measure="1" displayFolder="" measureGroup="Range" count="0" hidden="1"/>
    <cacheHierarchy uniqueName="[Measures].[__No measures defined]" caption="__No measures defined" measure="1" displayFolder="" count="0" hidden="1"/>
    <cacheHierarchy uniqueName="[Measures].[Sum of Purchase_Amount]" caption="Sum of Purchase_Amount" measure="1" displayFolder="" measureGroup="Range" count="0" hidden="1">
      <extLst>
        <ext xmlns:x15="http://schemas.microsoft.com/office/spreadsheetml/2010/11/main" uri="{B97F6D7D-B522-45F9-BDA1-12C45D357490}">
          <x15:cacheHierarchy aggregatedColumn="10"/>
        </ext>
      </extLst>
    </cacheHierarchy>
    <cacheHierarchy uniqueName="[Measures].[Sum of Time_Spent_on_Product_Research(hours)]" caption="Sum of Time_Spent_on_Product_Research(hours)" measure="1" displayFolder="" measureGroup="Range" count="0" hidden="1">
      <extLst>
        <ext xmlns:x15="http://schemas.microsoft.com/office/spreadsheetml/2010/11/main" uri="{B97F6D7D-B522-45F9-BDA1-12C45D357490}">
          <x15:cacheHierarchy aggregatedColumn="15"/>
        </ext>
      </extLst>
    </cacheHierarchy>
    <cacheHierarchy uniqueName="[Measures].[Sum of Time_to_Decision]" caption="Sum of Time_to_Decision" measure="1" displayFolder="" measureGroup="Range" count="0" hidden="1">
      <extLst>
        <ext xmlns:x15="http://schemas.microsoft.com/office/spreadsheetml/2010/11/main" uri="{B97F6D7D-B522-45F9-BDA1-12C45D357490}">
          <x15:cacheHierarchy aggregatedColumn="30"/>
        </ext>
      </extLst>
    </cacheHierarchy>
    <cacheHierarchy uniqueName="[Measures].[Sum of Brand_Loyalty]" caption="Sum of Brand_Loyalty" measure="1" displayFolder="" measureGroup="Range" count="0" hidden="1"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Average of Purchase_Amount]" caption="Average of Purchase_Amount" measure="1" displayFolder="" measureGroup="Range" count="0" hidden="1">
      <extLst>
        <ext xmlns:x15="http://schemas.microsoft.com/office/spreadsheetml/2010/11/main" uri="{B97F6D7D-B522-45F9-BDA1-12C45D357490}">
          <x15:cacheHierarchy aggregatedColumn="10"/>
        </ext>
      </extLst>
    </cacheHierarchy>
    <cacheHierarchy uniqueName="[Measures].[Sum of Return_Rate]" caption="Sum of Return_Rate" measure="1" displayFolder="" measureGroup="Range" count="0" hidden="1">
      <extLst>
        <ext xmlns:x15="http://schemas.microsoft.com/office/spreadsheetml/2010/11/main" uri="{B97F6D7D-B522-45F9-BDA1-12C45D357490}">
          <x15:cacheHierarchy aggregatedColumn="18"/>
        </ext>
      </extLst>
    </cacheHierarchy>
    <cacheHierarchy uniqueName="[Measures].[Sum of Product_Rating]" caption="Sum of Product_Rating" measure="1" displayFolder="" measureGroup="Range" count="0" hidden="1">
      <extLst>
        <ext xmlns:x15="http://schemas.microsoft.com/office/spreadsheetml/2010/11/main" uri="{B97F6D7D-B522-45F9-BDA1-12C45D357490}">
          <x15:cacheHierarchy aggregatedColumn="14"/>
        </ext>
      </extLst>
    </cacheHierarchy>
    <cacheHierarchy uniqueName="[Measures].[Sum of Customer_Satisfaction]" caption="Sum of Customer_Satisfaction" measure="1" displayFolder="" measureGroup="Range" count="0" hidden="1">
      <extLst>
        <ext xmlns:x15="http://schemas.microsoft.com/office/spreadsheetml/2010/11/main" uri="{B97F6D7D-B522-45F9-BDA1-12C45D357490}">
          <x15:cacheHierarchy aggregatedColumn="19"/>
        </ext>
      </extLst>
    </cacheHierarchy>
    <cacheHierarchy uniqueName="[Measures].[Average of Customer_Satisfaction]" caption="Average of Customer_Satisfaction" measure="1" displayFolder="" measureGroup="Range" count="0" oneField="1" hidden="1">
      <fieldsUsage count="1">
        <fieldUsage x="0"/>
      </fieldsUsage>
      <extLst>
        <ext xmlns:x15="http://schemas.microsoft.com/office/spreadsheetml/2010/11/main" uri="{B97F6D7D-B522-45F9-BDA1-12C45D357490}">
          <x15:cacheHierarchy aggregatedColumn="19"/>
        </ext>
      </extLst>
    </cacheHierarchy>
  </cacheHierarchies>
  <kpis count="0"/>
  <dimensions count="2">
    <dimension measure="1" name="Measures" uniqueName="[Measures]" caption="Measures"/>
    <dimension name="Range" uniqueName="[Range]" caption="Range"/>
  </dimensions>
  <measureGroups count="1">
    <measureGroup name="Range" caption="Range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0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6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7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8.xml"/></Relationships>
</file>

<file path=xl/pivotTables/_rels/pivotTable1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9.xml"/></Relationships>
</file>

<file path=xl/pivotTables/_rels/pivotTable1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0.xml"/></Relationships>
</file>

<file path=xl/pivotTables/_rels/pivotTable1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1.xml"/></Relationships>
</file>

<file path=xl/pivotTables/_rels/pivotTable1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2.xml"/></Relationships>
</file>

<file path=xl/pivotTables/_rels/pivotTable1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3.xml"/></Relationships>
</file>

<file path=xl/pivotTables/_rels/pivotTable1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4.xml"/></Relationships>
</file>

<file path=xl/pivotTables/_rels/pivotTable1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5.xml"/></Relationships>
</file>

<file path=xl/pivotTables/_rels/pivotTable1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6.xml"/></Relationships>
</file>

<file path=xl/pivotTables/_rels/pivotTable1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7.xml"/></Relationships>
</file>

<file path=xl/pivotTables/_rels/pivotTable1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8.xml"/></Relationships>
</file>

<file path=xl/pivotTables/_rels/pivotTable2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9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EA7ADE6-AA77-4C04-90A7-48767E667C14}" name="PivotTable1" cacheId="6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F29:F30" firstHeaderRow="1" firstDataRow="1" firstDataCol="0"/>
  <pivotFields count="1">
    <pivotField dataField="1" subtotalTop="0" showAll="0" defaultSubtotal="0"/>
  </pivotFields>
  <rowItems count="1">
    <i/>
  </rowItems>
  <colItems count="1">
    <i/>
  </colItems>
  <dataFields count="1">
    <dataField name="Average of Customer_Satisfaction" fld="0" subtotal="average" baseField="0" baseItem="0" numFmtId="10"/>
  </dataFields>
  <pivotHierarchies count="46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 caption="Average of Customer_Satisfaction"/>
  </pivotHierarchie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Ecommerce_Consumer_Behavior_Ana!$A$1:$AD$1001">
        <x15:activeTabTopLevelEntity name="[Range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5C40780-5506-42A2-A83E-33734ECF08A5}" name="PivotTable27" cacheId="45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outline="1" outlineData="1" multipleFieldFilters="0">
  <location ref="O15:P18" firstHeaderRow="1" firstDataRow="1" firstDataCol="1"/>
  <pivotFields count="2">
    <pivotField axis="axisRow" allDrilled="1" subtotalTop="0" showAll="0" dataSourceSort="1" defaultSubtotal="0" defaultAttributeDrillState="1">
      <items count="3">
        <item x="0"/>
        <item x="1"/>
        <item x="2"/>
      </items>
    </pivotField>
    <pivotField dataField="1" subtotalTop="0" showAll="0" defaultSubtotal="0"/>
  </pivotFields>
  <rowFields count="1">
    <field x="0"/>
  </rowFields>
  <rowItems count="3">
    <i>
      <x/>
    </i>
    <i>
      <x v="1"/>
    </i>
    <i>
      <x v="2"/>
    </i>
  </rowItems>
  <colItems count="1">
    <i/>
  </colItems>
  <dataFields count="1">
    <dataField name="Sum of Purchase_Amount" fld="1" baseField="0" baseItem="0"/>
  </dataFields>
  <pivotHierarchies count="46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25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Ecommerce_Consumer_Behavior_Ana!$A$1:$AD$1001">
        <x15:activeTabTopLevelEntity name="[Range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FE6F5B4-3EF6-4228-A888-B2A9EAFBC86A}" name="PivotTable13" cacheId="46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outline="1" outlineData="1" multipleFieldFilters="0">
  <location ref="F8:G11" firstHeaderRow="1" firstDataRow="1" firstDataCol="1"/>
  <pivotFields count="2">
    <pivotField axis="axisRow" allDrilled="1" subtotalTop="0" showAll="0" dataSourceSort="1" defaultSubtotal="0" defaultAttributeDrillState="1">
      <items count="3">
        <item x="0"/>
        <item x="1"/>
        <item x="2"/>
      </items>
    </pivotField>
    <pivotField dataField="1" subtotalTop="0" showAll="0" defaultSubtotal="0"/>
  </pivotFields>
  <rowFields count="1">
    <field x="0"/>
  </rowFields>
  <rowItems count="3">
    <i>
      <x/>
    </i>
    <i>
      <x v="1"/>
    </i>
    <i>
      <x v="2"/>
    </i>
  </rowItems>
  <colItems count="1">
    <i/>
  </colItems>
  <dataFields count="1">
    <dataField name="Sum of Purchase_Amount" fld="1" baseField="0" baseItem="0"/>
  </dataFields>
  <pivotHierarchies count="46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12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Ecommerce_Consumer_Behavior_Ana!$A$1:$AD$1001">
        <x15:activeTabTopLevelEntity name="[Range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61F5A1E-35E3-4BD2-928E-A7996C9668BF}" name="PivotTable15" cacheId="47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outline="1" outlineData="1" multipleFieldFilters="0">
  <location ref="F20:G23" firstHeaderRow="1" firstDataRow="1" firstDataCol="1"/>
  <pivotFields count="2">
    <pivotField axis="axisRow" allDrilled="1" subtotalTop="0" showAll="0" dataSourceSort="1" defaultSubtotal="0" defaultAttributeDrillState="1">
      <items count="3">
        <item x="0"/>
        <item x="1"/>
        <item x="2"/>
      </items>
    </pivotField>
    <pivotField dataField="1" subtotalTop="0" showAll="0" defaultSubtotal="0"/>
  </pivotFields>
  <rowFields count="1">
    <field x="0"/>
  </rowFields>
  <rowItems count="3">
    <i>
      <x/>
    </i>
    <i>
      <x v="1"/>
    </i>
    <i>
      <x v="2"/>
    </i>
  </rowItems>
  <colItems count="1">
    <i/>
  </colItems>
  <dataFields count="1">
    <dataField name="Sum of Purchase_Amount" fld="1" baseField="0" baseItem="0"/>
  </dataFields>
  <pivotHierarchies count="46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21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Ecommerce_Consumer_Behavior_Ana!$A$1:$AD$1001">
        <x15:activeTabTopLevelEntity name="[Range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40D6472-C104-492C-911D-51665EEC5975}" name="PivotTable11" cacheId="48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outline="1" outlineData="1" multipleFieldFilters="0">
  <location ref="C15:D17" firstHeaderRow="1" firstDataRow="1" firstDataCol="1"/>
  <pivotFields count="2">
    <pivotField axis="axisRow" allDrilled="1" subtotalTop="0" showAll="0" dataSourceSort="1" defaultSubtotal="0" defaultAttributeDrillState="1">
      <items count="2">
        <item x="0"/>
        <item x="1"/>
      </items>
    </pivotField>
    <pivotField dataField="1" subtotalTop="0" showAll="0" defaultSubtotal="0"/>
  </pivotFields>
  <rowFields count="1">
    <field x="0"/>
  </rowFields>
  <rowItems count="2">
    <i>
      <x/>
    </i>
    <i>
      <x v="1"/>
    </i>
  </rowItems>
  <colItems count="1">
    <i/>
  </colItems>
  <dataFields count="1">
    <dataField name="Sum of Purchase_Amount" fld="1" baseField="0" baseItem="0"/>
  </dataFields>
  <pivotHierarchies count="46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7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Ecommerce_Consumer_Behavior_Ana!$A$1:$AD$1001">
        <x15:activeTabTopLevelEntity name="[Range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AC1BB7D-B59C-4C66-99E5-D8DC72B79E65}" name="PivotTable9" cacheId="49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outline="1" outlineData="1" multipleFieldFilters="0">
  <location ref="C7:D9" firstHeaderRow="1" firstDataRow="1" firstDataCol="1"/>
  <pivotFields count="2">
    <pivotField axis="axisRow" allDrilled="1" subtotalTop="0" showAll="0" dataSourceSort="1" defaultSubtotal="0" defaultAttributeDrillState="1">
      <items count="2">
        <item s="1" x="0"/>
        <item s="1" x="1"/>
      </items>
    </pivotField>
    <pivotField dataField="1" subtotalTop="0" showAll="0" defaultSubtotal="0"/>
  </pivotFields>
  <rowFields count="1">
    <field x="0"/>
  </rowFields>
  <rowItems count="2">
    <i>
      <x/>
    </i>
    <i>
      <x v="1"/>
    </i>
  </rowItems>
  <colItems count="1">
    <i/>
  </colItems>
  <dataFields count="1">
    <dataField name="Sum of Purchase_Amount" fld="1" baseField="0" baseItem="0"/>
  </dataFields>
  <pivotHierarchies count="46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3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Ecommerce_Consumer_Behavior_Ana!$A$1:$AD$1001">
        <x15:activeTabTopLevelEntity name="[Range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225FE2-DAA4-4E83-A3CD-FE73AB6EBE66}" name="PivotTable26" cacheId="50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outline="1" outlineData="1" multipleFieldFilters="0">
  <location ref="O1:P13" firstHeaderRow="1" firstDataRow="1" firstDataCol="1"/>
  <pivotFields count="2">
    <pivotField axis="axisRow" allDrilled="1" subtotalTop="0" showAll="0" dataSourceSort="1" defaultSubtotal="0" defaultAttributeDrillState="1">
      <items count="12">
        <item x="0"/>
        <item x="1"/>
        <item x="2"/>
        <item x="3"/>
        <item x="4"/>
        <item x="5"/>
        <item x="6"/>
        <item x="7"/>
        <item x="8"/>
        <item x="9"/>
        <item x="10"/>
        <item x="11"/>
      </items>
    </pivotField>
    <pivotField dataField="1" subtotalTop="0" showAll="0" defaultSubtotal="0"/>
  </pivotFields>
  <rowFields count="1">
    <field x="0"/>
  </rowFields>
  <rowItems count="1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</rowItems>
  <colItems count="1">
    <i/>
  </colItems>
  <dataFields count="1">
    <dataField name="Sum of Purchase_Amount" fld="1" baseField="0" baseItem="0"/>
  </dataFields>
  <pivotHierarchies count="46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24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Ecommerce_Consumer_Behavior_Ana!$A$1:$AD$1001">
        <x15:activeTabTopLevelEntity name="[Range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0DF815E-4B1A-4442-BC85-1AAB5A755D01}" name="PivotTable17" cacheId="51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outline="1" outlineData="1" multipleFieldFilters="0">
  <location ref="I1:J5" firstHeaderRow="1" firstDataRow="1" firstDataCol="1"/>
  <pivotFields count="2">
    <pivotField axis="axisRow" allDrilled="1" subtotalTop="0" showAll="0" dataSourceSort="1" defaultSubtotal="0" defaultAttributeDrillState="1">
      <items count="4">
        <item x="0"/>
        <item x="1"/>
        <item x="2"/>
        <item x="3"/>
      </items>
    </pivotField>
    <pivotField dataField="1" subtotalTop="0" showAll="0" defaultSubtotal="0"/>
  </pivotFields>
  <rowFields count="1">
    <field x="0"/>
  </rowFields>
  <rowItems count="4">
    <i>
      <x/>
    </i>
    <i>
      <x v="1"/>
    </i>
    <i>
      <x v="2"/>
    </i>
    <i>
      <x v="3"/>
    </i>
  </rowItems>
  <colItems count="1">
    <i/>
  </colItems>
  <dataFields count="1">
    <dataField name="Sum of Purchase_Amount" fld="1" baseField="0" baseItem="0"/>
  </dataFields>
  <pivotHierarchies count="46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16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Ecommerce_Consumer_Behavior_Ana!$A$1:$AD$1001">
        <x15:activeTabTopLevelEntity name="[Range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BD58284-4C49-4D5A-9093-C2AAA1231A0F}" name="PivotTable14" cacheId="52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outline="1" outlineData="1" multipleFieldFilters="0">
  <location ref="F13:G18" firstHeaderRow="1" firstDataRow="1" firstDataCol="1"/>
  <pivotFields count="2">
    <pivotField axis="axisRow" allDrilled="1" subtotalTop="0" showAll="0" dataSourceSort="1" defaultSubtotal="0" defaultAttributeDrillState="1">
      <items count="5">
        <item x="0"/>
        <item x="1"/>
        <item x="2"/>
        <item x="3"/>
        <item x="4"/>
      </items>
    </pivotField>
    <pivotField dataField="1" subtotalTop="0" showAll="0" defaultSubtotal="0"/>
  </pivotFields>
  <rowFields count="1">
    <field x="0"/>
  </rowFields>
  <rowItems count="5">
    <i>
      <x/>
    </i>
    <i>
      <x v="1"/>
    </i>
    <i>
      <x v="2"/>
    </i>
    <i>
      <x v="3"/>
    </i>
    <i>
      <x v="4"/>
    </i>
  </rowItems>
  <colItems count="1">
    <i/>
  </colItems>
  <dataFields count="1">
    <dataField name="Sum of Purchase_Amount" fld="1" baseField="0" baseItem="0"/>
  </dataFields>
  <pivotHierarchies count="46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22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Ecommerce_Consumer_Behavior_Ana!$A$1:$AD$1001">
        <x15:activeTabTopLevelEntity name="[Range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1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34CB47E-0A97-4969-A769-B8ED98D22BD8}" name="PivotTable22" cacheId="53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outline="1" outlineData="1" multipleFieldFilters="0">
  <location ref="L1:M3" firstHeaderRow="1" firstDataRow="1" firstDataCol="1"/>
  <pivotFields count="2">
    <pivotField axis="axisRow" allDrilled="1" subtotalTop="0" showAll="0" dataSourceSort="1" defaultSubtotal="0" defaultAttributeDrillState="1">
      <items count="2">
        <item x="0"/>
        <item x="1"/>
      </items>
    </pivotField>
    <pivotField dataField="1" subtotalTop="0" showAll="0" defaultSubtotal="0"/>
  </pivotFields>
  <rowFields count="1">
    <field x="0"/>
  </rowFields>
  <rowItems count="2">
    <i>
      <x/>
    </i>
    <i>
      <x v="1"/>
    </i>
  </rowItems>
  <colItems count="1">
    <i/>
  </colItems>
  <dataFields count="1">
    <dataField name="Sum of Purchase_Amount" fld="1" baseField="0" baseItem="0"/>
  </dataFields>
  <pivotHierarchies count="46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26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Ecommerce_Consumer_Behavior_Ana!$A$1:$AD$1001">
        <x15:activeTabTopLevelEntity name="[Range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1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30CA70A-4DDA-4F14-97F0-D927A13C205B}" name="PivotTable23" cacheId="54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outline="1" outlineData="1" multipleFieldFilters="0">
  <location ref="L5:M10" firstHeaderRow="1" firstDataRow="1" firstDataCol="1"/>
  <pivotFields count="2">
    <pivotField axis="axisRow" allDrilled="1" subtotalTop="0" showAll="0" dataSourceSort="1" defaultSubtotal="0" defaultAttributeDrillState="1">
      <items count="5">
        <item x="0"/>
        <item x="1"/>
        <item x="2"/>
        <item x="3"/>
        <item x="4"/>
      </items>
    </pivotField>
    <pivotField dataField="1" subtotalTop="0" showAll="0" defaultSubtotal="0"/>
  </pivotFields>
  <rowFields count="1">
    <field x="0"/>
  </rowFields>
  <rowItems count="5">
    <i>
      <x/>
    </i>
    <i>
      <x v="1"/>
    </i>
    <i>
      <x v="2"/>
    </i>
    <i>
      <x v="3"/>
    </i>
    <i>
      <x v="4"/>
    </i>
  </rowItems>
  <colItems count="1">
    <i/>
  </colItems>
  <dataFields count="1">
    <dataField name="Sum of Purchase_Amount" fld="1" baseField="0" baseItem="0"/>
  </dataFields>
  <pivotHierarchies count="46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14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Ecommerce_Consumer_Behavior_Ana!$A$1:$AD$1001">
        <x15:activeTabTopLevelEntity name="[Range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1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D55E93B-315D-4165-AA5A-D205F20C5877}" name="PivotTable12" cacheId="55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outline="1" outlineData="1" multipleFieldFilters="0">
  <location ref="F1:G6" firstHeaderRow="1" firstDataRow="1" firstDataCol="1"/>
  <pivotFields count="2">
    <pivotField axis="axisRow" allDrilled="1" subtotalTop="0" showAll="0" measureFilter="1" dataSourceSort="1" defaultSubtotal="0" defaultAttributeDrillState="1">
      <items count="5">
        <item x="0"/>
        <item x="1"/>
        <item x="2"/>
        <item x="3"/>
        <item x="4"/>
      </items>
    </pivotField>
    <pivotField dataField="1" subtotalTop="0" showAll="0" defaultSubtotal="0"/>
  </pivotFields>
  <rowFields count="1">
    <field x="0"/>
  </rowFields>
  <rowItems count="5">
    <i>
      <x/>
    </i>
    <i>
      <x v="1"/>
    </i>
    <i>
      <x v="2"/>
    </i>
    <i>
      <x v="3"/>
    </i>
    <i>
      <x v="4"/>
    </i>
  </rowItems>
  <colItems count="1">
    <i/>
  </colItems>
  <dataFields count="1">
    <dataField name="Sum of Purchase_Amount" fld="1" baseField="0" baseItem="0"/>
  </dataFields>
  <pivotHierarchies count="46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filters count="1">
    <filter fld="0" type="count" id="1" iMeasureHier="37">
      <autoFilter ref="A1">
        <filterColumn colId="0">
          <top10 val="5" filterVal="5"/>
        </filterColumn>
      </autoFilter>
    </filter>
  </filters>
  <rowHierarchiesUsage count="1">
    <rowHierarchyUsage hierarchyUsage="9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Ecommerce_Consumer_Behavior_Ana!$A$1:$AD$1001">
        <x15:activeTabTopLevelEntity name="[Range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1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1896438-0EB3-428B-BB31-C20A44E0730A}" name="PivotTable18" cacheId="5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I8:I9" firstHeaderRow="1" firstDataRow="1" firstDataCol="0"/>
  <pivotFields count="1">
    <pivotField dataField="1" subtotalTop="0" showAll="0" defaultSubtotal="0"/>
  </pivotFields>
  <rowItems count="1">
    <i/>
  </rowItems>
  <colItems count="1">
    <i/>
  </colItems>
  <dataFields count="1">
    <dataField name="Average of Purchase_Amount" fld="0" subtotal="average" baseField="0" baseItem="0"/>
  </dataFields>
  <pivotHierarchies count="46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 caption="Average of Purchase_Amount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Ecommerce_Consumer_Behavior_Ana!$A$1:$AD$1001">
        <x15:activeTabTopLevelEntity name="[Range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1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52B2871-7758-4FD9-877B-53B409A00B64}" name="PivotTable24" cacheId="57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outline="1" outlineData="1" multipleFieldFilters="0">
  <location ref="L12:M26" firstHeaderRow="1" firstDataRow="1" firstDataCol="1"/>
  <pivotFields count="2">
    <pivotField axis="axisRow" allDrilled="1" subtotalTop="0" showAll="0" dataSourceSort="1" defaultSubtotal="0" defaultAttributeDrillState="1">
      <items count="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</items>
    </pivotField>
    <pivotField dataField="1" subtotalTop="0" showAll="0" defaultSubtotal="0"/>
  </pivotFields>
  <rowFields count="1">
    <field x="0"/>
  </rowFields>
  <rowItems count="14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</rowItems>
  <colItems count="1">
    <i/>
  </colItems>
  <dataFields count="1">
    <dataField name="Sum of Purchase_Amount" fld="1" baseField="0" baseItem="0"/>
  </dataFields>
  <pivotHierarchies count="46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30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Ecommerce_Consumer_Behavior_Ana!$A$1:$AD$1001">
        <x15:activeTabTopLevelEntity name="[Range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1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4AED7D5-69D3-44D5-AE3C-4F5F12E81899}" name="PivotTable19" cacheId="58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outline="1" outlineData="1" multipleFieldFilters="0">
  <location ref="I11:J16" firstHeaderRow="1" firstDataRow="1" firstDataCol="1"/>
  <pivotFields count="2">
    <pivotField dataField="1" subtotalTop="0" showAll="0" defaultSubtotal="0"/>
    <pivotField axis="axisRow" allDrilled="1" subtotalTop="0" showAll="0" dataSourceSort="1" defaultSubtotal="0" defaultAttributeDrillState="1">
      <items count="5">
        <item x="0"/>
        <item x="1"/>
        <item x="2"/>
        <item x="3"/>
        <item x="4"/>
      </items>
    </pivotField>
  </pivotFields>
  <rowFields count="1">
    <field x="1"/>
  </rowFields>
  <rowItems count="5">
    <i>
      <x/>
    </i>
    <i>
      <x v="1"/>
    </i>
    <i>
      <x v="2"/>
    </i>
    <i>
      <x v="3"/>
    </i>
    <i>
      <x v="4"/>
    </i>
  </rowItems>
  <colItems count="1">
    <i/>
  </colItems>
  <dataFields count="1">
    <dataField name="Sum of Purchase_Amount" fld="0" baseField="0" baseItem="0"/>
  </dataFields>
  <pivotHierarchies count="46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13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Ecommerce_Consumer_Behavior_Ana!$A$1:$AD$1001">
        <x15:activeTabTopLevelEntity name="[Range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1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89F3FB1-2C9A-41BB-B0DF-4D3852135932}" name="PivotTable21" cacheId="59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outline="1" outlineData="1" multipleFieldFilters="0">
  <location ref="I23:J27" firstHeaderRow="1" firstDataRow="1" firstDataCol="1"/>
  <pivotFields count="2">
    <pivotField axis="axisRow" allDrilled="1" subtotalTop="0" showAll="0" dataSourceSort="1" defaultSubtotal="0" defaultAttributeDrillState="1">
      <items count="4">
        <item x="0"/>
        <item x="1"/>
        <item x="2"/>
        <item x="3"/>
      </items>
    </pivotField>
    <pivotField dataField="1" subtotalTop="0" showAll="0" defaultSubtotal="0"/>
  </pivotFields>
  <rowFields count="1">
    <field x="0"/>
  </rowFields>
  <rowItems count="4">
    <i>
      <x/>
    </i>
    <i>
      <x v="1"/>
    </i>
    <i>
      <x v="2"/>
    </i>
    <i>
      <x v="3"/>
    </i>
  </rowItems>
  <colItems count="1">
    <i/>
  </colItems>
  <dataFields count="1">
    <dataField name="Sum of Purchase_Amount" fld="1" baseField="0" baseItem="0"/>
  </dataFields>
  <pivotHierarchies count="46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20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Ecommerce_Consumer_Behavior_Ana!$A$1:$AD$1001">
        <x15:activeTabTopLevelEntity name="[Range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1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3F0E2C9-F0F2-47A3-A45C-E36B20822F89}" name="PivotTable20" cacheId="60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outline="1" outlineData="1" multipleFieldFilters="0">
  <location ref="I18:J21" firstHeaderRow="1" firstDataRow="1" firstDataCol="1"/>
  <pivotFields count="2">
    <pivotField dataField="1" subtotalTop="0" showAll="0" defaultSubtotal="0"/>
    <pivotField axis="axisRow" allDrilled="1" subtotalTop="0" showAll="0" dataSourceSort="1" defaultSubtotal="0" defaultAttributeDrillState="1">
      <items count="3">
        <item x="0"/>
        <item x="1"/>
        <item x="2"/>
      </items>
    </pivotField>
  </pivotFields>
  <rowFields count="1">
    <field x="1"/>
  </rowFields>
  <rowItems count="3">
    <i>
      <x/>
    </i>
    <i>
      <x v="1"/>
    </i>
    <i>
      <x v="2"/>
    </i>
  </rowItems>
  <colItems count="1">
    <i/>
  </colItems>
  <dataFields count="1">
    <dataField name="Sum of Purchase_Amount" fld="0" baseField="0" baseItem="0"/>
  </dataFields>
  <pivotHierarchies count="46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18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Ecommerce_Consumer_Behavior_Ana!$A$1:$AD$1001">
        <x15:activeTabTopLevelEntity name="[Range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1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E1FD905-CB67-4DE5-9969-EA01754BD2AB}" name="PivotTable4" cacheId="6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1:A2" firstHeaderRow="1" firstDataRow="1" firstDataCol="0"/>
  <pivotFields count="1">
    <pivotField dataField="1" subtotalTop="0" showAll="0" defaultSubtotal="0"/>
  </pivotFields>
  <rowItems count="1">
    <i/>
  </rowItems>
  <colItems count="1">
    <i/>
  </colItems>
  <dataFields count="1">
    <dataField name="Sum of Purchase_Amount" fld="0" baseField="0" baseItem="0"/>
  </dataFields>
  <pivotHierarchies count="46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Ecommerce_Consumer_Behavior_Ana!$A$1:$AD$1001">
        <x15:activeTabTopLevelEntity name="[Range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1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4568197-869A-42BE-8D8A-B3CBF0861D21}" name="PivotTable8" cacheId="62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outline="1" outlineData="1" multipleFieldFilters="0">
  <location ref="C1:D5" firstHeaderRow="1" firstDataRow="1" firstDataCol="1"/>
  <pivotFields count="2">
    <pivotField axis="axisRow" allDrilled="1" subtotalTop="0" showAll="0" dataSourceSort="1" defaultSubtotal="0" defaultAttributeDrillState="1">
      <items count="4">
        <item x="0"/>
        <item x="1"/>
        <item x="2"/>
        <item x="3"/>
      </items>
    </pivotField>
    <pivotField dataField="1" subtotalTop="0" showAll="0" defaultSubtotal="0"/>
  </pivotFields>
  <rowFields count="1">
    <field x="0"/>
  </rowFields>
  <rowItems count="4">
    <i>
      <x/>
    </i>
    <i>
      <x v="1"/>
    </i>
    <i>
      <x v="2"/>
    </i>
    <i>
      <x v="3"/>
    </i>
  </rowItems>
  <colItems count="1">
    <i/>
  </colItems>
  <dataFields count="1">
    <dataField name="Sum of Purchase_Amount" fld="1" baseField="0" baseItem="0"/>
  </dataFields>
  <pivotHierarchies count="46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2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Ecommerce_Consumer_Behavior_Ana!$A$1:$AD$1001">
        <x15:activeTabTopLevelEntity name="[Range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1503053-FDAD-4590-8F60-3597BB67F8CC}" name="PivotTable10" cacheId="63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outline="1" outlineData="1" multipleFieldFilters="0">
  <location ref="C11:D13" firstHeaderRow="1" firstDataRow="1" firstDataCol="1"/>
  <pivotFields count="2">
    <pivotField axis="axisRow" allDrilled="1" subtotalTop="0" showAll="0" dataSourceSort="1" defaultSubtotal="0" defaultAttributeDrillState="1">
      <items count="2">
        <item x="0"/>
        <item x="1"/>
      </items>
    </pivotField>
    <pivotField dataField="1" subtotalTop="0" showAll="0" defaultSubtotal="0"/>
  </pivotFields>
  <rowFields count="1">
    <field x="0"/>
  </rowFields>
  <rowItems count="2">
    <i>
      <x/>
    </i>
    <i>
      <x v="1"/>
    </i>
  </rowItems>
  <colItems count="1">
    <i/>
  </colItems>
  <dataFields count="1">
    <dataField name="Sum of Purchase_Amount" fld="1" baseField="0" baseItem="0"/>
  </dataFields>
  <pivotHierarchies count="46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4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Ecommerce_Consumer_Behavior_Ana!$A$1:$AD$1001">
        <x15:activeTabTopLevelEntity name="[Range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pivotTable" Target="../pivotTables/pivotTable8.xml"/><Relationship Id="rId13" Type="http://schemas.openxmlformats.org/officeDocument/2006/relationships/pivotTable" Target="../pivotTables/pivotTable13.xml"/><Relationship Id="rId18" Type="http://schemas.openxmlformats.org/officeDocument/2006/relationships/pivotTable" Target="../pivotTables/pivotTable18.xml"/><Relationship Id="rId3" Type="http://schemas.openxmlformats.org/officeDocument/2006/relationships/pivotTable" Target="../pivotTables/pivotTable3.xml"/><Relationship Id="rId7" Type="http://schemas.openxmlformats.org/officeDocument/2006/relationships/pivotTable" Target="../pivotTables/pivotTable7.xml"/><Relationship Id="rId12" Type="http://schemas.openxmlformats.org/officeDocument/2006/relationships/pivotTable" Target="../pivotTables/pivotTable12.xml"/><Relationship Id="rId17" Type="http://schemas.openxmlformats.org/officeDocument/2006/relationships/pivotTable" Target="../pivotTables/pivotTable17.xml"/><Relationship Id="rId2" Type="http://schemas.openxmlformats.org/officeDocument/2006/relationships/pivotTable" Target="../pivotTables/pivotTable2.xml"/><Relationship Id="rId16" Type="http://schemas.openxmlformats.org/officeDocument/2006/relationships/pivotTable" Target="../pivotTables/pivotTable16.xml"/><Relationship Id="rId20" Type="http://schemas.openxmlformats.org/officeDocument/2006/relationships/pivotTable" Target="../pivotTables/pivotTable20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11" Type="http://schemas.openxmlformats.org/officeDocument/2006/relationships/pivotTable" Target="../pivotTables/pivotTable11.xml"/><Relationship Id="rId5" Type="http://schemas.openxmlformats.org/officeDocument/2006/relationships/pivotTable" Target="../pivotTables/pivotTable5.xml"/><Relationship Id="rId15" Type="http://schemas.openxmlformats.org/officeDocument/2006/relationships/pivotTable" Target="../pivotTables/pivotTable15.xml"/><Relationship Id="rId10" Type="http://schemas.openxmlformats.org/officeDocument/2006/relationships/pivotTable" Target="../pivotTables/pivotTable10.xml"/><Relationship Id="rId19" Type="http://schemas.openxmlformats.org/officeDocument/2006/relationships/pivotTable" Target="../pivotTables/pivotTable19.xml"/><Relationship Id="rId4" Type="http://schemas.openxmlformats.org/officeDocument/2006/relationships/pivotTable" Target="../pivotTables/pivotTable4.xml"/><Relationship Id="rId9" Type="http://schemas.openxmlformats.org/officeDocument/2006/relationships/pivotTable" Target="../pivotTables/pivotTable9.xml"/><Relationship Id="rId14" Type="http://schemas.openxmlformats.org/officeDocument/2006/relationships/pivotTable" Target="../pivotTables/pivotTable1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2D09B0-6307-4F44-852C-96881290F832}">
  <dimension ref="A1:AE1009"/>
  <sheetViews>
    <sheetView topLeftCell="T880" workbookViewId="0">
      <selection activeCell="AB889" sqref="AB889"/>
    </sheetView>
  </sheetViews>
  <sheetFormatPr defaultRowHeight="14.4" x14ac:dyDescent="0.3"/>
  <cols>
    <col min="1" max="1" width="12.6640625" customWidth="1"/>
    <col min="3" max="3" width="10.6640625" bestFit="1" customWidth="1"/>
    <col min="5" max="5" width="14.21875" customWidth="1"/>
    <col min="10" max="10" width="14.44140625" customWidth="1"/>
    <col min="11" max="11" width="16.5546875" style="2" customWidth="1"/>
    <col min="12" max="12" width="20.44140625" customWidth="1"/>
    <col min="13" max="13" width="16" bestFit="1" customWidth="1"/>
    <col min="15" max="15" width="13.88671875" customWidth="1"/>
    <col min="16" max="16" width="9.5546875" customWidth="1"/>
    <col min="17" max="17" width="9.33203125" customWidth="1"/>
    <col min="18" max="18" width="11.88671875" customWidth="1"/>
    <col min="19" max="19" width="11.21875" customWidth="1"/>
    <col min="20" max="20" width="11.88671875" customWidth="1"/>
    <col min="21" max="21" width="11.6640625" customWidth="1"/>
    <col min="22" max="22" width="14.88671875" customWidth="1"/>
    <col min="23" max="23" width="15.6640625" bestFit="1" customWidth="1"/>
    <col min="24" max="24" width="19" style="3" customWidth="1"/>
    <col min="25" max="26" width="13.21875" customWidth="1"/>
    <col min="27" max="27" width="16.44140625" customWidth="1"/>
    <col min="28" max="28" width="32.109375" bestFit="1" customWidth="1"/>
    <col min="29" max="29" width="14.33203125" bestFit="1" customWidth="1"/>
    <col min="31" max="31" width="15.6640625" customWidth="1"/>
  </cols>
  <sheetData>
    <row r="1" spans="1:31" x14ac:dyDescent="0.3">
      <c r="A1" t="s">
        <v>0</v>
      </c>
      <c r="B1" t="s">
        <v>1</v>
      </c>
      <c r="C1" t="s">
        <v>2066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s="2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s="3" t="s">
        <v>22</v>
      </c>
      <c r="Y1" t="s">
        <v>2062</v>
      </c>
      <c r="Z1" t="s">
        <v>2063</v>
      </c>
      <c r="AA1" t="s">
        <v>23</v>
      </c>
      <c r="AB1" t="s">
        <v>24</v>
      </c>
      <c r="AC1" t="s">
        <v>25</v>
      </c>
      <c r="AD1" t="s">
        <v>26</v>
      </c>
      <c r="AE1" t="s">
        <v>27</v>
      </c>
    </row>
    <row r="2" spans="1:31" x14ac:dyDescent="0.3">
      <c r="A2" t="s">
        <v>28</v>
      </c>
      <c r="B2">
        <v>22</v>
      </c>
      <c r="C2" t="str" cm="1">
        <f t="array" ref="C2">_xlfn.IFS(B2&lt;=18,"0-18",B2&lt;=29,"19-29",B2&gt;=49,"30-49",B2&gt;=69,"50-69",TRUE,"70+")</f>
        <v>19-29</v>
      </c>
      <c r="D2" t="s">
        <v>29</v>
      </c>
      <c r="E2" t="s">
        <v>30</v>
      </c>
      <c r="F2" t="s">
        <v>31</v>
      </c>
      <c r="G2" t="s">
        <v>32</v>
      </c>
      <c r="H2" t="s">
        <v>30</v>
      </c>
      <c r="I2" t="s">
        <v>33</v>
      </c>
      <c r="J2" t="s">
        <v>34</v>
      </c>
      <c r="K2" s="2">
        <v>333.8</v>
      </c>
      <c r="L2">
        <v>4</v>
      </c>
      <c r="M2" t="s">
        <v>35</v>
      </c>
      <c r="N2">
        <v>5</v>
      </c>
      <c r="O2">
        <v>5</v>
      </c>
      <c r="P2">
        <v>2</v>
      </c>
      <c r="Q2" t="s">
        <v>36</v>
      </c>
      <c r="R2" t="s">
        <v>37</v>
      </c>
      <c r="S2">
        <v>1</v>
      </c>
      <c r="T2">
        <v>7</v>
      </c>
      <c r="U2" t="s">
        <v>36</v>
      </c>
      <c r="V2" t="s">
        <v>38</v>
      </c>
      <c r="W2" t="s">
        <v>39</v>
      </c>
      <c r="X2" s="3">
        <v>45294</v>
      </c>
      <c r="Y2" s="1" t="str">
        <f>TEXT(X2,"mmm")</f>
        <v>Jan</v>
      </c>
      <c r="Z2" s="1" t="str">
        <f>TEXT(X2,"yyyy")</f>
        <v>2024</v>
      </c>
      <c r="AA2" t="b">
        <v>1</v>
      </c>
      <c r="AB2" t="b">
        <v>0</v>
      </c>
      <c r="AC2" t="s">
        <v>40</v>
      </c>
      <c r="AD2" t="s">
        <v>41</v>
      </c>
      <c r="AE2">
        <v>2</v>
      </c>
    </row>
    <row r="3" spans="1:31" x14ac:dyDescent="0.3">
      <c r="A3" t="s">
        <v>42</v>
      </c>
      <c r="B3">
        <v>49</v>
      </c>
      <c r="C3" t="str" cm="1">
        <f t="array" ref="C3">_xlfn.IFS(B3&lt;=18,"0-18",B3&lt;=29,"19-29",B3&gt;=49,"30-49",B3&gt;=69,"50-69",TRUE,"70+")</f>
        <v>30-49</v>
      </c>
      <c r="D3" t="s">
        <v>43</v>
      </c>
      <c r="E3" t="s">
        <v>44</v>
      </c>
      <c r="F3" t="s">
        <v>31</v>
      </c>
      <c r="G3" t="s">
        <v>45</v>
      </c>
      <c r="H3" t="s">
        <v>44</v>
      </c>
      <c r="I3" t="s">
        <v>46</v>
      </c>
      <c r="J3" t="s">
        <v>47</v>
      </c>
      <c r="K3" s="2">
        <v>222.22</v>
      </c>
      <c r="L3">
        <v>11</v>
      </c>
      <c r="M3" t="s">
        <v>48</v>
      </c>
      <c r="N3">
        <v>3</v>
      </c>
      <c r="O3">
        <v>1</v>
      </c>
      <c r="P3">
        <v>2</v>
      </c>
      <c r="Q3" t="s">
        <v>49</v>
      </c>
      <c r="R3" t="s">
        <v>50</v>
      </c>
      <c r="S3">
        <v>1</v>
      </c>
      <c r="T3">
        <v>5</v>
      </c>
      <c r="U3" t="s">
        <v>44</v>
      </c>
      <c r="V3" t="s">
        <v>38</v>
      </c>
      <c r="W3" t="s">
        <v>51</v>
      </c>
      <c r="X3" s="3">
        <v>45295</v>
      </c>
      <c r="Y3" s="1" t="str">
        <f t="shared" ref="Y3:Y66" si="0">TEXT(X3,"mmm")</f>
        <v>Jan</v>
      </c>
      <c r="Z3" s="1" t="str">
        <f t="shared" ref="Z3:Z66" si="1">TEXT(X3,"yyyy")</f>
        <v>2024</v>
      </c>
      <c r="AA3" t="b">
        <v>1</v>
      </c>
      <c r="AB3" t="b">
        <v>0</v>
      </c>
      <c r="AC3" t="s">
        <v>52</v>
      </c>
      <c r="AD3" t="s">
        <v>53</v>
      </c>
      <c r="AE3">
        <v>6</v>
      </c>
    </row>
    <row r="4" spans="1:31" x14ac:dyDescent="0.3">
      <c r="A4" t="s">
        <v>54</v>
      </c>
      <c r="B4">
        <v>24</v>
      </c>
      <c r="C4" t="str" cm="1">
        <f t="array" ref="C4">_xlfn.IFS(B4&lt;=18,"0-18",B4&lt;=29,"19-29",B4&gt;=49,"30-49",B4&gt;=69,"50-69",TRUE,"70+")</f>
        <v>19-29</v>
      </c>
      <c r="D4" t="s">
        <v>29</v>
      </c>
      <c r="E4" t="s">
        <v>30</v>
      </c>
      <c r="F4" t="s">
        <v>55</v>
      </c>
      <c r="G4" t="s">
        <v>56</v>
      </c>
      <c r="H4" t="s">
        <v>44</v>
      </c>
      <c r="I4" t="s">
        <v>57</v>
      </c>
      <c r="J4" t="s">
        <v>58</v>
      </c>
      <c r="K4" s="2">
        <v>426.22</v>
      </c>
      <c r="L4">
        <v>2</v>
      </c>
      <c r="M4" t="s">
        <v>35</v>
      </c>
      <c r="N4">
        <v>5</v>
      </c>
      <c r="O4">
        <v>5</v>
      </c>
      <c r="P4">
        <v>0.3</v>
      </c>
      <c r="Q4" t="s">
        <v>59</v>
      </c>
      <c r="R4" t="s">
        <v>50</v>
      </c>
      <c r="S4">
        <v>1</v>
      </c>
      <c r="T4">
        <v>7</v>
      </c>
      <c r="U4" t="s">
        <v>59</v>
      </c>
      <c r="V4" t="s">
        <v>60</v>
      </c>
      <c r="W4" t="s">
        <v>61</v>
      </c>
      <c r="X4" s="3">
        <v>45296</v>
      </c>
      <c r="Y4" s="1" t="str">
        <f t="shared" si="0"/>
        <v>Jan</v>
      </c>
      <c r="Z4" s="1" t="str">
        <f t="shared" si="1"/>
        <v>2024</v>
      </c>
      <c r="AA4" t="b">
        <v>1</v>
      </c>
      <c r="AB4" t="b">
        <v>1</v>
      </c>
      <c r="AC4" t="s">
        <v>62</v>
      </c>
      <c r="AD4" t="s">
        <v>41</v>
      </c>
      <c r="AE4">
        <v>3</v>
      </c>
    </row>
    <row r="5" spans="1:31" x14ac:dyDescent="0.3">
      <c r="A5" t="s">
        <v>63</v>
      </c>
      <c r="B5">
        <v>29</v>
      </c>
      <c r="C5" t="str" cm="1">
        <f t="array" ref="C5">_xlfn.IFS(B5&lt;=18,"0-18",B5&lt;=29,"19-29",B5&gt;=49,"30-49",B5&gt;=69,"50-69",TRUE,"70+")</f>
        <v>19-29</v>
      </c>
      <c r="D5" t="s">
        <v>29</v>
      </c>
      <c r="E5" t="s">
        <v>30</v>
      </c>
      <c r="F5" t="s">
        <v>55</v>
      </c>
      <c r="G5" t="s">
        <v>56</v>
      </c>
      <c r="H5" t="s">
        <v>30</v>
      </c>
      <c r="I5" t="s">
        <v>64</v>
      </c>
      <c r="J5" t="s">
        <v>65</v>
      </c>
      <c r="K5" s="2">
        <v>101.31</v>
      </c>
      <c r="L5">
        <v>6</v>
      </c>
      <c r="M5" t="s">
        <v>35</v>
      </c>
      <c r="N5">
        <v>3</v>
      </c>
      <c r="O5">
        <v>1</v>
      </c>
      <c r="P5">
        <v>1</v>
      </c>
      <c r="Q5" t="s">
        <v>44</v>
      </c>
      <c r="R5" t="s">
        <v>37</v>
      </c>
      <c r="S5">
        <v>0</v>
      </c>
      <c r="T5">
        <v>1</v>
      </c>
      <c r="U5" t="s">
        <v>36</v>
      </c>
      <c r="V5" t="s">
        <v>60</v>
      </c>
      <c r="W5" t="s">
        <v>66</v>
      </c>
      <c r="X5" s="3">
        <v>45297</v>
      </c>
      <c r="Y5" s="1" t="str">
        <f t="shared" si="0"/>
        <v>Jan</v>
      </c>
      <c r="Z5" s="1" t="str">
        <f t="shared" si="1"/>
        <v>2024</v>
      </c>
      <c r="AA5" t="b">
        <v>1</v>
      </c>
      <c r="AB5" t="b">
        <v>1</v>
      </c>
      <c r="AC5" t="s">
        <v>40</v>
      </c>
      <c r="AD5" t="s">
        <v>67</v>
      </c>
      <c r="AE5">
        <v>10</v>
      </c>
    </row>
    <row r="6" spans="1:31" x14ac:dyDescent="0.3">
      <c r="A6" t="s">
        <v>68</v>
      </c>
      <c r="B6">
        <v>33</v>
      </c>
      <c r="C6" t="str" cm="1">
        <f t="array" ref="C6">_xlfn.IFS(B6&lt;=18,"0-18",B6&lt;=29,"19-29",B6&gt;=49,"30-49",B6&gt;=69,"50-69",TRUE,"70+")</f>
        <v>70+</v>
      </c>
      <c r="D6" t="s">
        <v>29</v>
      </c>
      <c r="E6" t="s">
        <v>30</v>
      </c>
      <c r="F6" t="s">
        <v>69</v>
      </c>
      <c r="G6" t="s">
        <v>45</v>
      </c>
      <c r="H6" t="s">
        <v>30</v>
      </c>
      <c r="I6" t="s">
        <v>70</v>
      </c>
      <c r="J6" t="s">
        <v>71</v>
      </c>
      <c r="K6" s="2">
        <v>211.7</v>
      </c>
      <c r="L6">
        <v>6</v>
      </c>
      <c r="M6" t="s">
        <v>35</v>
      </c>
      <c r="N6">
        <v>3</v>
      </c>
      <c r="O6">
        <v>4</v>
      </c>
      <c r="P6">
        <v>0</v>
      </c>
      <c r="Q6" t="s">
        <v>49</v>
      </c>
      <c r="R6" t="s">
        <v>50</v>
      </c>
      <c r="S6">
        <v>2</v>
      </c>
      <c r="T6">
        <v>10</v>
      </c>
      <c r="U6" t="s">
        <v>36</v>
      </c>
      <c r="V6" t="s">
        <v>60</v>
      </c>
      <c r="W6" t="s">
        <v>61</v>
      </c>
      <c r="X6" s="3">
        <v>45298</v>
      </c>
      <c r="Y6" s="1" t="str">
        <f t="shared" si="0"/>
        <v>Jan</v>
      </c>
      <c r="Z6" s="1" t="str">
        <f t="shared" si="1"/>
        <v>2024</v>
      </c>
      <c r="AA6" t="b">
        <v>0</v>
      </c>
      <c r="AB6" t="b">
        <v>0</v>
      </c>
      <c r="AC6" t="s">
        <v>52</v>
      </c>
      <c r="AD6" t="s">
        <v>41</v>
      </c>
      <c r="AE6">
        <v>4</v>
      </c>
    </row>
    <row r="7" spans="1:31" x14ac:dyDescent="0.3">
      <c r="A7" t="s">
        <v>72</v>
      </c>
      <c r="B7">
        <v>45</v>
      </c>
      <c r="C7" t="str" cm="1">
        <f t="array" ref="C7">_xlfn.IFS(B7&lt;=18,"0-18",B7&lt;=29,"19-29",B7&gt;=49,"30-49",B7&gt;=69,"50-69",TRUE,"70+")</f>
        <v>70+</v>
      </c>
      <c r="D7" t="s">
        <v>43</v>
      </c>
      <c r="E7" t="s">
        <v>30</v>
      </c>
      <c r="F7" t="s">
        <v>31</v>
      </c>
      <c r="G7" t="s">
        <v>56</v>
      </c>
      <c r="H7" t="s">
        <v>44</v>
      </c>
      <c r="I7" t="s">
        <v>73</v>
      </c>
      <c r="J7" t="s">
        <v>58</v>
      </c>
      <c r="K7" s="2">
        <v>487.95</v>
      </c>
      <c r="L7">
        <v>8</v>
      </c>
      <c r="M7" t="s">
        <v>35</v>
      </c>
      <c r="N7">
        <v>3</v>
      </c>
      <c r="O7">
        <v>3</v>
      </c>
      <c r="P7">
        <v>0</v>
      </c>
      <c r="Q7" t="s">
        <v>44</v>
      </c>
      <c r="R7" t="s">
        <v>50</v>
      </c>
      <c r="S7">
        <v>2</v>
      </c>
      <c r="T7">
        <v>3</v>
      </c>
      <c r="U7" t="s">
        <v>36</v>
      </c>
      <c r="V7" t="s">
        <v>38</v>
      </c>
      <c r="W7" t="s">
        <v>61</v>
      </c>
      <c r="X7" s="3">
        <v>45299</v>
      </c>
      <c r="Y7" s="1" t="str">
        <f t="shared" si="0"/>
        <v>Jan</v>
      </c>
      <c r="Z7" s="1" t="str">
        <f t="shared" si="1"/>
        <v>2024</v>
      </c>
      <c r="AA7" t="b">
        <v>0</v>
      </c>
      <c r="AB7" t="b">
        <v>0</v>
      </c>
      <c r="AC7" t="s">
        <v>74</v>
      </c>
      <c r="AD7" t="s">
        <v>41</v>
      </c>
      <c r="AE7">
        <v>7</v>
      </c>
    </row>
    <row r="8" spans="1:31" x14ac:dyDescent="0.3">
      <c r="A8" t="s">
        <v>75</v>
      </c>
      <c r="B8">
        <v>21</v>
      </c>
      <c r="C8" t="str" cm="1">
        <f t="array" ref="C8">_xlfn.IFS(B8&lt;=18,"0-18",B8&lt;=29,"19-29",B8&gt;=49,"30-49",B8&gt;=69,"50-69",TRUE,"70+")</f>
        <v>19-29</v>
      </c>
      <c r="D8" t="s">
        <v>29</v>
      </c>
      <c r="E8" t="s">
        <v>30</v>
      </c>
      <c r="F8" t="s">
        <v>76</v>
      </c>
      <c r="G8" t="s">
        <v>45</v>
      </c>
      <c r="H8" t="s">
        <v>30</v>
      </c>
      <c r="I8" t="s">
        <v>77</v>
      </c>
      <c r="J8" t="s">
        <v>71</v>
      </c>
      <c r="K8" s="2">
        <v>486.4</v>
      </c>
      <c r="L8">
        <v>12</v>
      </c>
      <c r="M8" t="s">
        <v>78</v>
      </c>
      <c r="N8">
        <v>2</v>
      </c>
      <c r="O8">
        <v>5</v>
      </c>
      <c r="P8">
        <v>1</v>
      </c>
      <c r="Q8" t="s">
        <v>44</v>
      </c>
      <c r="R8" t="s">
        <v>37</v>
      </c>
      <c r="S8">
        <v>0</v>
      </c>
      <c r="T8">
        <v>9</v>
      </c>
      <c r="U8" t="s">
        <v>59</v>
      </c>
      <c r="V8" t="s">
        <v>79</v>
      </c>
      <c r="W8" t="s">
        <v>61</v>
      </c>
      <c r="X8" s="3">
        <v>45300</v>
      </c>
      <c r="Y8" s="1" t="str">
        <f t="shared" si="0"/>
        <v>Jan</v>
      </c>
      <c r="Z8" s="1" t="str">
        <f t="shared" si="1"/>
        <v>2024</v>
      </c>
      <c r="AA8" t="b">
        <v>1</v>
      </c>
      <c r="AB8" t="b">
        <v>0</v>
      </c>
      <c r="AC8" t="s">
        <v>40</v>
      </c>
      <c r="AD8" t="s">
        <v>67</v>
      </c>
      <c r="AE8">
        <v>13</v>
      </c>
    </row>
    <row r="9" spans="1:31" x14ac:dyDescent="0.3">
      <c r="A9" t="s">
        <v>80</v>
      </c>
      <c r="B9">
        <v>39</v>
      </c>
      <c r="C9" t="str" cm="1">
        <f t="array" ref="C9">_xlfn.IFS(B9&lt;=18,"0-18",B9&lt;=29,"19-29",B9&gt;=49,"30-49",B9&gt;=69,"50-69",TRUE,"70+")</f>
        <v>70+</v>
      </c>
      <c r="D9" t="s">
        <v>43</v>
      </c>
      <c r="E9" t="s">
        <v>30</v>
      </c>
      <c r="F9" t="s">
        <v>55</v>
      </c>
      <c r="G9" t="s">
        <v>45</v>
      </c>
      <c r="H9" t="s">
        <v>30</v>
      </c>
      <c r="I9" t="s">
        <v>81</v>
      </c>
      <c r="J9" t="s">
        <v>82</v>
      </c>
      <c r="K9" s="2">
        <v>218.06</v>
      </c>
      <c r="L9">
        <v>6</v>
      </c>
      <c r="M9" t="s">
        <v>78</v>
      </c>
      <c r="N9">
        <v>5</v>
      </c>
      <c r="O9">
        <v>4</v>
      </c>
      <c r="P9">
        <v>1</v>
      </c>
      <c r="Q9" t="s">
        <v>59</v>
      </c>
      <c r="R9" t="s">
        <v>37</v>
      </c>
      <c r="S9">
        <v>2</v>
      </c>
      <c r="T9">
        <v>9</v>
      </c>
      <c r="U9" t="s">
        <v>36</v>
      </c>
      <c r="V9" t="s">
        <v>79</v>
      </c>
      <c r="W9" t="s">
        <v>39</v>
      </c>
      <c r="X9" s="3">
        <v>45301</v>
      </c>
      <c r="Y9" s="1" t="str">
        <f t="shared" si="0"/>
        <v>Jan</v>
      </c>
      <c r="Z9" s="1" t="str">
        <f t="shared" si="1"/>
        <v>2024</v>
      </c>
      <c r="AA9" t="b">
        <v>0</v>
      </c>
      <c r="AB9" t="b">
        <v>1</v>
      </c>
      <c r="AC9" t="s">
        <v>62</v>
      </c>
      <c r="AD9" t="s">
        <v>41</v>
      </c>
      <c r="AE9">
        <v>13</v>
      </c>
    </row>
    <row r="10" spans="1:31" x14ac:dyDescent="0.3">
      <c r="A10" t="s">
        <v>83</v>
      </c>
      <c r="B10">
        <v>24</v>
      </c>
      <c r="C10" t="str" cm="1">
        <f t="array" ref="C10">_xlfn.IFS(B10&lt;=18,"0-18",B10&lt;=29,"19-29",B10&gt;=49,"30-49",B10&gt;=69,"50-69",TRUE,"70+")</f>
        <v>19-29</v>
      </c>
      <c r="D10" t="s">
        <v>29</v>
      </c>
      <c r="E10" t="s">
        <v>44</v>
      </c>
      <c r="F10" t="s">
        <v>76</v>
      </c>
      <c r="G10" t="s">
        <v>56</v>
      </c>
      <c r="H10" t="s">
        <v>30</v>
      </c>
      <c r="I10" t="s">
        <v>84</v>
      </c>
      <c r="J10" t="s">
        <v>58</v>
      </c>
      <c r="K10" s="2">
        <v>201.96</v>
      </c>
      <c r="L10">
        <v>8</v>
      </c>
      <c r="M10" t="s">
        <v>48</v>
      </c>
      <c r="N10">
        <v>3</v>
      </c>
      <c r="O10">
        <v>5</v>
      </c>
      <c r="P10">
        <v>0</v>
      </c>
      <c r="Q10" t="s">
        <v>59</v>
      </c>
      <c r="R10" t="s">
        <v>85</v>
      </c>
      <c r="S10">
        <v>1</v>
      </c>
      <c r="T10">
        <v>2</v>
      </c>
      <c r="U10" t="s">
        <v>44</v>
      </c>
      <c r="V10" t="s">
        <v>79</v>
      </c>
      <c r="W10" t="s">
        <v>86</v>
      </c>
      <c r="X10" s="3">
        <v>45302</v>
      </c>
      <c r="Y10" s="1" t="str">
        <f t="shared" si="0"/>
        <v>Jan</v>
      </c>
      <c r="Z10" s="1" t="str">
        <f t="shared" si="1"/>
        <v>2024</v>
      </c>
      <c r="AA10" t="b">
        <v>0</v>
      </c>
      <c r="AB10" t="b">
        <v>0</v>
      </c>
      <c r="AC10" t="s">
        <v>40</v>
      </c>
      <c r="AD10" t="s">
        <v>53</v>
      </c>
      <c r="AE10">
        <v>7</v>
      </c>
    </row>
    <row r="11" spans="1:31" x14ac:dyDescent="0.3">
      <c r="A11" t="s">
        <v>87</v>
      </c>
      <c r="B11">
        <v>25</v>
      </c>
      <c r="C11" t="str" cm="1">
        <f t="array" ref="C11">_xlfn.IFS(B11&lt;=18,"0-18",B11&lt;=29,"19-29",B11&gt;=49,"30-49",B11&gt;=69,"50-69",TRUE,"70+")</f>
        <v>19-29</v>
      </c>
      <c r="D11" t="s">
        <v>88</v>
      </c>
      <c r="E11" t="s">
        <v>44</v>
      </c>
      <c r="F11" t="s">
        <v>31</v>
      </c>
      <c r="G11" t="s">
        <v>32</v>
      </c>
      <c r="H11" t="s">
        <v>44</v>
      </c>
      <c r="I11" t="s">
        <v>89</v>
      </c>
      <c r="J11" t="s">
        <v>90</v>
      </c>
      <c r="K11" s="2">
        <v>418.83</v>
      </c>
      <c r="L11">
        <v>7</v>
      </c>
      <c r="M11" t="s">
        <v>78</v>
      </c>
      <c r="N11">
        <v>2</v>
      </c>
      <c r="O11">
        <v>5</v>
      </c>
      <c r="P11">
        <v>1</v>
      </c>
      <c r="Q11" t="s">
        <v>36</v>
      </c>
      <c r="R11" t="s">
        <v>37</v>
      </c>
      <c r="S11">
        <v>1</v>
      </c>
      <c r="T11">
        <v>5</v>
      </c>
      <c r="U11" t="s">
        <v>49</v>
      </c>
      <c r="V11" t="s">
        <v>38</v>
      </c>
      <c r="W11" t="s">
        <v>51</v>
      </c>
      <c r="X11" s="3">
        <v>45303</v>
      </c>
      <c r="Y11" s="1" t="str">
        <f t="shared" si="0"/>
        <v>Jan</v>
      </c>
      <c r="Z11" s="1" t="str">
        <f t="shared" si="1"/>
        <v>2024</v>
      </c>
      <c r="AA11" t="b">
        <v>1</v>
      </c>
      <c r="AB11" t="b">
        <v>0</v>
      </c>
      <c r="AC11" t="s">
        <v>40</v>
      </c>
      <c r="AD11" t="s">
        <v>41</v>
      </c>
      <c r="AE11">
        <v>13</v>
      </c>
    </row>
    <row r="12" spans="1:31" x14ac:dyDescent="0.3">
      <c r="A12" t="s">
        <v>91</v>
      </c>
      <c r="B12">
        <v>33</v>
      </c>
      <c r="C12" t="str" cm="1">
        <f t="array" ref="C12">_xlfn.IFS(B12&lt;=18,"0-18",B12&lt;=29,"19-29",B12&gt;=49,"30-49",B12&gt;=69,"50-69",TRUE,"70+")</f>
        <v>70+</v>
      </c>
      <c r="D12" t="s">
        <v>43</v>
      </c>
      <c r="E12" t="s">
        <v>30</v>
      </c>
      <c r="F12" t="s">
        <v>76</v>
      </c>
      <c r="G12" t="s">
        <v>32</v>
      </c>
      <c r="H12" t="s">
        <v>30</v>
      </c>
      <c r="I12" t="s">
        <v>92</v>
      </c>
      <c r="J12" t="s">
        <v>93</v>
      </c>
      <c r="K12" s="2">
        <v>389.7</v>
      </c>
      <c r="L12">
        <v>12</v>
      </c>
      <c r="M12" t="s">
        <v>48</v>
      </c>
      <c r="N12">
        <v>1</v>
      </c>
      <c r="O12">
        <v>4</v>
      </c>
      <c r="P12">
        <v>0.5</v>
      </c>
      <c r="Q12" t="s">
        <v>59</v>
      </c>
      <c r="R12" t="s">
        <v>50</v>
      </c>
      <c r="S12">
        <v>0</v>
      </c>
      <c r="T12">
        <v>4</v>
      </c>
      <c r="U12" t="s">
        <v>44</v>
      </c>
      <c r="V12" t="s">
        <v>79</v>
      </c>
      <c r="W12" t="s">
        <v>51</v>
      </c>
      <c r="X12" s="3">
        <v>45304</v>
      </c>
      <c r="Y12" s="1" t="str">
        <f t="shared" si="0"/>
        <v>Jan</v>
      </c>
      <c r="Z12" s="1" t="str">
        <f t="shared" si="1"/>
        <v>2024</v>
      </c>
      <c r="AA12" t="b">
        <v>1</v>
      </c>
      <c r="AB12" t="b">
        <v>0</v>
      </c>
      <c r="AC12" t="s">
        <v>74</v>
      </c>
      <c r="AD12" t="s">
        <v>67</v>
      </c>
      <c r="AE12">
        <v>12</v>
      </c>
    </row>
    <row r="13" spans="1:31" x14ac:dyDescent="0.3">
      <c r="A13" t="s">
        <v>94</v>
      </c>
      <c r="B13">
        <v>38</v>
      </c>
      <c r="C13" t="str" cm="1">
        <f t="array" ref="C13">_xlfn.IFS(B13&lt;=18,"0-18",B13&lt;=29,"19-29",B13&gt;=49,"30-49",B13&gt;=69,"50-69",TRUE,"70+")</f>
        <v>70+</v>
      </c>
      <c r="D13" t="s">
        <v>29</v>
      </c>
      <c r="E13" t="s">
        <v>44</v>
      </c>
      <c r="F13" t="s">
        <v>69</v>
      </c>
      <c r="G13" t="s">
        <v>32</v>
      </c>
      <c r="H13" t="s">
        <v>30</v>
      </c>
      <c r="I13" t="s">
        <v>95</v>
      </c>
      <c r="J13" t="s">
        <v>90</v>
      </c>
      <c r="K13" s="2">
        <v>238.93</v>
      </c>
      <c r="L13">
        <v>5</v>
      </c>
      <c r="M13" t="s">
        <v>78</v>
      </c>
      <c r="N13">
        <v>4</v>
      </c>
      <c r="O13">
        <v>3</v>
      </c>
      <c r="P13">
        <v>1</v>
      </c>
      <c r="Q13" t="s">
        <v>49</v>
      </c>
      <c r="R13" t="s">
        <v>85</v>
      </c>
      <c r="S13">
        <v>0</v>
      </c>
      <c r="T13">
        <v>10</v>
      </c>
      <c r="U13" t="s">
        <v>44</v>
      </c>
      <c r="V13" t="s">
        <v>38</v>
      </c>
      <c r="W13" t="s">
        <v>86</v>
      </c>
      <c r="X13" s="3">
        <v>45305</v>
      </c>
      <c r="Y13" s="1" t="str">
        <f t="shared" si="0"/>
        <v>Jan</v>
      </c>
      <c r="Z13" s="1" t="str">
        <f t="shared" si="1"/>
        <v>2024</v>
      </c>
      <c r="AA13" t="b">
        <v>1</v>
      </c>
      <c r="AB13" t="b">
        <v>0</v>
      </c>
      <c r="AC13" t="s">
        <v>74</v>
      </c>
      <c r="AD13" t="s">
        <v>41</v>
      </c>
      <c r="AE13">
        <v>1</v>
      </c>
    </row>
    <row r="14" spans="1:31" x14ac:dyDescent="0.3">
      <c r="A14" t="s">
        <v>96</v>
      </c>
      <c r="B14">
        <v>34</v>
      </c>
      <c r="C14" t="str" cm="1">
        <f t="array" ref="C14">_xlfn.IFS(B14&lt;=18,"0-18",B14&lt;=29,"19-29",B14&gt;=49,"30-49",B14&gt;=69,"50-69",TRUE,"70+")</f>
        <v>70+</v>
      </c>
      <c r="D14" t="s">
        <v>43</v>
      </c>
      <c r="E14" t="s">
        <v>30</v>
      </c>
      <c r="F14" t="s">
        <v>55</v>
      </c>
      <c r="G14" t="s">
        <v>32</v>
      </c>
      <c r="H14" t="s">
        <v>44</v>
      </c>
      <c r="I14" t="s">
        <v>97</v>
      </c>
      <c r="J14" t="s">
        <v>98</v>
      </c>
      <c r="K14" s="2">
        <v>61.22</v>
      </c>
      <c r="L14">
        <v>7</v>
      </c>
      <c r="M14" t="s">
        <v>48</v>
      </c>
      <c r="N14">
        <v>5</v>
      </c>
      <c r="O14">
        <v>2</v>
      </c>
      <c r="P14">
        <v>2</v>
      </c>
      <c r="Q14" t="s">
        <v>59</v>
      </c>
      <c r="R14" t="s">
        <v>85</v>
      </c>
      <c r="S14">
        <v>1</v>
      </c>
      <c r="T14">
        <v>7</v>
      </c>
      <c r="U14" t="s">
        <v>44</v>
      </c>
      <c r="V14" t="s">
        <v>79</v>
      </c>
      <c r="W14" t="s">
        <v>61</v>
      </c>
      <c r="X14" s="3">
        <v>45306</v>
      </c>
      <c r="Y14" s="1" t="str">
        <f t="shared" si="0"/>
        <v>Jan</v>
      </c>
      <c r="Z14" s="1" t="str">
        <f t="shared" si="1"/>
        <v>2024</v>
      </c>
      <c r="AA14" t="b">
        <v>1</v>
      </c>
      <c r="AB14" t="b">
        <v>1</v>
      </c>
      <c r="AC14" t="s">
        <v>40</v>
      </c>
      <c r="AD14" t="s">
        <v>41</v>
      </c>
      <c r="AE14">
        <v>5</v>
      </c>
    </row>
    <row r="15" spans="1:31" x14ac:dyDescent="0.3">
      <c r="A15" t="s">
        <v>99</v>
      </c>
      <c r="B15">
        <v>32</v>
      </c>
      <c r="C15" t="str" cm="1">
        <f t="array" ref="C15">_xlfn.IFS(B15&lt;=18,"0-18",B15&lt;=29,"19-29",B15&gt;=49,"30-49",B15&gt;=69,"50-69",TRUE,"70+")</f>
        <v>70+</v>
      </c>
      <c r="D15" t="s">
        <v>43</v>
      </c>
      <c r="E15" t="s">
        <v>44</v>
      </c>
      <c r="F15" t="s">
        <v>31</v>
      </c>
      <c r="G15" t="s">
        <v>45</v>
      </c>
      <c r="H15" t="s">
        <v>30</v>
      </c>
      <c r="I15" t="s">
        <v>100</v>
      </c>
      <c r="J15" t="s">
        <v>101</v>
      </c>
      <c r="K15" s="2">
        <v>79.81</v>
      </c>
      <c r="L15">
        <v>4</v>
      </c>
      <c r="M15" t="s">
        <v>35</v>
      </c>
      <c r="N15">
        <v>5</v>
      </c>
      <c r="O15">
        <v>5</v>
      </c>
      <c r="P15">
        <v>0</v>
      </c>
      <c r="Q15" t="s">
        <v>44</v>
      </c>
      <c r="R15" t="s">
        <v>50</v>
      </c>
      <c r="S15">
        <v>0</v>
      </c>
      <c r="T15">
        <v>9</v>
      </c>
      <c r="U15" t="s">
        <v>44</v>
      </c>
      <c r="V15" t="s">
        <v>60</v>
      </c>
      <c r="W15" t="s">
        <v>61</v>
      </c>
      <c r="X15" s="3">
        <v>45307</v>
      </c>
      <c r="Y15" s="1" t="str">
        <f t="shared" si="0"/>
        <v>Jan</v>
      </c>
      <c r="Z15" s="1" t="str">
        <f t="shared" si="1"/>
        <v>2024</v>
      </c>
      <c r="AA15" t="b">
        <v>0</v>
      </c>
      <c r="AB15" t="b">
        <v>1</v>
      </c>
      <c r="AC15" t="s">
        <v>52</v>
      </c>
      <c r="AD15" t="s">
        <v>53</v>
      </c>
      <c r="AE15">
        <v>14</v>
      </c>
    </row>
    <row r="16" spans="1:31" x14ac:dyDescent="0.3">
      <c r="A16" t="s">
        <v>102</v>
      </c>
      <c r="B16">
        <v>30</v>
      </c>
      <c r="C16" t="str" cm="1">
        <f t="array" ref="C16">_xlfn.IFS(B16&lt;=18,"0-18",B16&lt;=29,"19-29",B16&gt;=49,"30-49",B16&gt;=69,"50-69",TRUE,"70+")</f>
        <v>70+</v>
      </c>
      <c r="D16" t="s">
        <v>29</v>
      </c>
      <c r="E16" t="s">
        <v>44</v>
      </c>
      <c r="F16" t="s">
        <v>69</v>
      </c>
      <c r="G16" t="s">
        <v>45</v>
      </c>
      <c r="H16" t="s">
        <v>44</v>
      </c>
      <c r="I16" t="s">
        <v>103</v>
      </c>
      <c r="J16" t="s">
        <v>104</v>
      </c>
      <c r="K16" s="2">
        <v>58.51</v>
      </c>
      <c r="L16">
        <v>2</v>
      </c>
      <c r="M16" t="s">
        <v>78</v>
      </c>
      <c r="N16">
        <v>4</v>
      </c>
      <c r="O16">
        <v>4</v>
      </c>
      <c r="P16">
        <v>0.5</v>
      </c>
      <c r="Q16" t="s">
        <v>36</v>
      </c>
      <c r="R16" t="s">
        <v>50</v>
      </c>
      <c r="S16">
        <v>0</v>
      </c>
      <c r="T16">
        <v>4</v>
      </c>
      <c r="U16" t="s">
        <v>49</v>
      </c>
      <c r="V16" t="s">
        <v>79</v>
      </c>
      <c r="W16" t="s">
        <v>51</v>
      </c>
      <c r="X16" s="3">
        <v>45308</v>
      </c>
      <c r="Y16" s="1" t="str">
        <f t="shared" si="0"/>
        <v>Jan</v>
      </c>
      <c r="Z16" s="1" t="str">
        <f t="shared" si="1"/>
        <v>2024</v>
      </c>
      <c r="AA16" t="b">
        <v>1</v>
      </c>
      <c r="AB16" t="b">
        <v>1</v>
      </c>
      <c r="AC16" t="s">
        <v>74</v>
      </c>
      <c r="AD16" t="s">
        <v>41</v>
      </c>
      <c r="AE16">
        <v>14</v>
      </c>
    </row>
    <row r="17" spans="1:31" x14ac:dyDescent="0.3">
      <c r="A17" t="s">
        <v>105</v>
      </c>
      <c r="B17">
        <v>40</v>
      </c>
      <c r="C17" t="str" cm="1">
        <f t="array" ref="C17">_xlfn.IFS(B17&lt;=18,"0-18",B17&lt;=29,"19-29",B17&gt;=49,"30-49",B17&gt;=69,"50-69",TRUE,"70+")</f>
        <v>70+</v>
      </c>
      <c r="D17" t="s">
        <v>43</v>
      </c>
      <c r="E17" t="s">
        <v>44</v>
      </c>
      <c r="F17" t="s">
        <v>76</v>
      </c>
      <c r="G17" t="s">
        <v>56</v>
      </c>
      <c r="H17" t="s">
        <v>44</v>
      </c>
      <c r="I17" t="s">
        <v>106</v>
      </c>
      <c r="J17" t="s">
        <v>107</v>
      </c>
      <c r="K17" s="2">
        <v>109.29</v>
      </c>
      <c r="L17">
        <v>3</v>
      </c>
      <c r="M17" t="s">
        <v>78</v>
      </c>
      <c r="N17">
        <v>3</v>
      </c>
      <c r="O17">
        <v>4</v>
      </c>
      <c r="P17">
        <v>0</v>
      </c>
      <c r="Q17" t="s">
        <v>49</v>
      </c>
      <c r="R17" t="s">
        <v>37</v>
      </c>
      <c r="S17">
        <v>2</v>
      </c>
      <c r="T17">
        <v>2</v>
      </c>
      <c r="U17" t="s">
        <v>44</v>
      </c>
      <c r="V17" t="s">
        <v>79</v>
      </c>
      <c r="W17" t="s">
        <v>61</v>
      </c>
      <c r="X17" s="3">
        <v>45309</v>
      </c>
      <c r="Y17" s="1" t="str">
        <f t="shared" si="0"/>
        <v>Jan</v>
      </c>
      <c r="Z17" s="1" t="str">
        <f t="shared" si="1"/>
        <v>2024</v>
      </c>
      <c r="AA17" t="b">
        <v>0</v>
      </c>
      <c r="AB17" t="b">
        <v>1</v>
      </c>
      <c r="AC17" t="s">
        <v>52</v>
      </c>
      <c r="AD17" t="s">
        <v>67</v>
      </c>
      <c r="AE17">
        <v>11</v>
      </c>
    </row>
    <row r="18" spans="1:31" x14ac:dyDescent="0.3">
      <c r="A18" t="s">
        <v>108</v>
      </c>
      <c r="B18">
        <v>37</v>
      </c>
      <c r="C18" t="str" cm="1">
        <f t="array" ref="C18">_xlfn.IFS(B18&lt;=18,"0-18",B18&lt;=29,"19-29",B18&gt;=49,"30-49",B18&gt;=69,"50-69",TRUE,"70+")</f>
        <v>70+</v>
      </c>
      <c r="D18" t="s">
        <v>43</v>
      </c>
      <c r="E18" t="s">
        <v>44</v>
      </c>
      <c r="F18" t="s">
        <v>55</v>
      </c>
      <c r="G18" t="s">
        <v>32</v>
      </c>
      <c r="H18" t="s">
        <v>44</v>
      </c>
      <c r="I18" t="s">
        <v>109</v>
      </c>
      <c r="J18" t="s">
        <v>71</v>
      </c>
      <c r="K18" s="2">
        <v>356.45</v>
      </c>
      <c r="L18">
        <v>6</v>
      </c>
      <c r="M18" t="s">
        <v>35</v>
      </c>
      <c r="N18">
        <v>5</v>
      </c>
      <c r="O18">
        <v>5</v>
      </c>
      <c r="P18">
        <v>2</v>
      </c>
      <c r="Q18" t="s">
        <v>59</v>
      </c>
      <c r="R18" t="s">
        <v>85</v>
      </c>
      <c r="S18">
        <v>0</v>
      </c>
      <c r="T18">
        <v>7</v>
      </c>
      <c r="U18" t="s">
        <v>49</v>
      </c>
      <c r="V18" t="s">
        <v>60</v>
      </c>
      <c r="W18" t="s">
        <v>39</v>
      </c>
      <c r="X18" s="3">
        <v>45310</v>
      </c>
      <c r="Y18" s="1" t="str">
        <f t="shared" si="0"/>
        <v>Jan</v>
      </c>
      <c r="Z18" s="1" t="str">
        <f t="shared" si="1"/>
        <v>2024</v>
      </c>
      <c r="AA18" t="b">
        <v>0</v>
      </c>
      <c r="AB18" t="b">
        <v>1</v>
      </c>
      <c r="AC18" t="s">
        <v>74</v>
      </c>
      <c r="AD18" t="s">
        <v>53</v>
      </c>
      <c r="AE18">
        <v>8</v>
      </c>
    </row>
    <row r="19" spans="1:31" x14ac:dyDescent="0.3">
      <c r="A19" t="s">
        <v>110</v>
      </c>
      <c r="B19">
        <v>38</v>
      </c>
      <c r="C19" t="str" cm="1">
        <f t="array" ref="C19">_xlfn.IFS(B19&lt;=18,"0-18",B19&lt;=29,"19-29",B19&gt;=49,"30-49",B19&gt;=69,"50-69",TRUE,"70+")</f>
        <v>70+</v>
      </c>
      <c r="D19" t="s">
        <v>29</v>
      </c>
      <c r="E19" t="s">
        <v>30</v>
      </c>
      <c r="F19" t="s">
        <v>76</v>
      </c>
      <c r="G19" t="s">
        <v>32</v>
      </c>
      <c r="H19" t="s">
        <v>44</v>
      </c>
      <c r="I19" t="s">
        <v>111</v>
      </c>
      <c r="J19" t="s">
        <v>93</v>
      </c>
      <c r="K19" s="2">
        <v>236.99</v>
      </c>
      <c r="L19">
        <v>10</v>
      </c>
      <c r="M19" t="s">
        <v>35</v>
      </c>
      <c r="N19">
        <v>2</v>
      </c>
      <c r="O19">
        <v>4</v>
      </c>
      <c r="P19">
        <v>0</v>
      </c>
      <c r="Q19" t="s">
        <v>44</v>
      </c>
      <c r="R19" t="s">
        <v>85</v>
      </c>
      <c r="S19">
        <v>0</v>
      </c>
      <c r="T19">
        <v>8</v>
      </c>
      <c r="U19" t="s">
        <v>36</v>
      </c>
      <c r="V19" t="s">
        <v>38</v>
      </c>
      <c r="W19" t="s">
        <v>51</v>
      </c>
      <c r="X19" s="3">
        <v>45311</v>
      </c>
      <c r="Y19" s="1" t="str">
        <f t="shared" si="0"/>
        <v>Jan</v>
      </c>
      <c r="Z19" s="1" t="str">
        <f t="shared" si="1"/>
        <v>2024</v>
      </c>
      <c r="AA19" t="b">
        <v>1</v>
      </c>
      <c r="AB19" t="b">
        <v>1</v>
      </c>
      <c r="AC19" t="s">
        <v>62</v>
      </c>
      <c r="AD19" t="s">
        <v>41</v>
      </c>
      <c r="AE19">
        <v>13</v>
      </c>
    </row>
    <row r="20" spans="1:31" x14ac:dyDescent="0.3">
      <c r="A20" t="s">
        <v>112</v>
      </c>
      <c r="B20">
        <v>36</v>
      </c>
      <c r="C20" t="str" cm="1">
        <f t="array" ref="C20">_xlfn.IFS(B20&lt;=18,"0-18",B20&lt;=29,"19-29",B20&gt;=49,"30-49",B20&gt;=69,"50-69",TRUE,"70+")</f>
        <v>70+</v>
      </c>
      <c r="D20" t="s">
        <v>43</v>
      </c>
      <c r="E20" t="s">
        <v>30</v>
      </c>
      <c r="F20" t="s">
        <v>69</v>
      </c>
      <c r="G20" t="s">
        <v>32</v>
      </c>
      <c r="H20" t="s">
        <v>44</v>
      </c>
      <c r="I20" t="s">
        <v>113</v>
      </c>
      <c r="J20" t="s">
        <v>114</v>
      </c>
      <c r="K20" s="2">
        <v>454.39</v>
      </c>
      <c r="L20">
        <v>10</v>
      </c>
      <c r="M20" t="s">
        <v>48</v>
      </c>
      <c r="N20">
        <v>2</v>
      </c>
      <c r="O20">
        <v>4</v>
      </c>
      <c r="P20">
        <v>2</v>
      </c>
      <c r="Q20" t="s">
        <v>49</v>
      </c>
      <c r="R20" t="s">
        <v>50</v>
      </c>
      <c r="S20">
        <v>0</v>
      </c>
      <c r="T20">
        <v>3</v>
      </c>
      <c r="U20" t="s">
        <v>36</v>
      </c>
      <c r="V20" t="s">
        <v>79</v>
      </c>
      <c r="W20" t="s">
        <v>66</v>
      </c>
      <c r="X20" s="3">
        <v>45312</v>
      </c>
      <c r="Y20" s="1" t="str">
        <f t="shared" si="0"/>
        <v>Jan</v>
      </c>
      <c r="Z20" s="1" t="str">
        <f t="shared" si="1"/>
        <v>2024</v>
      </c>
      <c r="AA20" t="b">
        <v>0</v>
      </c>
      <c r="AB20" t="b">
        <v>1</v>
      </c>
      <c r="AC20" t="s">
        <v>62</v>
      </c>
      <c r="AD20" t="s">
        <v>53</v>
      </c>
      <c r="AE20">
        <v>3</v>
      </c>
    </row>
    <row r="21" spans="1:31" x14ac:dyDescent="0.3">
      <c r="A21" t="s">
        <v>115</v>
      </c>
      <c r="B21">
        <v>29</v>
      </c>
      <c r="C21" t="str" cm="1">
        <f t="array" ref="C21">_xlfn.IFS(B21&lt;=18,"0-18",B21&lt;=29,"19-29",B21&gt;=49,"30-49",B21&gt;=69,"50-69",TRUE,"70+")</f>
        <v>19-29</v>
      </c>
      <c r="D21" t="s">
        <v>29</v>
      </c>
      <c r="E21" t="s">
        <v>44</v>
      </c>
      <c r="F21" t="s">
        <v>69</v>
      </c>
      <c r="G21" t="s">
        <v>32</v>
      </c>
      <c r="H21" t="s">
        <v>30</v>
      </c>
      <c r="I21" t="s">
        <v>116</v>
      </c>
      <c r="J21" t="s">
        <v>117</v>
      </c>
      <c r="K21" s="2">
        <v>490.75</v>
      </c>
      <c r="L21">
        <v>10</v>
      </c>
      <c r="M21" t="s">
        <v>48</v>
      </c>
      <c r="N21">
        <v>2</v>
      </c>
      <c r="O21">
        <v>4</v>
      </c>
      <c r="P21">
        <v>1</v>
      </c>
      <c r="Q21" t="s">
        <v>36</v>
      </c>
      <c r="R21" t="s">
        <v>85</v>
      </c>
      <c r="S21">
        <v>1</v>
      </c>
      <c r="T21">
        <v>4</v>
      </c>
      <c r="U21" t="s">
        <v>59</v>
      </c>
      <c r="V21" t="s">
        <v>60</v>
      </c>
      <c r="W21" t="s">
        <v>61</v>
      </c>
      <c r="X21" s="3">
        <v>45313</v>
      </c>
      <c r="Y21" s="1" t="str">
        <f t="shared" si="0"/>
        <v>Jan</v>
      </c>
      <c r="Z21" s="1" t="str">
        <f t="shared" si="1"/>
        <v>2024</v>
      </c>
      <c r="AA21" t="b">
        <v>0</v>
      </c>
      <c r="AB21" t="b">
        <v>0</v>
      </c>
      <c r="AC21" t="s">
        <v>52</v>
      </c>
      <c r="AD21" t="s">
        <v>53</v>
      </c>
      <c r="AE21">
        <v>13</v>
      </c>
    </row>
    <row r="22" spans="1:31" x14ac:dyDescent="0.3">
      <c r="A22" t="s">
        <v>118</v>
      </c>
      <c r="B22">
        <v>21</v>
      </c>
      <c r="C22" t="str" cm="1">
        <f t="array" ref="C22">_xlfn.IFS(B22&lt;=18,"0-18",B22&lt;=29,"19-29",B22&gt;=49,"30-49",B22&gt;=69,"50-69",TRUE,"70+")</f>
        <v>19-29</v>
      </c>
      <c r="D22" t="s">
        <v>29</v>
      </c>
      <c r="E22" t="s">
        <v>30</v>
      </c>
      <c r="F22" t="s">
        <v>69</v>
      </c>
      <c r="G22" t="s">
        <v>45</v>
      </c>
      <c r="H22" t="s">
        <v>30</v>
      </c>
      <c r="I22" t="s">
        <v>119</v>
      </c>
      <c r="J22" t="s">
        <v>120</v>
      </c>
      <c r="K22" s="2">
        <v>463.07</v>
      </c>
      <c r="L22">
        <v>7</v>
      </c>
      <c r="M22" t="s">
        <v>35</v>
      </c>
      <c r="N22">
        <v>4</v>
      </c>
      <c r="O22">
        <v>2</v>
      </c>
      <c r="P22">
        <v>0</v>
      </c>
      <c r="Q22" t="s">
        <v>36</v>
      </c>
      <c r="R22" t="s">
        <v>85</v>
      </c>
      <c r="S22">
        <v>1</v>
      </c>
      <c r="T22">
        <v>2</v>
      </c>
      <c r="U22" t="s">
        <v>49</v>
      </c>
      <c r="V22" t="s">
        <v>60</v>
      </c>
      <c r="W22" t="s">
        <v>51</v>
      </c>
      <c r="X22" s="3">
        <v>45314</v>
      </c>
      <c r="Y22" s="1" t="str">
        <f t="shared" si="0"/>
        <v>Jan</v>
      </c>
      <c r="Z22" s="1" t="str">
        <f t="shared" si="1"/>
        <v>2024</v>
      </c>
      <c r="AA22" t="b">
        <v>1</v>
      </c>
      <c r="AB22" t="b">
        <v>0</v>
      </c>
      <c r="AC22" t="s">
        <v>52</v>
      </c>
      <c r="AD22" t="s">
        <v>41</v>
      </c>
      <c r="AE22">
        <v>11</v>
      </c>
    </row>
    <row r="23" spans="1:31" x14ac:dyDescent="0.3">
      <c r="A23" t="s">
        <v>121</v>
      </c>
      <c r="B23">
        <v>36</v>
      </c>
      <c r="C23" t="str" cm="1">
        <f t="array" ref="C23">_xlfn.IFS(B23&lt;=18,"0-18",B23&lt;=29,"19-29",B23&gt;=49,"30-49",B23&gt;=69,"50-69",TRUE,"70+")</f>
        <v>70+</v>
      </c>
      <c r="D23" t="s">
        <v>29</v>
      </c>
      <c r="E23" t="s">
        <v>44</v>
      </c>
      <c r="F23" t="s">
        <v>31</v>
      </c>
      <c r="G23" t="s">
        <v>56</v>
      </c>
      <c r="H23" t="s">
        <v>44</v>
      </c>
      <c r="I23" t="s">
        <v>122</v>
      </c>
      <c r="J23" t="s">
        <v>123</v>
      </c>
      <c r="K23" s="2">
        <v>56.74</v>
      </c>
      <c r="L23">
        <v>5</v>
      </c>
      <c r="M23" t="s">
        <v>78</v>
      </c>
      <c r="N23">
        <v>5</v>
      </c>
      <c r="O23">
        <v>1</v>
      </c>
      <c r="P23">
        <v>0</v>
      </c>
      <c r="Q23" t="s">
        <v>49</v>
      </c>
      <c r="R23" t="s">
        <v>85</v>
      </c>
      <c r="S23">
        <v>0</v>
      </c>
      <c r="T23">
        <v>6</v>
      </c>
      <c r="U23" t="s">
        <v>36</v>
      </c>
      <c r="V23" t="s">
        <v>60</v>
      </c>
      <c r="W23" t="s">
        <v>66</v>
      </c>
      <c r="X23" s="3">
        <v>45315</v>
      </c>
      <c r="Y23" s="1" t="str">
        <f t="shared" si="0"/>
        <v>Jan</v>
      </c>
      <c r="Z23" s="1" t="str">
        <f t="shared" si="1"/>
        <v>2024</v>
      </c>
      <c r="AA23" t="b">
        <v>1</v>
      </c>
      <c r="AB23" t="b">
        <v>0</v>
      </c>
      <c r="AC23" t="s">
        <v>62</v>
      </c>
      <c r="AD23" t="s">
        <v>67</v>
      </c>
      <c r="AE23">
        <v>7</v>
      </c>
    </row>
    <row r="24" spans="1:31" x14ac:dyDescent="0.3">
      <c r="A24" t="s">
        <v>124</v>
      </c>
      <c r="B24">
        <v>38</v>
      </c>
      <c r="C24" t="str" cm="1">
        <f t="array" ref="C24">_xlfn.IFS(B24&lt;=18,"0-18",B24&lt;=29,"19-29",B24&gt;=49,"30-49",B24&gt;=69,"50-69",TRUE,"70+")</f>
        <v>70+</v>
      </c>
      <c r="D24" t="s">
        <v>43</v>
      </c>
      <c r="E24" t="s">
        <v>44</v>
      </c>
      <c r="F24" t="s">
        <v>76</v>
      </c>
      <c r="G24" t="s">
        <v>32</v>
      </c>
      <c r="H24" t="s">
        <v>30</v>
      </c>
      <c r="I24" t="s">
        <v>125</v>
      </c>
      <c r="J24" t="s">
        <v>126</v>
      </c>
      <c r="K24" s="2">
        <v>371.32</v>
      </c>
      <c r="L24">
        <v>7</v>
      </c>
      <c r="M24" t="s">
        <v>48</v>
      </c>
      <c r="N24">
        <v>4</v>
      </c>
      <c r="O24">
        <v>4</v>
      </c>
      <c r="P24">
        <v>0.7</v>
      </c>
      <c r="Q24" t="s">
        <v>49</v>
      </c>
      <c r="R24" t="s">
        <v>50</v>
      </c>
      <c r="S24">
        <v>2</v>
      </c>
      <c r="T24">
        <v>1</v>
      </c>
      <c r="U24" t="s">
        <v>36</v>
      </c>
      <c r="V24" t="s">
        <v>38</v>
      </c>
      <c r="W24" t="s">
        <v>61</v>
      </c>
      <c r="X24" s="3">
        <v>45316</v>
      </c>
      <c r="Y24" s="1" t="str">
        <f t="shared" si="0"/>
        <v>Jan</v>
      </c>
      <c r="Z24" s="1" t="str">
        <f t="shared" si="1"/>
        <v>2024</v>
      </c>
      <c r="AA24" t="b">
        <v>1</v>
      </c>
      <c r="AB24" t="b">
        <v>1</v>
      </c>
      <c r="AC24" t="s">
        <v>62</v>
      </c>
      <c r="AD24" t="s">
        <v>53</v>
      </c>
      <c r="AE24">
        <v>6</v>
      </c>
    </row>
    <row r="25" spans="1:31" x14ac:dyDescent="0.3">
      <c r="A25" t="s">
        <v>127</v>
      </c>
      <c r="B25">
        <v>37</v>
      </c>
      <c r="C25" t="str" cm="1">
        <f t="array" ref="C25">_xlfn.IFS(B25&lt;=18,"0-18",B25&lt;=29,"19-29",B25&gt;=49,"30-49",B25&gt;=69,"50-69",TRUE,"70+")</f>
        <v>70+</v>
      </c>
      <c r="D25" t="s">
        <v>29</v>
      </c>
      <c r="E25" t="s">
        <v>30</v>
      </c>
      <c r="F25" t="s">
        <v>55</v>
      </c>
      <c r="G25" t="s">
        <v>32</v>
      </c>
      <c r="H25" t="s">
        <v>30</v>
      </c>
      <c r="I25" t="s">
        <v>128</v>
      </c>
      <c r="J25" t="s">
        <v>120</v>
      </c>
      <c r="K25" s="2">
        <v>461</v>
      </c>
      <c r="L25">
        <v>7</v>
      </c>
      <c r="M25" t="s">
        <v>78</v>
      </c>
      <c r="N25">
        <v>2</v>
      </c>
      <c r="O25">
        <v>4</v>
      </c>
      <c r="P25">
        <v>1</v>
      </c>
      <c r="Q25" t="s">
        <v>44</v>
      </c>
      <c r="R25" t="s">
        <v>50</v>
      </c>
      <c r="S25">
        <v>0</v>
      </c>
      <c r="T25">
        <v>8</v>
      </c>
      <c r="U25" t="s">
        <v>59</v>
      </c>
      <c r="V25" t="s">
        <v>38</v>
      </c>
      <c r="W25" t="s">
        <v>86</v>
      </c>
      <c r="X25" s="3">
        <v>45317</v>
      </c>
      <c r="Y25" s="1" t="str">
        <f t="shared" si="0"/>
        <v>Jan</v>
      </c>
      <c r="Z25" s="1" t="str">
        <f t="shared" si="1"/>
        <v>2024</v>
      </c>
      <c r="AA25" t="b">
        <v>0</v>
      </c>
      <c r="AB25" t="b">
        <v>1</v>
      </c>
      <c r="AC25" t="s">
        <v>52</v>
      </c>
      <c r="AD25" t="s">
        <v>53</v>
      </c>
      <c r="AE25">
        <v>9</v>
      </c>
    </row>
    <row r="26" spans="1:31" x14ac:dyDescent="0.3">
      <c r="A26" t="s">
        <v>129</v>
      </c>
      <c r="B26">
        <v>33</v>
      </c>
      <c r="C26" t="str" cm="1">
        <f t="array" ref="C26">_xlfn.IFS(B26&lt;=18,"0-18",B26&lt;=29,"19-29",B26&gt;=49,"30-49",B26&gt;=69,"50-69",TRUE,"70+")</f>
        <v>70+</v>
      </c>
      <c r="D26" t="s">
        <v>29</v>
      </c>
      <c r="E26" t="s">
        <v>44</v>
      </c>
      <c r="F26" t="s">
        <v>31</v>
      </c>
      <c r="G26" t="s">
        <v>32</v>
      </c>
      <c r="H26" t="s">
        <v>44</v>
      </c>
      <c r="I26" t="s">
        <v>130</v>
      </c>
      <c r="J26" t="s">
        <v>47</v>
      </c>
      <c r="K26" s="2">
        <v>253.37</v>
      </c>
      <c r="L26">
        <v>6</v>
      </c>
      <c r="M26" t="s">
        <v>48</v>
      </c>
      <c r="N26">
        <v>4</v>
      </c>
      <c r="O26">
        <v>1</v>
      </c>
      <c r="P26">
        <v>1</v>
      </c>
      <c r="Q26" t="s">
        <v>36</v>
      </c>
      <c r="R26" t="s">
        <v>85</v>
      </c>
      <c r="S26">
        <v>2</v>
      </c>
      <c r="T26">
        <v>10</v>
      </c>
      <c r="U26" t="s">
        <v>44</v>
      </c>
      <c r="V26" t="s">
        <v>38</v>
      </c>
      <c r="W26" t="s">
        <v>66</v>
      </c>
      <c r="X26" s="3">
        <v>45318</v>
      </c>
      <c r="Y26" s="1" t="str">
        <f t="shared" si="0"/>
        <v>Jan</v>
      </c>
      <c r="Z26" s="1" t="str">
        <f t="shared" si="1"/>
        <v>2024</v>
      </c>
      <c r="AA26" t="b">
        <v>1</v>
      </c>
      <c r="AB26" t="b">
        <v>0</v>
      </c>
      <c r="AC26" t="s">
        <v>62</v>
      </c>
      <c r="AD26" t="s">
        <v>53</v>
      </c>
      <c r="AE26">
        <v>8</v>
      </c>
    </row>
    <row r="27" spans="1:31" x14ac:dyDescent="0.3">
      <c r="A27" t="s">
        <v>131</v>
      </c>
      <c r="B27">
        <v>37</v>
      </c>
      <c r="C27" t="str" cm="1">
        <f t="array" ref="C27">_xlfn.IFS(B27&lt;=18,"0-18",B27&lt;=29,"19-29",B27&gt;=49,"30-49",B27&gt;=69,"50-69",TRUE,"70+")</f>
        <v>70+</v>
      </c>
      <c r="D27" t="s">
        <v>43</v>
      </c>
      <c r="E27" t="s">
        <v>44</v>
      </c>
      <c r="F27" t="s">
        <v>69</v>
      </c>
      <c r="G27" t="s">
        <v>45</v>
      </c>
      <c r="H27" t="s">
        <v>44</v>
      </c>
      <c r="I27" t="s">
        <v>132</v>
      </c>
      <c r="J27" t="s">
        <v>114</v>
      </c>
      <c r="K27" s="2">
        <v>136.53</v>
      </c>
      <c r="L27">
        <v>3</v>
      </c>
      <c r="M27" t="s">
        <v>35</v>
      </c>
      <c r="N27">
        <v>2</v>
      </c>
      <c r="O27">
        <v>4</v>
      </c>
      <c r="P27">
        <v>2</v>
      </c>
      <c r="Q27" t="s">
        <v>44</v>
      </c>
      <c r="R27" t="s">
        <v>50</v>
      </c>
      <c r="S27">
        <v>1</v>
      </c>
      <c r="T27">
        <v>3</v>
      </c>
      <c r="U27" t="s">
        <v>44</v>
      </c>
      <c r="V27" t="s">
        <v>60</v>
      </c>
      <c r="W27" t="s">
        <v>51</v>
      </c>
      <c r="X27" s="3">
        <v>45319</v>
      </c>
      <c r="Y27" s="1" t="str">
        <f t="shared" si="0"/>
        <v>Jan</v>
      </c>
      <c r="Z27" s="1" t="str">
        <f t="shared" si="1"/>
        <v>2024</v>
      </c>
      <c r="AA27" t="b">
        <v>1</v>
      </c>
      <c r="AB27" t="b">
        <v>1</v>
      </c>
      <c r="AC27" t="s">
        <v>74</v>
      </c>
      <c r="AD27" t="s">
        <v>53</v>
      </c>
      <c r="AE27">
        <v>10</v>
      </c>
    </row>
    <row r="28" spans="1:31" x14ac:dyDescent="0.3">
      <c r="A28" t="s">
        <v>133</v>
      </c>
      <c r="B28">
        <v>31</v>
      </c>
      <c r="C28" t="str" cm="1">
        <f t="array" ref="C28">_xlfn.IFS(B28&lt;=18,"0-18",B28&lt;=29,"19-29",B28&gt;=49,"30-49",B28&gt;=69,"50-69",TRUE,"70+")</f>
        <v>70+</v>
      </c>
      <c r="D28" t="s">
        <v>29</v>
      </c>
      <c r="E28" t="s">
        <v>30</v>
      </c>
      <c r="F28" t="s">
        <v>55</v>
      </c>
      <c r="G28" t="s">
        <v>56</v>
      </c>
      <c r="H28" t="s">
        <v>30</v>
      </c>
      <c r="I28" t="s">
        <v>134</v>
      </c>
      <c r="J28" t="s">
        <v>135</v>
      </c>
      <c r="K28" s="2">
        <v>489.05</v>
      </c>
      <c r="L28">
        <v>10</v>
      </c>
      <c r="M28" t="s">
        <v>78</v>
      </c>
      <c r="N28">
        <v>5</v>
      </c>
      <c r="O28">
        <v>3</v>
      </c>
      <c r="P28">
        <v>0</v>
      </c>
      <c r="Q28" t="s">
        <v>44</v>
      </c>
      <c r="R28" t="s">
        <v>37</v>
      </c>
      <c r="S28">
        <v>2</v>
      </c>
      <c r="T28">
        <v>2</v>
      </c>
      <c r="U28" t="s">
        <v>44</v>
      </c>
      <c r="V28" t="s">
        <v>79</v>
      </c>
      <c r="W28" t="s">
        <v>51</v>
      </c>
      <c r="X28" s="3">
        <v>45320</v>
      </c>
      <c r="Y28" s="1" t="str">
        <f t="shared" si="0"/>
        <v>Jan</v>
      </c>
      <c r="Z28" s="1" t="str">
        <f t="shared" si="1"/>
        <v>2024</v>
      </c>
      <c r="AA28" t="b">
        <v>1</v>
      </c>
      <c r="AB28" t="b">
        <v>1</v>
      </c>
      <c r="AC28" t="s">
        <v>74</v>
      </c>
      <c r="AD28" t="s">
        <v>53</v>
      </c>
      <c r="AE28">
        <v>7</v>
      </c>
    </row>
    <row r="29" spans="1:31" x14ac:dyDescent="0.3">
      <c r="A29" t="s">
        <v>136</v>
      </c>
      <c r="B29">
        <v>50</v>
      </c>
      <c r="C29" t="str" cm="1">
        <f t="array" ref="C29">_xlfn.IFS(B29&lt;=18,"0-18",B29&lt;=29,"19-29",B29&gt;=49,"30-49",B29&gt;=69,"50-69",TRUE,"70+")</f>
        <v>30-49</v>
      </c>
      <c r="D29" t="s">
        <v>43</v>
      </c>
      <c r="E29" t="s">
        <v>44</v>
      </c>
      <c r="F29" t="s">
        <v>55</v>
      </c>
      <c r="G29" t="s">
        <v>56</v>
      </c>
      <c r="H29" t="s">
        <v>44</v>
      </c>
      <c r="I29" t="s">
        <v>137</v>
      </c>
      <c r="J29" t="s">
        <v>117</v>
      </c>
      <c r="K29" s="2">
        <v>81.91</v>
      </c>
      <c r="L29">
        <v>10</v>
      </c>
      <c r="M29" t="s">
        <v>48</v>
      </c>
      <c r="N29">
        <v>3</v>
      </c>
      <c r="O29">
        <v>4</v>
      </c>
      <c r="P29">
        <v>1</v>
      </c>
      <c r="Q29" t="s">
        <v>49</v>
      </c>
      <c r="R29" t="s">
        <v>85</v>
      </c>
      <c r="S29">
        <v>0</v>
      </c>
      <c r="T29">
        <v>4</v>
      </c>
      <c r="U29" t="s">
        <v>36</v>
      </c>
      <c r="V29" t="s">
        <v>79</v>
      </c>
      <c r="W29" t="s">
        <v>61</v>
      </c>
      <c r="X29" s="3">
        <v>45321</v>
      </c>
      <c r="Y29" s="1" t="str">
        <f t="shared" si="0"/>
        <v>Jan</v>
      </c>
      <c r="Z29" s="1" t="str">
        <f t="shared" si="1"/>
        <v>2024</v>
      </c>
      <c r="AA29" t="b">
        <v>0</v>
      </c>
      <c r="AB29" t="b">
        <v>1</v>
      </c>
      <c r="AC29" t="s">
        <v>40</v>
      </c>
      <c r="AD29" t="s">
        <v>67</v>
      </c>
      <c r="AE29">
        <v>2</v>
      </c>
    </row>
    <row r="30" spans="1:31" x14ac:dyDescent="0.3">
      <c r="A30" t="s">
        <v>138</v>
      </c>
      <c r="B30">
        <v>50</v>
      </c>
      <c r="C30" t="str" cm="1">
        <f t="array" ref="C30">_xlfn.IFS(B30&lt;=18,"0-18",B30&lt;=29,"19-29",B30&gt;=49,"30-49",B30&gt;=69,"50-69",TRUE,"70+")</f>
        <v>30-49</v>
      </c>
      <c r="D30" t="s">
        <v>43</v>
      </c>
      <c r="E30" t="s">
        <v>30</v>
      </c>
      <c r="F30" t="s">
        <v>31</v>
      </c>
      <c r="G30" t="s">
        <v>32</v>
      </c>
      <c r="H30" t="s">
        <v>30</v>
      </c>
      <c r="I30" t="s">
        <v>139</v>
      </c>
      <c r="J30" t="s">
        <v>135</v>
      </c>
      <c r="K30" s="2">
        <v>135.80000000000001</v>
      </c>
      <c r="L30">
        <v>2</v>
      </c>
      <c r="M30" t="s">
        <v>48</v>
      </c>
      <c r="N30">
        <v>2</v>
      </c>
      <c r="O30">
        <v>5</v>
      </c>
      <c r="P30">
        <v>1</v>
      </c>
      <c r="Q30" t="s">
        <v>59</v>
      </c>
      <c r="R30" t="s">
        <v>37</v>
      </c>
      <c r="S30">
        <v>1</v>
      </c>
      <c r="T30">
        <v>2</v>
      </c>
      <c r="U30" t="s">
        <v>44</v>
      </c>
      <c r="V30" t="s">
        <v>79</v>
      </c>
      <c r="W30" t="s">
        <v>61</v>
      </c>
      <c r="X30" s="3">
        <v>45322</v>
      </c>
      <c r="Y30" s="1" t="str">
        <f t="shared" si="0"/>
        <v>Jan</v>
      </c>
      <c r="Z30" s="1" t="str">
        <f t="shared" si="1"/>
        <v>2024</v>
      </c>
      <c r="AA30" t="b">
        <v>0</v>
      </c>
      <c r="AB30" t="b">
        <v>1</v>
      </c>
      <c r="AC30" t="s">
        <v>74</v>
      </c>
      <c r="AD30" t="s">
        <v>41</v>
      </c>
      <c r="AE30">
        <v>9</v>
      </c>
    </row>
    <row r="31" spans="1:31" x14ac:dyDescent="0.3">
      <c r="A31" t="s">
        <v>140</v>
      </c>
      <c r="B31">
        <v>45</v>
      </c>
      <c r="C31" t="str" cm="1">
        <f t="array" ref="C31">_xlfn.IFS(B31&lt;=18,"0-18",B31&lt;=29,"19-29",B31&gt;=49,"30-49",B31&gt;=69,"50-69",TRUE,"70+")</f>
        <v>70+</v>
      </c>
      <c r="D31" t="s">
        <v>29</v>
      </c>
      <c r="E31" t="s">
        <v>30</v>
      </c>
      <c r="F31" t="s">
        <v>69</v>
      </c>
      <c r="G31" t="s">
        <v>45</v>
      </c>
      <c r="H31" t="s">
        <v>30</v>
      </c>
      <c r="I31" t="s">
        <v>141</v>
      </c>
      <c r="J31" t="s">
        <v>142</v>
      </c>
      <c r="K31" s="2">
        <v>382.24</v>
      </c>
      <c r="L31">
        <v>12</v>
      </c>
      <c r="M31" t="s">
        <v>48</v>
      </c>
      <c r="N31">
        <v>1</v>
      </c>
      <c r="O31">
        <v>5</v>
      </c>
      <c r="P31">
        <v>1</v>
      </c>
      <c r="Q31" t="s">
        <v>44</v>
      </c>
      <c r="R31" t="s">
        <v>85</v>
      </c>
      <c r="S31">
        <v>1</v>
      </c>
      <c r="T31">
        <v>4</v>
      </c>
      <c r="U31" t="s">
        <v>44</v>
      </c>
      <c r="V31" t="s">
        <v>38</v>
      </c>
      <c r="W31" t="s">
        <v>51</v>
      </c>
      <c r="X31" s="3">
        <v>45323</v>
      </c>
      <c r="Y31" s="1" t="str">
        <f t="shared" si="0"/>
        <v>Feb</v>
      </c>
      <c r="Z31" s="1" t="str">
        <f t="shared" si="1"/>
        <v>2024</v>
      </c>
      <c r="AA31" t="b">
        <v>1</v>
      </c>
      <c r="AB31" t="b">
        <v>1</v>
      </c>
      <c r="AC31" t="s">
        <v>74</v>
      </c>
      <c r="AD31" t="s">
        <v>53</v>
      </c>
      <c r="AE31">
        <v>3</v>
      </c>
    </row>
    <row r="32" spans="1:31" x14ac:dyDescent="0.3">
      <c r="A32" t="s">
        <v>143</v>
      </c>
      <c r="B32">
        <v>33</v>
      </c>
      <c r="C32" t="str" cm="1">
        <f t="array" ref="C32">_xlfn.IFS(B32&lt;=18,"0-18",B32&lt;=29,"19-29",B32&gt;=49,"30-49",B32&gt;=69,"50-69",TRUE,"70+")</f>
        <v>70+</v>
      </c>
      <c r="D32" t="s">
        <v>29</v>
      </c>
      <c r="E32" t="s">
        <v>44</v>
      </c>
      <c r="F32" t="s">
        <v>31</v>
      </c>
      <c r="G32" t="s">
        <v>32</v>
      </c>
      <c r="H32" t="s">
        <v>30</v>
      </c>
      <c r="I32" t="s">
        <v>144</v>
      </c>
      <c r="J32" t="s">
        <v>34</v>
      </c>
      <c r="K32" s="2">
        <v>354.7</v>
      </c>
      <c r="L32">
        <v>5</v>
      </c>
      <c r="M32" t="s">
        <v>78</v>
      </c>
      <c r="N32">
        <v>4</v>
      </c>
      <c r="O32">
        <v>2</v>
      </c>
      <c r="P32">
        <v>0</v>
      </c>
      <c r="Q32" t="s">
        <v>36</v>
      </c>
      <c r="R32" t="s">
        <v>85</v>
      </c>
      <c r="S32">
        <v>2</v>
      </c>
      <c r="T32">
        <v>7</v>
      </c>
      <c r="U32" t="s">
        <v>36</v>
      </c>
      <c r="V32" t="s">
        <v>60</v>
      </c>
      <c r="W32" t="s">
        <v>66</v>
      </c>
      <c r="X32" s="3">
        <v>45324</v>
      </c>
      <c r="Y32" s="1" t="str">
        <f t="shared" si="0"/>
        <v>Feb</v>
      </c>
      <c r="Z32" s="1" t="str">
        <f t="shared" si="1"/>
        <v>2024</v>
      </c>
      <c r="AA32" t="b">
        <v>1</v>
      </c>
      <c r="AB32" t="b">
        <v>0</v>
      </c>
      <c r="AC32" t="s">
        <v>74</v>
      </c>
      <c r="AD32" t="s">
        <v>67</v>
      </c>
      <c r="AE32">
        <v>12</v>
      </c>
    </row>
    <row r="33" spans="1:31" x14ac:dyDescent="0.3">
      <c r="A33" t="s">
        <v>145</v>
      </c>
      <c r="B33">
        <v>24</v>
      </c>
      <c r="C33" t="str" cm="1">
        <f t="array" ref="C33">_xlfn.IFS(B33&lt;=18,"0-18",B33&lt;=29,"19-29",B33&gt;=49,"30-49",B33&gt;=69,"50-69",TRUE,"70+")</f>
        <v>19-29</v>
      </c>
      <c r="D33" t="s">
        <v>43</v>
      </c>
      <c r="E33" t="s">
        <v>44</v>
      </c>
      <c r="F33" t="s">
        <v>76</v>
      </c>
      <c r="G33" t="s">
        <v>32</v>
      </c>
      <c r="H33" t="s">
        <v>44</v>
      </c>
      <c r="I33" t="s">
        <v>146</v>
      </c>
      <c r="J33" t="s">
        <v>93</v>
      </c>
      <c r="K33" s="2">
        <v>433.82</v>
      </c>
      <c r="L33">
        <v>6</v>
      </c>
      <c r="M33" t="s">
        <v>78</v>
      </c>
      <c r="N33">
        <v>3</v>
      </c>
      <c r="O33">
        <v>2</v>
      </c>
      <c r="P33">
        <v>1</v>
      </c>
      <c r="Q33" t="s">
        <v>49</v>
      </c>
      <c r="R33" t="s">
        <v>37</v>
      </c>
      <c r="S33">
        <v>0</v>
      </c>
      <c r="T33">
        <v>8</v>
      </c>
      <c r="U33" t="s">
        <v>49</v>
      </c>
      <c r="V33" t="s">
        <v>79</v>
      </c>
      <c r="W33" t="s">
        <v>66</v>
      </c>
      <c r="X33" s="3">
        <v>45325</v>
      </c>
      <c r="Y33" s="1" t="str">
        <f t="shared" si="0"/>
        <v>Feb</v>
      </c>
      <c r="Z33" s="1" t="str">
        <f t="shared" si="1"/>
        <v>2024</v>
      </c>
      <c r="AA33" t="b">
        <v>0</v>
      </c>
      <c r="AB33" t="b">
        <v>1</v>
      </c>
      <c r="AC33" t="s">
        <v>74</v>
      </c>
      <c r="AD33" t="s">
        <v>67</v>
      </c>
      <c r="AE33">
        <v>10</v>
      </c>
    </row>
    <row r="34" spans="1:31" x14ac:dyDescent="0.3">
      <c r="A34" t="s">
        <v>147</v>
      </c>
      <c r="B34">
        <v>39</v>
      </c>
      <c r="C34" t="str" cm="1">
        <f t="array" ref="C34">_xlfn.IFS(B34&lt;=18,"0-18",B34&lt;=29,"19-29",B34&gt;=49,"30-49",B34&gt;=69,"50-69",TRUE,"70+")</f>
        <v>70+</v>
      </c>
      <c r="D34" t="s">
        <v>148</v>
      </c>
      <c r="E34" t="s">
        <v>44</v>
      </c>
      <c r="F34" t="s">
        <v>31</v>
      </c>
      <c r="G34" t="s">
        <v>32</v>
      </c>
      <c r="H34" t="s">
        <v>30</v>
      </c>
      <c r="I34" t="s">
        <v>149</v>
      </c>
      <c r="J34" t="s">
        <v>93</v>
      </c>
      <c r="K34" s="2">
        <v>282.13</v>
      </c>
      <c r="L34">
        <v>5</v>
      </c>
      <c r="M34" t="s">
        <v>35</v>
      </c>
      <c r="N34">
        <v>4</v>
      </c>
      <c r="O34">
        <v>5</v>
      </c>
      <c r="P34">
        <v>1</v>
      </c>
      <c r="Q34" t="s">
        <v>36</v>
      </c>
      <c r="R34" t="s">
        <v>37</v>
      </c>
      <c r="S34">
        <v>1</v>
      </c>
      <c r="T34">
        <v>2</v>
      </c>
      <c r="U34" t="s">
        <v>36</v>
      </c>
      <c r="V34" t="s">
        <v>38</v>
      </c>
      <c r="W34" t="s">
        <v>66</v>
      </c>
      <c r="X34" s="3">
        <v>45326</v>
      </c>
      <c r="Y34" s="1" t="str">
        <f t="shared" si="0"/>
        <v>Feb</v>
      </c>
      <c r="Z34" s="1" t="str">
        <f t="shared" si="1"/>
        <v>2024</v>
      </c>
      <c r="AA34" t="b">
        <v>1</v>
      </c>
      <c r="AB34" t="b">
        <v>0</v>
      </c>
      <c r="AC34" t="s">
        <v>40</v>
      </c>
      <c r="AD34" t="s">
        <v>53</v>
      </c>
      <c r="AE34">
        <v>9</v>
      </c>
    </row>
    <row r="35" spans="1:31" x14ac:dyDescent="0.3">
      <c r="A35" t="s">
        <v>150</v>
      </c>
      <c r="B35">
        <v>48</v>
      </c>
      <c r="C35" t="str" cm="1">
        <f t="array" ref="C35">_xlfn.IFS(B35&lt;=18,"0-18",B35&lt;=29,"19-29",B35&gt;=49,"30-49",B35&gt;=69,"50-69",TRUE,"70+")</f>
        <v>70+</v>
      </c>
      <c r="D35" t="s">
        <v>43</v>
      </c>
      <c r="E35" t="s">
        <v>44</v>
      </c>
      <c r="F35" t="s">
        <v>69</v>
      </c>
      <c r="G35" t="s">
        <v>45</v>
      </c>
      <c r="H35" t="s">
        <v>30</v>
      </c>
      <c r="I35" t="s">
        <v>151</v>
      </c>
      <c r="J35" t="s">
        <v>93</v>
      </c>
      <c r="K35" s="2">
        <v>454.38</v>
      </c>
      <c r="L35">
        <v>10</v>
      </c>
      <c r="M35" t="s">
        <v>78</v>
      </c>
      <c r="N35">
        <v>3</v>
      </c>
      <c r="O35">
        <v>4</v>
      </c>
      <c r="P35">
        <v>0</v>
      </c>
      <c r="Q35" t="s">
        <v>36</v>
      </c>
      <c r="R35" t="s">
        <v>37</v>
      </c>
      <c r="S35">
        <v>0</v>
      </c>
      <c r="T35">
        <v>10</v>
      </c>
      <c r="U35" t="s">
        <v>49</v>
      </c>
      <c r="V35" t="s">
        <v>60</v>
      </c>
      <c r="W35" t="s">
        <v>51</v>
      </c>
      <c r="X35" s="3">
        <v>45327</v>
      </c>
      <c r="Y35" s="1" t="str">
        <f t="shared" si="0"/>
        <v>Feb</v>
      </c>
      <c r="Z35" s="1" t="str">
        <f t="shared" si="1"/>
        <v>2024</v>
      </c>
      <c r="AA35" t="b">
        <v>1</v>
      </c>
      <c r="AB35" t="b">
        <v>0</v>
      </c>
      <c r="AC35" t="s">
        <v>62</v>
      </c>
      <c r="AD35" t="s">
        <v>41</v>
      </c>
      <c r="AE35">
        <v>7</v>
      </c>
    </row>
    <row r="36" spans="1:31" x14ac:dyDescent="0.3">
      <c r="A36" t="s">
        <v>152</v>
      </c>
      <c r="B36">
        <v>25</v>
      </c>
      <c r="C36" t="str" cm="1">
        <f t="array" ref="C36">_xlfn.IFS(B36&lt;=18,"0-18",B36&lt;=29,"19-29",B36&gt;=49,"30-49",B36&gt;=69,"50-69",TRUE,"70+")</f>
        <v>19-29</v>
      </c>
      <c r="D36" t="s">
        <v>43</v>
      </c>
      <c r="E36" t="s">
        <v>30</v>
      </c>
      <c r="F36" t="s">
        <v>31</v>
      </c>
      <c r="G36" t="s">
        <v>45</v>
      </c>
      <c r="H36" t="s">
        <v>44</v>
      </c>
      <c r="I36" t="s">
        <v>153</v>
      </c>
      <c r="J36" t="s">
        <v>93</v>
      </c>
      <c r="K36" s="2">
        <v>138.88</v>
      </c>
      <c r="L36">
        <v>7</v>
      </c>
      <c r="M36" t="s">
        <v>48</v>
      </c>
      <c r="N36">
        <v>2</v>
      </c>
      <c r="O36">
        <v>4</v>
      </c>
      <c r="P36">
        <v>1</v>
      </c>
      <c r="Q36" t="s">
        <v>36</v>
      </c>
      <c r="R36" t="s">
        <v>50</v>
      </c>
      <c r="S36">
        <v>1</v>
      </c>
      <c r="T36">
        <v>3</v>
      </c>
      <c r="U36" t="s">
        <v>36</v>
      </c>
      <c r="V36" t="s">
        <v>38</v>
      </c>
      <c r="W36" t="s">
        <v>86</v>
      </c>
      <c r="X36" s="3">
        <v>45328</v>
      </c>
      <c r="Y36" s="1" t="str">
        <f t="shared" si="0"/>
        <v>Feb</v>
      </c>
      <c r="Z36" s="1" t="str">
        <f t="shared" si="1"/>
        <v>2024</v>
      </c>
      <c r="AA36" t="b">
        <v>1</v>
      </c>
      <c r="AB36" t="b">
        <v>0</v>
      </c>
      <c r="AC36" t="s">
        <v>74</v>
      </c>
      <c r="AD36" t="s">
        <v>41</v>
      </c>
      <c r="AE36">
        <v>4</v>
      </c>
    </row>
    <row r="37" spans="1:31" x14ac:dyDescent="0.3">
      <c r="A37" t="s">
        <v>154</v>
      </c>
      <c r="B37">
        <v>30</v>
      </c>
      <c r="C37" t="str" cm="1">
        <f t="array" ref="C37">_xlfn.IFS(B37&lt;=18,"0-18",B37&lt;=29,"19-29",B37&gt;=49,"30-49",B37&gt;=69,"50-69",TRUE,"70+")</f>
        <v>70+</v>
      </c>
      <c r="D37" t="s">
        <v>29</v>
      </c>
      <c r="E37" t="s">
        <v>44</v>
      </c>
      <c r="F37" t="s">
        <v>55</v>
      </c>
      <c r="G37" t="s">
        <v>32</v>
      </c>
      <c r="H37" t="s">
        <v>44</v>
      </c>
      <c r="I37" t="s">
        <v>155</v>
      </c>
      <c r="J37" t="s">
        <v>82</v>
      </c>
      <c r="K37" s="2">
        <v>52.34</v>
      </c>
      <c r="L37">
        <v>6</v>
      </c>
      <c r="M37" t="s">
        <v>48</v>
      </c>
      <c r="N37">
        <v>3</v>
      </c>
      <c r="O37">
        <v>4</v>
      </c>
      <c r="P37">
        <v>1</v>
      </c>
      <c r="Q37" t="s">
        <v>59</v>
      </c>
      <c r="R37" t="s">
        <v>37</v>
      </c>
      <c r="S37">
        <v>1</v>
      </c>
      <c r="T37">
        <v>5</v>
      </c>
      <c r="U37" t="s">
        <v>49</v>
      </c>
      <c r="V37" t="s">
        <v>38</v>
      </c>
      <c r="W37" t="s">
        <v>51</v>
      </c>
      <c r="X37" s="3">
        <v>45329</v>
      </c>
      <c r="Y37" s="1" t="str">
        <f t="shared" si="0"/>
        <v>Feb</v>
      </c>
      <c r="Z37" s="1" t="str">
        <f t="shared" si="1"/>
        <v>2024</v>
      </c>
      <c r="AA37" t="b">
        <v>1</v>
      </c>
      <c r="AB37" t="b">
        <v>1</v>
      </c>
      <c r="AC37" t="s">
        <v>74</v>
      </c>
      <c r="AD37" t="s">
        <v>67</v>
      </c>
      <c r="AE37">
        <v>13</v>
      </c>
    </row>
    <row r="38" spans="1:31" x14ac:dyDescent="0.3">
      <c r="A38" t="s">
        <v>156</v>
      </c>
      <c r="B38">
        <v>34</v>
      </c>
      <c r="C38" t="str" cm="1">
        <f t="array" ref="C38">_xlfn.IFS(B38&lt;=18,"0-18",B38&lt;=29,"19-29",B38&gt;=49,"30-49",B38&gt;=69,"50-69",TRUE,"70+")</f>
        <v>70+</v>
      </c>
      <c r="D38" t="s">
        <v>43</v>
      </c>
      <c r="E38" t="s">
        <v>30</v>
      </c>
      <c r="F38" t="s">
        <v>55</v>
      </c>
      <c r="G38" t="s">
        <v>32</v>
      </c>
      <c r="H38" t="s">
        <v>44</v>
      </c>
      <c r="I38" t="s">
        <v>157</v>
      </c>
      <c r="J38" t="s">
        <v>158</v>
      </c>
      <c r="K38" s="2">
        <v>338.2</v>
      </c>
      <c r="L38">
        <v>7</v>
      </c>
      <c r="M38" t="s">
        <v>78</v>
      </c>
      <c r="N38">
        <v>3</v>
      </c>
      <c r="O38">
        <v>5</v>
      </c>
      <c r="P38">
        <v>0</v>
      </c>
      <c r="Q38" t="s">
        <v>36</v>
      </c>
      <c r="R38" t="s">
        <v>50</v>
      </c>
      <c r="S38">
        <v>1</v>
      </c>
      <c r="T38">
        <v>9</v>
      </c>
      <c r="U38" t="s">
        <v>49</v>
      </c>
      <c r="V38" t="s">
        <v>38</v>
      </c>
      <c r="W38" t="s">
        <v>66</v>
      </c>
      <c r="X38" s="3">
        <v>45330</v>
      </c>
      <c r="Y38" s="1" t="str">
        <f t="shared" si="0"/>
        <v>Feb</v>
      </c>
      <c r="Z38" s="1" t="str">
        <f t="shared" si="1"/>
        <v>2024</v>
      </c>
      <c r="AA38" t="b">
        <v>1</v>
      </c>
      <c r="AB38" t="b">
        <v>0</v>
      </c>
      <c r="AC38" t="s">
        <v>52</v>
      </c>
      <c r="AD38" t="s">
        <v>53</v>
      </c>
      <c r="AE38">
        <v>7</v>
      </c>
    </row>
    <row r="39" spans="1:31" x14ac:dyDescent="0.3">
      <c r="A39" t="s">
        <v>159</v>
      </c>
      <c r="B39">
        <v>21</v>
      </c>
      <c r="C39" t="str" cm="1">
        <f t="array" ref="C39">_xlfn.IFS(B39&lt;=18,"0-18",B39&lt;=29,"19-29",B39&gt;=49,"30-49",B39&gt;=69,"50-69",TRUE,"70+")</f>
        <v>19-29</v>
      </c>
      <c r="D39" t="s">
        <v>29</v>
      </c>
      <c r="E39" t="s">
        <v>30</v>
      </c>
      <c r="F39" t="s">
        <v>69</v>
      </c>
      <c r="G39" t="s">
        <v>45</v>
      </c>
      <c r="H39" t="s">
        <v>30</v>
      </c>
      <c r="I39" t="s">
        <v>160</v>
      </c>
      <c r="J39" t="s">
        <v>126</v>
      </c>
      <c r="K39" s="2">
        <v>263.14999999999998</v>
      </c>
      <c r="L39">
        <v>3</v>
      </c>
      <c r="M39" t="s">
        <v>48</v>
      </c>
      <c r="N39">
        <v>1</v>
      </c>
      <c r="O39">
        <v>5</v>
      </c>
      <c r="P39">
        <v>1</v>
      </c>
      <c r="Q39" t="s">
        <v>44</v>
      </c>
      <c r="R39" t="s">
        <v>37</v>
      </c>
      <c r="S39">
        <v>1</v>
      </c>
      <c r="T39">
        <v>10</v>
      </c>
      <c r="U39" t="s">
        <v>44</v>
      </c>
      <c r="V39" t="s">
        <v>38</v>
      </c>
      <c r="W39" t="s">
        <v>66</v>
      </c>
      <c r="X39" s="3">
        <v>45331</v>
      </c>
      <c r="Y39" s="1" t="str">
        <f t="shared" si="0"/>
        <v>Feb</v>
      </c>
      <c r="Z39" s="1" t="str">
        <f t="shared" si="1"/>
        <v>2024</v>
      </c>
      <c r="AA39" t="b">
        <v>1</v>
      </c>
      <c r="AB39" t="b">
        <v>0</v>
      </c>
      <c r="AC39" t="s">
        <v>62</v>
      </c>
      <c r="AD39" t="s">
        <v>67</v>
      </c>
      <c r="AE39">
        <v>10</v>
      </c>
    </row>
    <row r="40" spans="1:31" x14ac:dyDescent="0.3">
      <c r="A40" t="s">
        <v>161</v>
      </c>
      <c r="B40">
        <v>36</v>
      </c>
      <c r="C40" t="str" cm="1">
        <f t="array" ref="C40">_xlfn.IFS(B40&lt;=18,"0-18",B40&lt;=29,"19-29",B40&gt;=49,"30-49",B40&gt;=69,"50-69",TRUE,"70+")</f>
        <v>70+</v>
      </c>
      <c r="D40" t="s">
        <v>29</v>
      </c>
      <c r="E40" t="s">
        <v>30</v>
      </c>
      <c r="F40" t="s">
        <v>31</v>
      </c>
      <c r="G40" t="s">
        <v>56</v>
      </c>
      <c r="H40" t="s">
        <v>30</v>
      </c>
      <c r="I40" t="s">
        <v>162</v>
      </c>
      <c r="J40" t="s">
        <v>120</v>
      </c>
      <c r="K40" s="2">
        <v>371.58</v>
      </c>
      <c r="L40">
        <v>2</v>
      </c>
      <c r="M40" t="s">
        <v>35</v>
      </c>
      <c r="N40">
        <v>2</v>
      </c>
      <c r="O40">
        <v>1</v>
      </c>
      <c r="P40">
        <v>2</v>
      </c>
      <c r="Q40" t="s">
        <v>44</v>
      </c>
      <c r="R40" t="s">
        <v>50</v>
      </c>
      <c r="S40">
        <v>0</v>
      </c>
      <c r="T40">
        <v>10</v>
      </c>
      <c r="U40" t="s">
        <v>36</v>
      </c>
      <c r="V40" t="s">
        <v>60</v>
      </c>
      <c r="W40" t="s">
        <v>86</v>
      </c>
      <c r="X40" s="3">
        <v>45332</v>
      </c>
      <c r="Y40" s="1" t="str">
        <f t="shared" si="0"/>
        <v>Feb</v>
      </c>
      <c r="Z40" s="1" t="str">
        <f t="shared" si="1"/>
        <v>2024</v>
      </c>
      <c r="AA40" t="b">
        <v>1</v>
      </c>
      <c r="AB40" t="b">
        <v>1</v>
      </c>
      <c r="AC40" t="s">
        <v>52</v>
      </c>
      <c r="AD40" t="s">
        <v>41</v>
      </c>
      <c r="AE40">
        <v>11</v>
      </c>
    </row>
    <row r="41" spans="1:31" x14ac:dyDescent="0.3">
      <c r="A41" t="s">
        <v>163</v>
      </c>
      <c r="B41">
        <v>30</v>
      </c>
      <c r="C41" t="str" cm="1">
        <f t="array" ref="C41">_xlfn.IFS(B41&lt;=18,"0-18",B41&lt;=29,"19-29",B41&gt;=49,"30-49",B41&gt;=69,"50-69",TRUE,"70+")</f>
        <v>70+</v>
      </c>
      <c r="D41" t="s">
        <v>43</v>
      </c>
      <c r="E41" t="s">
        <v>30</v>
      </c>
      <c r="F41" t="s">
        <v>69</v>
      </c>
      <c r="G41" t="s">
        <v>32</v>
      </c>
      <c r="H41" t="s">
        <v>30</v>
      </c>
      <c r="I41" t="s">
        <v>164</v>
      </c>
      <c r="J41" t="s">
        <v>104</v>
      </c>
      <c r="K41" s="2">
        <v>353.4</v>
      </c>
      <c r="L41">
        <v>2</v>
      </c>
      <c r="M41" t="s">
        <v>78</v>
      </c>
      <c r="N41">
        <v>2</v>
      </c>
      <c r="O41">
        <v>3</v>
      </c>
      <c r="P41">
        <v>2</v>
      </c>
      <c r="Q41" t="s">
        <v>49</v>
      </c>
      <c r="R41" t="s">
        <v>85</v>
      </c>
      <c r="S41">
        <v>0</v>
      </c>
      <c r="T41">
        <v>1</v>
      </c>
      <c r="U41" t="s">
        <v>59</v>
      </c>
      <c r="V41" t="s">
        <v>38</v>
      </c>
      <c r="W41" t="s">
        <v>39</v>
      </c>
      <c r="X41" s="3">
        <v>45333</v>
      </c>
      <c r="Y41" s="1" t="str">
        <f t="shared" si="0"/>
        <v>Feb</v>
      </c>
      <c r="Z41" s="1" t="str">
        <f t="shared" si="1"/>
        <v>2024</v>
      </c>
      <c r="AA41" t="b">
        <v>0</v>
      </c>
      <c r="AB41" t="b">
        <v>1</v>
      </c>
      <c r="AC41" t="s">
        <v>62</v>
      </c>
      <c r="AD41" t="s">
        <v>41</v>
      </c>
      <c r="AE41">
        <v>3</v>
      </c>
    </row>
    <row r="42" spans="1:31" x14ac:dyDescent="0.3">
      <c r="A42" t="s">
        <v>165</v>
      </c>
      <c r="B42">
        <v>46</v>
      </c>
      <c r="C42" t="str" cm="1">
        <f t="array" ref="C42">_xlfn.IFS(B42&lt;=18,"0-18",B42&lt;=29,"19-29",B42&gt;=49,"30-49",B42&gt;=69,"50-69",TRUE,"70+")</f>
        <v>70+</v>
      </c>
      <c r="D42" t="s">
        <v>29</v>
      </c>
      <c r="E42" t="s">
        <v>30</v>
      </c>
      <c r="F42" t="s">
        <v>76</v>
      </c>
      <c r="G42" t="s">
        <v>45</v>
      </c>
      <c r="H42" t="s">
        <v>44</v>
      </c>
      <c r="I42" t="s">
        <v>166</v>
      </c>
      <c r="J42" t="s">
        <v>120</v>
      </c>
      <c r="K42" s="2">
        <v>329.41</v>
      </c>
      <c r="L42">
        <v>5</v>
      </c>
      <c r="M42" t="s">
        <v>48</v>
      </c>
      <c r="N42">
        <v>5</v>
      </c>
      <c r="O42">
        <v>3</v>
      </c>
      <c r="P42">
        <v>0</v>
      </c>
      <c r="Q42" t="s">
        <v>49</v>
      </c>
      <c r="R42" t="s">
        <v>37</v>
      </c>
      <c r="S42">
        <v>1</v>
      </c>
      <c r="T42">
        <v>1</v>
      </c>
      <c r="U42" t="s">
        <v>44</v>
      </c>
      <c r="V42" t="s">
        <v>79</v>
      </c>
      <c r="W42" t="s">
        <v>86</v>
      </c>
      <c r="X42" s="3">
        <v>45334</v>
      </c>
      <c r="Y42" s="1" t="str">
        <f t="shared" si="0"/>
        <v>Feb</v>
      </c>
      <c r="Z42" s="1" t="str">
        <f t="shared" si="1"/>
        <v>2024</v>
      </c>
      <c r="AA42" t="b">
        <v>1</v>
      </c>
      <c r="AB42" t="b">
        <v>1</v>
      </c>
      <c r="AC42" t="s">
        <v>40</v>
      </c>
      <c r="AD42" t="s">
        <v>41</v>
      </c>
      <c r="AE42">
        <v>2</v>
      </c>
    </row>
    <row r="43" spans="1:31" x14ac:dyDescent="0.3">
      <c r="A43" t="s">
        <v>167</v>
      </c>
      <c r="B43">
        <v>46</v>
      </c>
      <c r="C43" t="str" cm="1">
        <f t="array" ref="C43">_xlfn.IFS(B43&lt;=18,"0-18",B43&lt;=29,"19-29",B43&gt;=49,"30-49",B43&gt;=69,"50-69",TRUE,"70+")</f>
        <v>70+</v>
      </c>
      <c r="D43" t="s">
        <v>29</v>
      </c>
      <c r="E43" t="s">
        <v>30</v>
      </c>
      <c r="F43" t="s">
        <v>31</v>
      </c>
      <c r="G43" t="s">
        <v>56</v>
      </c>
      <c r="H43" t="s">
        <v>30</v>
      </c>
      <c r="I43" t="s">
        <v>168</v>
      </c>
      <c r="J43" t="s">
        <v>47</v>
      </c>
      <c r="K43" s="2">
        <v>54.46</v>
      </c>
      <c r="L43">
        <v>5</v>
      </c>
      <c r="M43" t="s">
        <v>78</v>
      </c>
      <c r="N43">
        <v>4</v>
      </c>
      <c r="O43">
        <v>5</v>
      </c>
      <c r="P43">
        <v>1</v>
      </c>
      <c r="Q43" t="s">
        <v>44</v>
      </c>
      <c r="R43" t="s">
        <v>50</v>
      </c>
      <c r="S43">
        <v>1</v>
      </c>
      <c r="T43">
        <v>1</v>
      </c>
      <c r="U43" t="s">
        <v>59</v>
      </c>
      <c r="V43" t="s">
        <v>38</v>
      </c>
      <c r="W43" t="s">
        <v>66</v>
      </c>
      <c r="X43" s="3">
        <v>45335</v>
      </c>
      <c r="Y43" s="1" t="str">
        <f t="shared" si="0"/>
        <v>Feb</v>
      </c>
      <c r="Z43" s="1" t="str">
        <f t="shared" si="1"/>
        <v>2024</v>
      </c>
      <c r="AA43" t="b">
        <v>0</v>
      </c>
      <c r="AB43" t="b">
        <v>0</v>
      </c>
      <c r="AC43" t="s">
        <v>62</v>
      </c>
      <c r="AD43" t="s">
        <v>53</v>
      </c>
      <c r="AE43">
        <v>1</v>
      </c>
    </row>
    <row r="44" spans="1:31" x14ac:dyDescent="0.3">
      <c r="A44" t="s">
        <v>169</v>
      </c>
      <c r="B44">
        <v>43</v>
      </c>
      <c r="C44" t="str" cm="1">
        <f t="array" ref="C44">_xlfn.IFS(B44&lt;=18,"0-18",B44&lt;=29,"19-29",B44&gt;=49,"30-49",B44&gt;=69,"50-69",TRUE,"70+")</f>
        <v>70+</v>
      </c>
      <c r="D44" t="s">
        <v>43</v>
      </c>
      <c r="E44" t="s">
        <v>44</v>
      </c>
      <c r="F44" t="s">
        <v>69</v>
      </c>
      <c r="G44" t="s">
        <v>56</v>
      </c>
      <c r="H44" t="s">
        <v>30</v>
      </c>
      <c r="I44" t="s">
        <v>170</v>
      </c>
      <c r="J44" t="s">
        <v>82</v>
      </c>
      <c r="K44" s="2">
        <v>257.12</v>
      </c>
      <c r="L44">
        <v>8</v>
      </c>
      <c r="M44" t="s">
        <v>78</v>
      </c>
      <c r="N44">
        <v>2</v>
      </c>
      <c r="O44">
        <v>1</v>
      </c>
      <c r="P44">
        <v>0</v>
      </c>
      <c r="Q44" t="s">
        <v>44</v>
      </c>
      <c r="R44" t="s">
        <v>50</v>
      </c>
      <c r="S44">
        <v>2</v>
      </c>
      <c r="T44">
        <v>1</v>
      </c>
      <c r="U44" t="s">
        <v>44</v>
      </c>
      <c r="V44" t="s">
        <v>60</v>
      </c>
      <c r="W44" t="s">
        <v>66</v>
      </c>
      <c r="X44" s="3">
        <v>45336</v>
      </c>
      <c r="Y44" s="1" t="str">
        <f t="shared" si="0"/>
        <v>Feb</v>
      </c>
      <c r="Z44" s="1" t="str">
        <f t="shared" si="1"/>
        <v>2024</v>
      </c>
      <c r="AA44" t="b">
        <v>1</v>
      </c>
      <c r="AB44" t="b">
        <v>0</v>
      </c>
      <c r="AC44" t="s">
        <v>62</v>
      </c>
      <c r="AD44" t="s">
        <v>41</v>
      </c>
      <c r="AE44">
        <v>11</v>
      </c>
    </row>
    <row r="45" spans="1:31" x14ac:dyDescent="0.3">
      <c r="A45" t="s">
        <v>171</v>
      </c>
      <c r="B45">
        <v>43</v>
      </c>
      <c r="C45" t="str" cm="1">
        <f t="array" ref="C45">_xlfn.IFS(B45&lt;=18,"0-18",B45&lt;=29,"19-29",B45&gt;=49,"30-49",B45&gt;=69,"50-69",TRUE,"70+")</f>
        <v>70+</v>
      </c>
      <c r="D45" t="s">
        <v>43</v>
      </c>
      <c r="E45" t="s">
        <v>44</v>
      </c>
      <c r="F45" t="s">
        <v>76</v>
      </c>
      <c r="G45" t="s">
        <v>32</v>
      </c>
      <c r="H45" t="s">
        <v>30</v>
      </c>
      <c r="I45" t="s">
        <v>172</v>
      </c>
      <c r="J45" t="s">
        <v>135</v>
      </c>
      <c r="K45" s="2">
        <v>293.04000000000002</v>
      </c>
      <c r="L45">
        <v>11</v>
      </c>
      <c r="M45" t="s">
        <v>48</v>
      </c>
      <c r="N45">
        <v>4</v>
      </c>
      <c r="O45">
        <v>2</v>
      </c>
      <c r="P45">
        <v>1</v>
      </c>
      <c r="Q45" t="s">
        <v>36</v>
      </c>
      <c r="R45" t="s">
        <v>85</v>
      </c>
      <c r="S45">
        <v>1</v>
      </c>
      <c r="T45">
        <v>3</v>
      </c>
      <c r="U45" t="s">
        <v>59</v>
      </c>
      <c r="V45" t="s">
        <v>79</v>
      </c>
      <c r="W45" t="s">
        <v>51</v>
      </c>
      <c r="X45" s="3">
        <v>45337</v>
      </c>
      <c r="Y45" s="1" t="str">
        <f t="shared" si="0"/>
        <v>Feb</v>
      </c>
      <c r="Z45" s="1" t="str">
        <f t="shared" si="1"/>
        <v>2024</v>
      </c>
      <c r="AA45" t="b">
        <v>1</v>
      </c>
      <c r="AB45" t="b">
        <v>0</v>
      </c>
      <c r="AC45" t="s">
        <v>74</v>
      </c>
      <c r="AD45" t="s">
        <v>53</v>
      </c>
      <c r="AE45">
        <v>6</v>
      </c>
    </row>
    <row r="46" spans="1:31" x14ac:dyDescent="0.3">
      <c r="A46" t="s">
        <v>173</v>
      </c>
      <c r="B46">
        <v>34</v>
      </c>
      <c r="C46" t="str" cm="1">
        <f t="array" ref="C46">_xlfn.IFS(B46&lt;=18,"0-18",B46&lt;=29,"19-29",B46&gt;=49,"30-49",B46&gt;=69,"50-69",TRUE,"70+")</f>
        <v>70+</v>
      </c>
      <c r="D46" t="s">
        <v>43</v>
      </c>
      <c r="E46" t="s">
        <v>44</v>
      </c>
      <c r="F46" t="s">
        <v>55</v>
      </c>
      <c r="G46" t="s">
        <v>56</v>
      </c>
      <c r="H46" t="s">
        <v>44</v>
      </c>
      <c r="I46" t="s">
        <v>174</v>
      </c>
      <c r="J46" t="s">
        <v>82</v>
      </c>
      <c r="K46" s="2">
        <v>110.4</v>
      </c>
      <c r="L46">
        <v>12</v>
      </c>
      <c r="M46" t="s">
        <v>35</v>
      </c>
      <c r="N46">
        <v>5</v>
      </c>
      <c r="O46">
        <v>1</v>
      </c>
      <c r="P46">
        <v>2</v>
      </c>
      <c r="Q46" t="s">
        <v>36</v>
      </c>
      <c r="R46" t="s">
        <v>37</v>
      </c>
      <c r="S46">
        <v>1</v>
      </c>
      <c r="T46">
        <v>3</v>
      </c>
      <c r="U46" t="s">
        <v>49</v>
      </c>
      <c r="V46" t="s">
        <v>38</v>
      </c>
      <c r="W46" t="s">
        <v>61</v>
      </c>
      <c r="X46" s="3">
        <v>45338</v>
      </c>
      <c r="Y46" s="1" t="str">
        <f t="shared" si="0"/>
        <v>Feb</v>
      </c>
      <c r="Z46" s="1" t="str">
        <f t="shared" si="1"/>
        <v>2024</v>
      </c>
      <c r="AA46" t="b">
        <v>0</v>
      </c>
      <c r="AB46" t="b">
        <v>0</v>
      </c>
      <c r="AC46" t="s">
        <v>40</v>
      </c>
      <c r="AD46" t="s">
        <v>53</v>
      </c>
      <c r="AE46">
        <v>12</v>
      </c>
    </row>
    <row r="47" spans="1:31" x14ac:dyDescent="0.3">
      <c r="A47" t="s">
        <v>175</v>
      </c>
      <c r="B47">
        <v>42</v>
      </c>
      <c r="C47" t="str" cm="1">
        <f t="array" ref="C47">_xlfn.IFS(B47&lt;=18,"0-18",B47&lt;=29,"19-29",B47&gt;=49,"30-49",B47&gt;=69,"50-69",TRUE,"70+")</f>
        <v>70+</v>
      </c>
      <c r="D47" t="s">
        <v>29</v>
      </c>
      <c r="E47" t="s">
        <v>30</v>
      </c>
      <c r="F47" t="s">
        <v>31</v>
      </c>
      <c r="G47" t="s">
        <v>56</v>
      </c>
      <c r="H47" t="s">
        <v>44</v>
      </c>
      <c r="I47" t="s">
        <v>176</v>
      </c>
      <c r="J47" t="s">
        <v>93</v>
      </c>
      <c r="K47" s="2">
        <v>76.27</v>
      </c>
      <c r="L47">
        <v>4</v>
      </c>
      <c r="M47" t="s">
        <v>48</v>
      </c>
      <c r="N47">
        <v>2</v>
      </c>
      <c r="O47">
        <v>3</v>
      </c>
      <c r="P47">
        <v>0</v>
      </c>
      <c r="Q47" t="s">
        <v>36</v>
      </c>
      <c r="R47" t="s">
        <v>50</v>
      </c>
      <c r="S47">
        <v>0</v>
      </c>
      <c r="T47">
        <v>8</v>
      </c>
      <c r="U47" t="s">
        <v>49</v>
      </c>
      <c r="V47" t="s">
        <v>60</v>
      </c>
      <c r="W47" t="s">
        <v>39</v>
      </c>
      <c r="X47" s="3">
        <v>45339</v>
      </c>
      <c r="Y47" s="1" t="str">
        <f t="shared" si="0"/>
        <v>Feb</v>
      </c>
      <c r="Z47" s="1" t="str">
        <f t="shared" si="1"/>
        <v>2024</v>
      </c>
      <c r="AA47" t="b">
        <v>1</v>
      </c>
      <c r="AB47" t="b">
        <v>0</v>
      </c>
      <c r="AC47" t="s">
        <v>52</v>
      </c>
      <c r="AD47" t="s">
        <v>53</v>
      </c>
      <c r="AE47">
        <v>10</v>
      </c>
    </row>
    <row r="48" spans="1:31" x14ac:dyDescent="0.3">
      <c r="A48" t="s">
        <v>177</v>
      </c>
      <c r="B48">
        <v>40</v>
      </c>
      <c r="C48" t="str" cm="1">
        <f t="array" ref="C48">_xlfn.IFS(B48&lt;=18,"0-18",B48&lt;=29,"19-29",B48&gt;=49,"30-49",B48&gt;=69,"50-69",TRUE,"70+")</f>
        <v>70+</v>
      </c>
      <c r="D48" t="s">
        <v>29</v>
      </c>
      <c r="E48" t="s">
        <v>44</v>
      </c>
      <c r="F48" t="s">
        <v>69</v>
      </c>
      <c r="G48" t="s">
        <v>32</v>
      </c>
      <c r="H48" t="s">
        <v>30</v>
      </c>
      <c r="I48" t="s">
        <v>178</v>
      </c>
      <c r="J48" t="s">
        <v>126</v>
      </c>
      <c r="K48" s="2">
        <v>392.08</v>
      </c>
      <c r="L48">
        <v>6</v>
      </c>
      <c r="M48" t="s">
        <v>78</v>
      </c>
      <c r="N48">
        <v>2</v>
      </c>
      <c r="O48">
        <v>5</v>
      </c>
      <c r="P48">
        <v>1</v>
      </c>
      <c r="Q48" t="s">
        <v>36</v>
      </c>
      <c r="R48" t="s">
        <v>85</v>
      </c>
      <c r="S48">
        <v>2</v>
      </c>
      <c r="T48">
        <v>7</v>
      </c>
      <c r="U48" t="s">
        <v>44</v>
      </c>
      <c r="V48" t="s">
        <v>38</v>
      </c>
      <c r="W48" t="s">
        <v>66</v>
      </c>
      <c r="X48" s="3">
        <v>45340</v>
      </c>
      <c r="Y48" s="1" t="str">
        <f t="shared" si="0"/>
        <v>Feb</v>
      </c>
      <c r="Z48" s="1" t="str">
        <f t="shared" si="1"/>
        <v>2024</v>
      </c>
      <c r="AA48" t="b">
        <v>1</v>
      </c>
      <c r="AB48" t="b">
        <v>1</v>
      </c>
      <c r="AC48" t="s">
        <v>40</v>
      </c>
      <c r="AD48" t="s">
        <v>67</v>
      </c>
      <c r="AE48">
        <v>6</v>
      </c>
    </row>
    <row r="49" spans="1:31" x14ac:dyDescent="0.3">
      <c r="A49" t="s">
        <v>179</v>
      </c>
      <c r="B49">
        <v>25</v>
      </c>
      <c r="C49" t="str" cm="1">
        <f t="array" ref="C49">_xlfn.IFS(B49&lt;=18,"0-18",B49&lt;=29,"19-29",B49&gt;=49,"30-49",B49&gt;=69,"50-69",TRUE,"70+")</f>
        <v>19-29</v>
      </c>
      <c r="D49" t="s">
        <v>29</v>
      </c>
      <c r="E49" t="s">
        <v>44</v>
      </c>
      <c r="F49" t="s">
        <v>31</v>
      </c>
      <c r="G49" t="s">
        <v>32</v>
      </c>
      <c r="H49" t="s">
        <v>44</v>
      </c>
      <c r="I49" t="s">
        <v>180</v>
      </c>
      <c r="J49" t="s">
        <v>126</v>
      </c>
      <c r="K49" s="2">
        <v>51.22</v>
      </c>
      <c r="L49">
        <v>6</v>
      </c>
      <c r="M49" t="s">
        <v>78</v>
      </c>
      <c r="N49">
        <v>2</v>
      </c>
      <c r="O49">
        <v>1</v>
      </c>
      <c r="P49">
        <v>0</v>
      </c>
      <c r="Q49" t="s">
        <v>36</v>
      </c>
      <c r="R49" t="s">
        <v>85</v>
      </c>
      <c r="S49">
        <v>1</v>
      </c>
      <c r="T49">
        <v>5</v>
      </c>
      <c r="U49" t="s">
        <v>49</v>
      </c>
      <c r="V49" t="s">
        <v>38</v>
      </c>
      <c r="W49" t="s">
        <v>86</v>
      </c>
      <c r="X49" s="3">
        <v>45341</v>
      </c>
      <c r="Y49" s="1" t="str">
        <f t="shared" si="0"/>
        <v>Feb</v>
      </c>
      <c r="Z49" s="1" t="str">
        <f t="shared" si="1"/>
        <v>2024</v>
      </c>
      <c r="AA49" t="b">
        <v>1</v>
      </c>
      <c r="AB49" t="b">
        <v>1</v>
      </c>
      <c r="AC49" t="s">
        <v>74</v>
      </c>
      <c r="AD49" t="s">
        <v>53</v>
      </c>
      <c r="AE49">
        <v>5</v>
      </c>
    </row>
    <row r="50" spans="1:31" x14ac:dyDescent="0.3">
      <c r="A50" t="s">
        <v>181</v>
      </c>
      <c r="B50">
        <v>38</v>
      </c>
      <c r="C50" t="str" cm="1">
        <f t="array" ref="C50">_xlfn.IFS(B50&lt;=18,"0-18",B50&lt;=29,"19-29",B50&gt;=49,"30-49",B50&gt;=69,"50-69",TRUE,"70+")</f>
        <v>70+</v>
      </c>
      <c r="D50" t="s">
        <v>43</v>
      </c>
      <c r="E50" t="s">
        <v>30</v>
      </c>
      <c r="F50" t="s">
        <v>76</v>
      </c>
      <c r="G50" t="s">
        <v>32</v>
      </c>
      <c r="H50" t="s">
        <v>44</v>
      </c>
      <c r="I50" t="s">
        <v>182</v>
      </c>
      <c r="J50" t="s">
        <v>183</v>
      </c>
      <c r="K50" s="2">
        <v>227.57</v>
      </c>
      <c r="L50">
        <v>2</v>
      </c>
      <c r="M50" t="s">
        <v>78</v>
      </c>
      <c r="N50">
        <v>1</v>
      </c>
      <c r="O50">
        <v>2</v>
      </c>
      <c r="P50">
        <v>0</v>
      </c>
      <c r="Q50" t="s">
        <v>44</v>
      </c>
      <c r="R50" t="s">
        <v>37</v>
      </c>
      <c r="S50">
        <v>1</v>
      </c>
      <c r="T50">
        <v>6</v>
      </c>
      <c r="U50" t="s">
        <v>36</v>
      </c>
      <c r="V50" t="s">
        <v>38</v>
      </c>
      <c r="W50" t="s">
        <v>51</v>
      </c>
      <c r="X50" s="3">
        <v>45342</v>
      </c>
      <c r="Y50" s="1" t="str">
        <f t="shared" si="0"/>
        <v>Feb</v>
      </c>
      <c r="Z50" s="1" t="str">
        <f t="shared" si="1"/>
        <v>2024</v>
      </c>
      <c r="AA50" t="b">
        <v>0</v>
      </c>
      <c r="AB50" t="b">
        <v>1</v>
      </c>
      <c r="AC50" t="s">
        <v>52</v>
      </c>
      <c r="AD50" t="s">
        <v>41</v>
      </c>
      <c r="AE50">
        <v>14</v>
      </c>
    </row>
    <row r="51" spans="1:31" x14ac:dyDescent="0.3">
      <c r="A51" t="s">
        <v>184</v>
      </c>
      <c r="B51">
        <v>46</v>
      </c>
      <c r="C51" t="str" cm="1">
        <f t="array" ref="C51">_xlfn.IFS(B51&lt;=18,"0-18",B51&lt;=29,"19-29",B51&gt;=49,"30-49",B51&gt;=69,"50-69",TRUE,"70+")</f>
        <v>70+</v>
      </c>
      <c r="D51" t="s">
        <v>29</v>
      </c>
      <c r="E51" t="s">
        <v>30</v>
      </c>
      <c r="F51" t="s">
        <v>69</v>
      </c>
      <c r="G51" t="s">
        <v>32</v>
      </c>
      <c r="H51" t="s">
        <v>30</v>
      </c>
      <c r="I51" t="s">
        <v>185</v>
      </c>
      <c r="J51" t="s">
        <v>158</v>
      </c>
      <c r="K51" s="2">
        <v>378.87</v>
      </c>
      <c r="L51">
        <v>7</v>
      </c>
      <c r="M51" t="s">
        <v>78</v>
      </c>
      <c r="N51">
        <v>1</v>
      </c>
      <c r="O51">
        <v>2</v>
      </c>
      <c r="P51">
        <v>0</v>
      </c>
      <c r="Q51" t="s">
        <v>36</v>
      </c>
      <c r="R51" t="s">
        <v>85</v>
      </c>
      <c r="S51">
        <v>1</v>
      </c>
      <c r="T51">
        <v>2</v>
      </c>
      <c r="U51" t="s">
        <v>59</v>
      </c>
      <c r="V51" t="s">
        <v>38</v>
      </c>
      <c r="W51" t="s">
        <v>51</v>
      </c>
      <c r="X51" s="3">
        <v>45343</v>
      </c>
      <c r="Y51" s="1" t="str">
        <f t="shared" si="0"/>
        <v>Feb</v>
      </c>
      <c r="Z51" s="1" t="str">
        <f t="shared" si="1"/>
        <v>2024</v>
      </c>
      <c r="AA51" t="b">
        <v>1</v>
      </c>
      <c r="AB51" t="b">
        <v>0</v>
      </c>
      <c r="AC51" t="s">
        <v>74</v>
      </c>
      <c r="AD51" t="s">
        <v>41</v>
      </c>
      <c r="AE51">
        <v>5</v>
      </c>
    </row>
    <row r="52" spans="1:31" x14ac:dyDescent="0.3">
      <c r="A52" t="s">
        <v>186</v>
      </c>
      <c r="B52">
        <v>24</v>
      </c>
      <c r="C52" t="str" cm="1">
        <f t="array" ref="C52">_xlfn.IFS(B52&lt;=18,"0-18",B52&lt;=29,"19-29",B52&gt;=49,"30-49",B52&gt;=69,"50-69",TRUE,"70+")</f>
        <v>19-29</v>
      </c>
      <c r="D52" t="s">
        <v>29</v>
      </c>
      <c r="E52" t="s">
        <v>30</v>
      </c>
      <c r="F52" t="s">
        <v>69</v>
      </c>
      <c r="G52" t="s">
        <v>45</v>
      </c>
      <c r="H52" t="s">
        <v>44</v>
      </c>
      <c r="I52" t="s">
        <v>187</v>
      </c>
      <c r="J52" t="s">
        <v>188</v>
      </c>
      <c r="K52" s="2">
        <v>423.92</v>
      </c>
      <c r="L52">
        <v>8</v>
      </c>
      <c r="M52" t="s">
        <v>35</v>
      </c>
      <c r="N52">
        <v>3</v>
      </c>
      <c r="O52">
        <v>1</v>
      </c>
      <c r="P52">
        <v>2</v>
      </c>
      <c r="Q52" t="s">
        <v>59</v>
      </c>
      <c r="R52" t="s">
        <v>37</v>
      </c>
      <c r="S52">
        <v>0</v>
      </c>
      <c r="T52">
        <v>9</v>
      </c>
      <c r="U52" t="s">
        <v>44</v>
      </c>
      <c r="V52" t="s">
        <v>38</v>
      </c>
      <c r="W52" t="s">
        <v>39</v>
      </c>
      <c r="X52" s="3">
        <v>45344</v>
      </c>
      <c r="Y52" s="1" t="str">
        <f t="shared" si="0"/>
        <v>Feb</v>
      </c>
      <c r="Z52" s="1" t="str">
        <f t="shared" si="1"/>
        <v>2024</v>
      </c>
      <c r="AA52" t="b">
        <v>0</v>
      </c>
      <c r="AB52" t="b">
        <v>1</v>
      </c>
      <c r="AC52" t="s">
        <v>40</v>
      </c>
      <c r="AD52" t="s">
        <v>53</v>
      </c>
      <c r="AE52">
        <v>8</v>
      </c>
    </row>
    <row r="53" spans="1:31" x14ac:dyDescent="0.3">
      <c r="A53" t="s">
        <v>189</v>
      </c>
      <c r="B53">
        <v>43</v>
      </c>
      <c r="C53" t="str" cm="1">
        <f t="array" ref="C53">_xlfn.IFS(B53&lt;=18,"0-18",B53&lt;=29,"19-29",B53&gt;=49,"30-49",B53&gt;=69,"50-69",TRUE,"70+")</f>
        <v>70+</v>
      </c>
      <c r="D53" t="s">
        <v>190</v>
      </c>
      <c r="E53" t="s">
        <v>44</v>
      </c>
      <c r="F53" t="s">
        <v>69</v>
      </c>
      <c r="G53" t="s">
        <v>56</v>
      </c>
      <c r="H53" t="s">
        <v>30</v>
      </c>
      <c r="I53" t="s">
        <v>191</v>
      </c>
      <c r="J53" t="s">
        <v>135</v>
      </c>
      <c r="K53" s="2">
        <v>111.24</v>
      </c>
      <c r="L53">
        <v>9</v>
      </c>
      <c r="M53" t="s">
        <v>35</v>
      </c>
      <c r="N53">
        <v>5</v>
      </c>
      <c r="O53">
        <v>2</v>
      </c>
      <c r="P53">
        <v>0</v>
      </c>
      <c r="Q53" t="s">
        <v>49</v>
      </c>
      <c r="R53" t="s">
        <v>37</v>
      </c>
      <c r="S53">
        <v>0</v>
      </c>
      <c r="T53">
        <v>2</v>
      </c>
      <c r="U53" t="s">
        <v>44</v>
      </c>
      <c r="V53" t="s">
        <v>60</v>
      </c>
      <c r="W53" t="s">
        <v>39</v>
      </c>
      <c r="X53" s="3">
        <v>45345</v>
      </c>
      <c r="Y53" s="1" t="str">
        <f t="shared" si="0"/>
        <v>Feb</v>
      </c>
      <c r="Z53" s="1" t="str">
        <f t="shared" si="1"/>
        <v>2024</v>
      </c>
      <c r="AA53" t="b">
        <v>1</v>
      </c>
      <c r="AB53" t="b">
        <v>0</v>
      </c>
      <c r="AC53" t="s">
        <v>40</v>
      </c>
      <c r="AD53" t="s">
        <v>41</v>
      </c>
      <c r="AE53">
        <v>12</v>
      </c>
    </row>
    <row r="54" spans="1:31" x14ac:dyDescent="0.3">
      <c r="A54" t="s">
        <v>192</v>
      </c>
      <c r="B54">
        <v>37</v>
      </c>
      <c r="C54" t="str" cm="1">
        <f t="array" ref="C54">_xlfn.IFS(B54&lt;=18,"0-18",B54&lt;=29,"19-29",B54&gt;=49,"30-49",B54&gt;=69,"50-69",TRUE,"70+")</f>
        <v>70+</v>
      </c>
      <c r="D54" t="s">
        <v>29</v>
      </c>
      <c r="E54" t="s">
        <v>30</v>
      </c>
      <c r="F54" t="s">
        <v>55</v>
      </c>
      <c r="G54" t="s">
        <v>32</v>
      </c>
      <c r="H54" t="s">
        <v>30</v>
      </c>
      <c r="I54" t="s">
        <v>193</v>
      </c>
      <c r="J54" t="s">
        <v>194</v>
      </c>
      <c r="K54" s="2">
        <v>299.31</v>
      </c>
      <c r="L54">
        <v>7</v>
      </c>
      <c r="M54" t="s">
        <v>35</v>
      </c>
      <c r="N54">
        <v>2</v>
      </c>
      <c r="O54">
        <v>4</v>
      </c>
      <c r="P54">
        <v>1</v>
      </c>
      <c r="Q54" t="s">
        <v>49</v>
      </c>
      <c r="R54" t="s">
        <v>85</v>
      </c>
      <c r="S54">
        <v>2</v>
      </c>
      <c r="T54">
        <v>3</v>
      </c>
      <c r="U54" t="s">
        <v>36</v>
      </c>
      <c r="V54" t="s">
        <v>79</v>
      </c>
      <c r="W54" t="s">
        <v>61</v>
      </c>
      <c r="X54" s="3">
        <v>45346</v>
      </c>
      <c r="Y54" s="1" t="str">
        <f t="shared" si="0"/>
        <v>Feb</v>
      </c>
      <c r="Z54" s="1" t="str">
        <f t="shared" si="1"/>
        <v>2024</v>
      </c>
      <c r="AA54" t="b">
        <v>1</v>
      </c>
      <c r="AB54" t="b">
        <v>0</v>
      </c>
      <c r="AC54" t="s">
        <v>40</v>
      </c>
      <c r="AD54" t="s">
        <v>67</v>
      </c>
      <c r="AE54">
        <v>3</v>
      </c>
    </row>
    <row r="55" spans="1:31" x14ac:dyDescent="0.3">
      <c r="A55" t="s">
        <v>195</v>
      </c>
      <c r="B55">
        <v>42</v>
      </c>
      <c r="C55" t="str" cm="1">
        <f t="array" ref="C55">_xlfn.IFS(B55&lt;=18,"0-18",B55&lt;=29,"19-29",B55&gt;=49,"30-49",B55&gt;=69,"50-69",TRUE,"70+")</f>
        <v>70+</v>
      </c>
      <c r="D55" t="s">
        <v>43</v>
      </c>
      <c r="E55" t="s">
        <v>30</v>
      </c>
      <c r="F55" t="s">
        <v>69</v>
      </c>
      <c r="G55" t="s">
        <v>56</v>
      </c>
      <c r="H55" t="s">
        <v>30</v>
      </c>
      <c r="I55" t="s">
        <v>196</v>
      </c>
      <c r="J55" t="s">
        <v>101</v>
      </c>
      <c r="K55" s="2">
        <v>169.28</v>
      </c>
      <c r="L55">
        <v>7</v>
      </c>
      <c r="M55" t="s">
        <v>35</v>
      </c>
      <c r="N55">
        <v>4</v>
      </c>
      <c r="O55">
        <v>4</v>
      </c>
      <c r="P55">
        <v>1</v>
      </c>
      <c r="Q55" t="s">
        <v>36</v>
      </c>
      <c r="R55" t="s">
        <v>37</v>
      </c>
      <c r="S55">
        <v>2</v>
      </c>
      <c r="T55">
        <v>1</v>
      </c>
      <c r="U55" t="s">
        <v>59</v>
      </c>
      <c r="V55" t="s">
        <v>38</v>
      </c>
      <c r="W55" t="s">
        <v>86</v>
      </c>
      <c r="X55" s="3">
        <v>45347</v>
      </c>
      <c r="Y55" s="1" t="str">
        <f t="shared" si="0"/>
        <v>Feb</v>
      </c>
      <c r="Z55" s="1" t="str">
        <f t="shared" si="1"/>
        <v>2024</v>
      </c>
      <c r="AA55" t="b">
        <v>1</v>
      </c>
      <c r="AB55" t="b">
        <v>1</v>
      </c>
      <c r="AC55" t="s">
        <v>62</v>
      </c>
      <c r="AD55" t="s">
        <v>41</v>
      </c>
      <c r="AE55">
        <v>6</v>
      </c>
    </row>
    <row r="56" spans="1:31" x14ac:dyDescent="0.3">
      <c r="A56" t="s">
        <v>197</v>
      </c>
      <c r="B56">
        <v>29</v>
      </c>
      <c r="C56" t="str" cm="1">
        <f t="array" ref="C56">_xlfn.IFS(B56&lt;=18,"0-18",B56&lt;=29,"19-29",B56&gt;=49,"30-49",B56&gt;=69,"50-69",TRUE,"70+")</f>
        <v>19-29</v>
      </c>
      <c r="D56" t="s">
        <v>43</v>
      </c>
      <c r="E56" t="s">
        <v>30</v>
      </c>
      <c r="F56" t="s">
        <v>69</v>
      </c>
      <c r="G56" t="s">
        <v>45</v>
      </c>
      <c r="H56" t="s">
        <v>44</v>
      </c>
      <c r="I56" t="s">
        <v>198</v>
      </c>
      <c r="J56" t="s">
        <v>58</v>
      </c>
      <c r="K56" s="2">
        <v>449.13</v>
      </c>
      <c r="L56">
        <v>9</v>
      </c>
      <c r="M56" t="s">
        <v>48</v>
      </c>
      <c r="N56">
        <v>2</v>
      </c>
      <c r="O56">
        <v>1</v>
      </c>
      <c r="P56">
        <v>0.5</v>
      </c>
      <c r="Q56" t="s">
        <v>49</v>
      </c>
      <c r="R56" t="s">
        <v>50</v>
      </c>
      <c r="S56">
        <v>2</v>
      </c>
      <c r="T56">
        <v>2</v>
      </c>
      <c r="U56" t="s">
        <v>59</v>
      </c>
      <c r="V56" t="s">
        <v>38</v>
      </c>
      <c r="W56" t="s">
        <v>39</v>
      </c>
      <c r="X56" s="3">
        <v>45348</v>
      </c>
      <c r="Y56" s="1" t="str">
        <f t="shared" si="0"/>
        <v>Feb</v>
      </c>
      <c r="Z56" s="1" t="str">
        <f t="shared" si="1"/>
        <v>2024</v>
      </c>
      <c r="AA56" t="b">
        <v>0</v>
      </c>
      <c r="AB56" t="b">
        <v>0</v>
      </c>
      <c r="AC56" t="s">
        <v>74</v>
      </c>
      <c r="AD56" t="s">
        <v>41</v>
      </c>
      <c r="AE56">
        <v>14</v>
      </c>
    </row>
    <row r="57" spans="1:31" x14ac:dyDescent="0.3">
      <c r="A57" t="s">
        <v>199</v>
      </c>
      <c r="B57">
        <v>35</v>
      </c>
      <c r="C57" t="str" cm="1">
        <f t="array" ref="C57">_xlfn.IFS(B57&lt;=18,"0-18",B57&lt;=29,"19-29",B57&gt;=49,"30-49",B57&gt;=69,"50-69",TRUE,"70+")</f>
        <v>70+</v>
      </c>
      <c r="D57" t="s">
        <v>29</v>
      </c>
      <c r="E57" t="s">
        <v>44</v>
      </c>
      <c r="F57" t="s">
        <v>31</v>
      </c>
      <c r="G57" t="s">
        <v>56</v>
      </c>
      <c r="H57" t="s">
        <v>44</v>
      </c>
      <c r="I57" t="s">
        <v>200</v>
      </c>
      <c r="J57" t="s">
        <v>101</v>
      </c>
      <c r="K57" s="2">
        <v>427.48</v>
      </c>
      <c r="L57">
        <v>6</v>
      </c>
      <c r="M57" t="s">
        <v>78</v>
      </c>
      <c r="N57">
        <v>4</v>
      </c>
      <c r="O57">
        <v>2</v>
      </c>
      <c r="P57">
        <v>0</v>
      </c>
      <c r="Q57" t="s">
        <v>49</v>
      </c>
      <c r="R57" t="s">
        <v>50</v>
      </c>
      <c r="S57">
        <v>1</v>
      </c>
      <c r="T57">
        <v>1</v>
      </c>
      <c r="U57" t="s">
        <v>59</v>
      </c>
      <c r="V57" t="s">
        <v>60</v>
      </c>
      <c r="W57" t="s">
        <v>61</v>
      </c>
      <c r="X57" s="3">
        <v>45349</v>
      </c>
      <c r="Y57" s="1" t="str">
        <f t="shared" si="0"/>
        <v>Feb</v>
      </c>
      <c r="Z57" s="1" t="str">
        <f t="shared" si="1"/>
        <v>2024</v>
      </c>
      <c r="AA57" t="b">
        <v>1</v>
      </c>
      <c r="AB57" t="b">
        <v>0</v>
      </c>
      <c r="AC57" t="s">
        <v>62</v>
      </c>
      <c r="AD57" t="s">
        <v>53</v>
      </c>
      <c r="AE57">
        <v>11</v>
      </c>
    </row>
    <row r="58" spans="1:31" x14ac:dyDescent="0.3">
      <c r="A58" t="s">
        <v>201</v>
      </c>
      <c r="B58">
        <v>27</v>
      </c>
      <c r="C58" t="str" cm="1">
        <f t="array" ref="C58">_xlfn.IFS(B58&lt;=18,"0-18",B58&lt;=29,"19-29",B58&gt;=49,"30-49",B58&gt;=69,"50-69",TRUE,"70+")</f>
        <v>19-29</v>
      </c>
      <c r="D58" t="s">
        <v>29</v>
      </c>
      <c r="E58" t="s">
        <v>30</v>
      </c>
      <c r="F58" t="s">
        <v>55</v>
      </c>
      <c r="G58" t="s">
        <v>45</v>
      </c>
      <c r="H58" t="s">
        <v>44</v>
      </c>
      <c r="I58" t="s">
        <v>202</v>
      </c>
      <c r="J58" t="s">
        <v>90</v>
      </c>
      <c r="K58" s="2">
        <v>171.61</v>
      </c>
      <c r="L58">
        <v>3</v>
      </c>
      <c r="M58" t="s">
        <v>78</v>
      </c>
      <c r="N58">
        <v>3</v>
      </c>
      <c r="O58">
        <v>1</v>
      </c>
      <c r="P58">
        <v>2</v>
      </c>
      <c r="Q58" t="s">
        <v>59</v>
      </c>
      <c r="R58" t="s">
        <v>85</v>
      </c>
      <c r="S58">
        <v>1</v>
      </c>
      <c r="T58">
        <v>6</v>
      </c>
      <c r="U58" t="s">
        <v>44</v>
      </c>
      <c r="V58" t="s">
        <v>79</v>
      </c>
      <c r="W58" t="s">
        <v>39</v>
      </c>
      <c r="X58" s="3">
        <v>45350</v>
      </c>
      <c r="Y58" s="1" t="str">
        <f t="shared" si="0"/>
        <v>Feb</v>
      </c>
      <c r="Z58" s="1" t="str">
        <f t="shared" si="1"/>
        <v>2024</v>
      </c>
      <c r="AA58" t="b">
        <v>1</v>
      </c>
      <c r="AB58" t="b">
        <v>0</v>
      </c>
      <c r="AC58" t="s">
        <v>74</v>
      </c>
      <c r="AD58" t="s">
        <v>67</v>
      </c>
      <c r="AE58">
        <v>8</v>
      </c>
    </row>
    <row r="59" spans="1:31" x14ac:dyDescent="0.3">
      <c r="A59" t="s">
        <v>203</v>
      </c>
      <c r="B59">
        <v>40</v>
      </c>
      <c r="C59" t="str" cm="1">
        <f t="array" ref="C59">_xlfn.IFS(B59&lt;=18,"0-18",B59&lt;=29,"19-29",B59&gt;=49,"30-49",B59&gt;=69,"50-69",TRUE,"70+")</f>
        <v>70+</v>
      </c>
      <c r="D59" t="s">
        <v>29</v>
      </c>
      <c r="E59" t="s">
        <v>44</v>
      </c>
      <c r="F59" t="s">
        <v>31</v>
      </c>
      <c r="G59" t="s">
        <v>32</v>
      </c>
      <c r="H59" t="s">
        <v>44</v>
      </c>
      <c r="I59" t="s">
        <v>204</v>
      </c>
      <c r="J59" t="s">
        <v>82</v>
      </c>
      <c r="K59" s="2">
        <v>240.28</v>
      </c>
      <c r="L59">
        <v>3</v>
      </c>
      <c r="M59" t="s">
        <v>78</v>
      </c>
      <c r="N59">
        <v>3</v>
      </c>
      <c r="O59">
        <v>5</v>
      </c>
      <c r="P59">
        <v>2</v>
      </c>
      <c r="Q59" t="s">
        <v>44</v>
      </c>
      <c r="R59" t="s">
        <v>50</v>
      </c>
      <c r="S59">
        <v>2</v>
      </c>
      <c r="T59">
        <v>7</v>
      </c>
      <c r="U59" t="s">
        <v>49</v>
      </c>
      <c r="V59" t="s">
        <v>38</v>
      </c>
      <c r="W59" t="s">
        <v>86</v>
      </c>
      <c r="X59" s="3">
        <v>45351</v>
      </c>
      <c r="Y59" s="1" t="str">
        <f t="shared" si="0"/>
        <v>Feb</v>
      </c>
      <c r="Z59" s="1" t="str">
        <f t="shared" si="1"/>
        <v>2024</v>
      </c>
      <c r="AA59" t="b">
        <v>1</v>
      </c>
      <c r="AB59" t="b">
        <v>1</v>
      </c>
      <c r="AC59" t="s">
        <v>62</v>
      </c>
      <c r="AD59" t="s">
        <v>53</v>
      </c>
      <c r="AE59">
        <v>4</v>
      </c>
    </row>
    <row r="60" spans="1:31" x14ac:dyDescent="0.3">
      <c r="A60" t="s">
        <v>205</v>
      </c>
      <c r="B60">
        <v>34</v>
      </c>
      <c r="C60" t="str" cm="1">
        <f t="array" ref="C60">_xlfn.IFS(B60&lt;=18,"0-18",B60&lt;=29,"19-29",B60&gt;=49,"30-49",B60&gt;=69,"50-69",TRUE,"70+")</f>
        <v>70+</v>
      </c>
      <c r="D60" t="s">
        <v>29</v>
      </c>
      <c r="E60" t="s">
        <v>44</v>
      </c>
      <c r="F60" t="s">
        <v>55</v>
      </c>
      <c r="G60" t="s">
        <v>45</v>
      </c>
      <c r="H60" t="s">
        <v>44</v>
      </c>
      <c r="I60" t="s">
        <v>206</v>
      </c>
      <c r="J60" t="s">
        <v>71</v>
      </c>
      <c r="K60" s="2">
        <v>310.17</v>
      </c>
      <c r="L60">
        <v>6</v>
      </c>
      <c r="M60" t="s">
        <v>48</v>
      </c>
      <c r="N60">
        <v>2</v>
      </c>
      <c r="O60">
        <v>3</v>
      </c>
      <c r="P60">
        <v>2</v>
      </c>
      <c r="Q60" t="s">
        <v>49</v>
      </c>
      <c r="R60" t="s">
        <v>85</v>
      </c>
      <c r="S60">
        <v>0</v>
      </c>
      <c r="T60">
        <v>10</v>
      </c>
      <c r="U60" t="s">
        <v>36</v>
      </c>
      <c r="V60" t="s">
        <v>60</v>
      </c>
      <c r="W60" t="s">
        <v>61</v>
      </c>
      <c r="X60" s="3">
        <v>45352</v>
      </c>
      <c r="Y60" s="1" t="str">
        <f t="shared" si="0"/>
        <v>Mar</v>
      </c>
      <c r="Z60" s="1" t="str">
        <f t="shared" si="1"/>
        <v>2024</v>
      </c>
      <c r="AA60" t="b">
        <v>0</v>
      </c>
      <c r="AB60" t="b">
        <v>0</v>
      </c>
      <c r="AC60" t="s">
        <v>52</v>
      </c>
      <c r="AD60" t="s">
        <v>41</v>
      </c>
      <c r="AE60">
        <v>13</v>
      </c>
    </row>
    <row r="61" spans="1:31" x14ac:dyDescent="0.3">
      <c r="A61" t="s">
        <v>207</v>
      </c>
      <c r="B61">
        <v>25</v>
      </c>
      <c r="C61" t="str" cm="1">
        <f t="array" ref="C61">_xlfn.IFS(B61&lt;=18,"0-18",B61&lt;=29,"19-29",B61&gt;=49,"30-49",B61&gt;=69,"50-69",TRUE,"70+")</f>
        <v>19-29</v>
      </c>
      <c r="D61" t="s">
        <v>29</v>
      </c>
      <c r="E61" t="s">
        <v>30</v>
      </c>
      <c r="F61" t="s">
        <v>31</v>
      </c>
      <c r="G61" t="s">
        <v>32</v>
      </c>
      <c r="H61" t="s">
        <v>30</v>
      </c>
      <c r="I61" t="s">
        <v>208</v>
      </c>
      <c r="J61" t="s">
        <v>107</v>
      </c>
      <c r="K61" s="2">
        <v>166</v>
      </c>
      <c r="L61">
        <v>10</v>
      </c>
      <c r="M61" t="s">
        <v>78</v>
      </c>
      <c r="N61">
        <v>5</v>
      </c>
      <c r="O61">
        <v>3</v>
      </c>
      <c r="P61">
        <v>0</v>
      </c>
      <c r="Q61" t="s">
        <v>44</v>
      </c>
      <c r="R61" t="s">
        <v>50</v>
      </c>
      <c r="S61">
        <v>2</v>
      </c>
      <c r="T61">
        <v>10</v>
      </c>
      <c r="U61" t="s">
        <v>49</v>
      </c>
      <c r="V61" t="s">
        <v>60</v>
      </c>
      <c r="W61" t="s">
        <v>51</v>
      </c>
      <c r="X61" s="3">
        <v>45353</v>
      </c>
      <c r="Y61" s="1" t="str">
        <f t="shared" si="0"/>
        <v>Mar</v>
      </c>
      <c r="Z61" s="1" t="str">
        <f t="shared" si="1"/>
        <v>2024</v>
      </c>
      <c r="AA61" t="b">
        <v>0</v>
      </c>
      <c r="AB61" t="b">
        <v>0</v>
      </c>
      <c r="AC61" t="s">
        <v>62</v>
      </c>
      <c r="AD61" t="s">
        <v>67</v>
      </c>
      <c r="AE61">
        <v>5</v>
      </c>
    </row>
    <row r="62" spans="1:31" x14ac:dyDescent="0.3">
      <c r="A62" t="s">
        <v>209</v>
      </c>
      <c r="B62">
        <v>38</v>
      </c>
      <c r="C62" t="str" cm="1">
        <f t="array" ref="C62">_xlfn.IFS(B62&lt;=18,"0-18",B62&lt;=29,"19-29",B62&gt;=49,"30-49",B62&gt;=69,"50-69",TRUE,"70+")</f>
        <v>70+</v>
      </c>
      <c r="D62" t="s">
        <v>43</v>
      </c>
      <c r="E62" t="s">
        <v>44</v>
      </c>
      <c r="F62" t="s">
        <v>76</v>
      </c>
      <c r="G62" t="s">
        <v>32</v>
      </c>
      <c r="H62" t="s">
        <v>44</v>
      </c>
      <c r="I62" t="s">
        <v>210</v>
      </c>
      <c r="J62" t="s">
        <v>123</v>
      </c>
      <c r="K62" s="2">
        <v>362.01</v>
      </c>
      <c r="L62">
        <v>2</v>
      </c>
      <c r="M62" t="s">
        <v>48</v>
      </c>
      <c r="N62">
        <v>2</v>
      </c>
      <c r="O62">
        <v>4</v>
      </c>
      <c r="P62">
        <v>1</v>
      </c>
      <c r="Q62" t="s">
        <v>36</v>
      </c>
      <c r="R62" t="s">
        <v>37</v>
      </c>
      <c r="S62">
        <v>2</v>
      </c>
      <c r="T62">
        <v>1</v>
      </c>
      <c r="U62" t="s">
        <v>49</v>
      </c>
      <c r="V62" t="s">
        <v>38</v>
      </c>
      <c r="W62" t="s">
        <v>61</v>
      </c>
      <c r="X62" s="3">
        <v>45354</v>
      </c>
      <c r="Y62" s="1" t="str">
        <f t="shared" si="0"/>
        <v>Mar</v>
      </c>
      <c r="Z62" s="1" t="str">
        <f t="shared" si="1"/>
        <v>2024</v>
      </c>
      <c r="AA62" t="b">
        <v>0</v>
      </c>
      <c r="AB62" t="b">
        <v>0</v>
      </c>
      <c r="AC62" t="s">
        <v>62</v>
      </c>
      <c r="AD62" t="s">
        <v>67</v>
      </c>
      <c r="AE62">
        <v>1</v>
      </c>
    </row>
    <row r="63" spans="1:31" x14ac:dyDescent="0.3">
      <c r="A63" t="s">
        <v>211</v>
      </c>
      <c r="B63">
        <v>33</v>
      </c>
      <c r="C63" t="str" cm="1">
        <f t="array" ref="C63">_xlfn.IFS(B63&lt;=18,"0-18",B63&lt;=29,"19-29",B63&gt;=49,"30-49",B63&gt;=69,"50-69",TRUE,"70+")</f>
        <v>70+</v>
      </c>
      <c r="D63" t="s">
        <v>212</v>
      </c>
      <c r="E63" t="s">
        <v>44</v>
      </c>
      <c r="F63" t="s">
        <v>31</v>
      </c>
      <c r="G63" t="s">
        <v>32</v>
      </c>
      <c r="H63" t="s">
        <v>30</v>
      </c>
      <c r="I63" t="s">
        <v>213</v>
      </c>
      <c r="J63" t="s">
        <v>194</v>
      </c>
      <c r="K63" s="2">
        <v>348.5</v>
      </c>
      <c r="L63">
        <v>3</v>
      </c>
      <c r="M63" t="s">
        <v>35</v>
      </c>
      <c r="N63">
        <v>2</v>
      </c>
      <c r="O63">
        <v>3</v>
      </c>
      <c r="P63">
        <v>2</v>
      </c>
      <c r="Q63" t="s">
        <v>36</v>
      </c>
      <c r="R63" t="s">
        <v>50</v>
      </c>
      <c r="S63">
        <v>0</v>
      </c>
      <c r="T63">
        <v>6</v>
      </c>
      <c r="U63" t="s">
        <v>49</v>
      </c>
      <c r="V63" t="s">
        <v>60</v>
      </c>
      <c r="W63" t="s">
        <v>61</v>
      </c>
      <c r="X63" s="3">
        <v>45355</v>
      </c>
      <c r="Y63" s="1" t="str">
        <f t="shared" si="0"/>
        <v>Mar</v>
      </c>
      <c r="Z63" s="1" t="str">
        <f t="shared" si="1"/>
        <v>2024</v>
      </c>
      <c r="AA63" t="b">
        <v>0</v>
      </c>
      <c r="AB63" t="b">
        <v>0</v>
      </c>
      <c r="AC63" t="s">
        <v>74</v>
      </c>
      <c r="AD63" t="s">
        <v>41</v>
      </c>
      <c r="AE63">
        <v>8</v>
      </c>
    </row>
    <row r="64" spans="1:31" x14ac:dyDescent="0.3">
      <c r="A64" t="s">
        <v>214</v>
      </c>
      <c r="B64">
        <v>32</v>
      </c>
      <c r="C64" t="str" cm="1">
        <f t="array" ref="C64">_xlfn.IFS(B64&lt;=18,"0-18",B64&lt;=29,"19-29",B64&gt;=49,"30-49",B64&gt;=69,"50-69",TRUE,"70+")</f>
        <v>70+</v>
      </c>
      <c r="D64" t="s">
        <v>29</v>
      </c>
      <c r="E64" t="s">
        <v>30</v>
      </c>
      <c r="F64" t="s">
        <v>31</v>
      </c>
      <c r="G64" t="s">
        <v>32</v>
      </c>
      <c r="H64" t="s">
        <v>44</v>
      </c>
      <c r="I64" t="s">
        <v>215</v>
      </c>
      <c r="J64" t="s">
        <v>101</v>
      </c>
      <c r="K64" s="2">
        <v>395.97</v>
      </c>
      <c r="L64">
        <v>9</v>
      </c>
      <c r="M64" t="s">
        <v>48</v>
      </c>
      <c r="N64">
        <v>1</v>
      </c>
      <c r="O64">
        <v>4</v>
      </c>
      <c r="P64">
        <v>0</v>
      </c>
      <c r="Q64" t="s">
        <v>49</v>
      </c>
      <c r="R64" t="s">
        <v>85</v>
      </c>
      <c r="S64">
        <v>1</v>
      </c>
      <c r="T64">
        <v>6</v>
      </c>
      <c r="U64" t="s">
        <v>59</v>
      </c>
      <c r="V64" t="s">
        <v>38</v>
      </c>
      <c r="W64" t="s">
        <v>61</v>
      </c>
      <c r="X64" s="3">
        <v>45356</v>
      </c>
      <c r="Y64" s="1" t="str">
        <f t="shared" si="0"/>
        <v>Mar</v>
      </c>
      <c r="Z64" s="1" t="str">
        <f t="shared" si="1"/>
        <v>2024</v>
      </c>
      <c r="AA64" t="b">
        <v>1</v>
      </c>
      <c r="AB64" t="b">
        <v>1</v>
      </c>
      <c r="AC64" t="s">
        <v>52</v>
      </c>
      <c r="AD64" t="s">
        <v>53</v>
      </c>
      <c r="AE64">
        <v>1</v>
      </c>
    </row>
    <row r="65" spans="1:31" x14ac:dyDescent="0.3">
      <c r="A65" t="s">
        <v>216</v>
      </c>
      <c r="B65">
        <v>50</v>
      </c>
      <c r="C65" t="str" cm="1">
        <f t="array" ref="C65">_xlfn.IFS(B65&lt;=18,"0-18",B65&lt;=29,"19-29",B65&gt;=49,"30-49",B65&gt;=69,"50-69",TRUE,"70+")</f>
        <v>30-49</v>
      </c>
      <c r="D65" t="s">
        <v>29</v>
      </c>
      <c r="E65" t="s">
        <v>30</v>
      </c>
      <c r="F65" t="s">
        <v>69</v>
      </c>
      <c r="G65" t="s">
        <v>45</v>
      </c>
      <c r="H65" t="s">
        <v>30</v>
      </c>
      <c r="I65" t="s">
        <v>217</v>
      </c>
      <c r="J65" t="s">
        <v>90</v>
      </c>
      <c r="K65" s="2">
        <v>474.99</v>
      </c>
      <c r="L65">
        <v>9</v>
      </c>
      <c r="M65" t="s">
        <v>78</v>
      </c>
      <c r="N65">
        <v>2</v>
      </c>
      <c r="O65">
        <v>4</v>
      </c>
      <c r="P65">
        <v>1</v>
      </c>
      <c r="Q65" t="s">
        <v>36</v>
      </c>
      <c r="R65" t="s">
        <v>37</v>
      </c>
      <c r="S65">
        <v>0</v>
      </c>
      <c r="T65">
        <v>8</v>
      </c>
      <c r="U65" t="s">
        <v>44</v>
      </c>
      <c r="V65" t="s">
        <v>79</v>
      </c>
      <c r="W65" t="s">
        <v>39</v>
      </c>
      <c r="X65" s="3">
        <v>45357</v>
      </c>
      <c r="Y65" s="1" t="str">
        <f t="shared" si="0"/>
        <v>Mar</v>
      </c>
      <c r="Z65" s="1" t="str">
        <f t="shared" si="1"/>
        <v>2024</v>
      </c>
      <c r="AA65" t="b">
        <v>1</v>
      </c>
      <c r="AB65" t="b">
        <v>0</v>
      </c>
      <c r="AC65" t="s">
        <v>74</v>
      </c>
      <c r="AD65" t="s">
        <v>53</v>
      </c>
      <c r="AE65">
        <v>5</v>
      </c>
    </row>
    <row r="66" spans="1:31" x14ac:dyDescent="0.3">
      <c r="A66" t="s">
        <v>218</v>
      </c>
      <c r="B66">
        <v>35</v>
      </c>
      <c r="C66" t="str" cm="1">
        <f t="array" ref="C66">_xlfn.IFS(B66&lt;=18,"0-18",B66&lt;=29,"19-29",B66&gt;=49,"30-49",B66&gt;=69,"50-69",TRUE,"70+")</f>
        <v>70+</v>
      </c>
      <c r="D66" t="s">
        <v>29</v>
      </c>
      <c r="E66" t="s">
        <v>30</v>
      </c>
      <c r="F66" t="s">
        <v>69</v>
      </c>
      <c r="G66" t="s">
        <v>45</v>
      </c>
      <c r="H66" t="s">
        <v>30</v>
      </c>
      <c r="I66" t="s">
        <v>219</v>
      </c>
      <c r="J66" t="s">
        <v>98</v>
      </c>
      <c r="K66" s="2">
        <v>286.43</v>
      </c>
      <c r="L66">
        <v>4</v>
      </c>
      <c r="M66" t="s">
        <v>35</v>
      </c>
      <c r="N66">
        <v>1</v>
      </c>
      <c r="O66">
        <v>3</v>
      </c>
      <c r="P66">
        <v>0</v>
      </c>
      <c r="Q66" t="s">
        <v>44</v>
      </c>
      <c r="R66" t="s">
        <v>85</v>
      </c>
      <c r="S66">
        <v>2</v>
      </c>
      <c r="T66">
        <v>3</v>
      </c>
      <c r="U66" t="s">
        <v>36</v>
      </c>
      <c r="V66" t="s">
        <v>79</v>
      </c>
      <c r="W66" t="s">
        <v>86</v>
      </c>
      <c r="X66" s="3">
        <v>45358</v>
      </c>
      <c r="Y66" s="1" t="str">
        <f t="shared" si="0"/>
        <v>Mar</v>
      </c>
      <c r="Z66" s="1" t="str">
        <f t="shared" si="1"/>
        <v>2024</v>
      </c>
      <c r="AA66" t="b">
        <v>1</v>
      </c>
      <c r="AB66" t="b">
        <v>0</v>
      </c>
      <c r="AC66" t="s">
        <v>52</v>
      </c>
      <c r="AD66" t="s">
        <v>67</v>
      </c>
      <c r="AE66">
        <v>14</v>
      </c>
    </row>
    <row r="67" spans="1:31" x14ac:dyDescent="0.3">
      <c r="A67" t="s">
        <v>220</v>
      </c>
      <c r="B67">
        <v>19</v>
      </c>
      <c r="C67" t="str" cm="1">
        <f t="array" ref="C67">_xlfn.IFS(B67&lt;=18,"0-18",B67&lt;=29,"19-29",B67&gt;=49,"30-49",B67&gt;=69,"50-69",TRUE,"70+")</f>
        <v>19-29</v>
      </c>
      <c r="D67" t="s">
        <v>148</v>
      </c>
      <c r="E67" t="s">
        <v>44</v>
      </c>
      <c r="F67" t="s">
        <v>69</v>
      </c>
      <c r="G67" t="s">
        <v>45</v>
      </c>
      <c r="H67" t="s">
        <v>44</v>
      </c>
      <c r="I67" t="s">
        <v>221</v>
      </c>
      <c r="J67" t="s">
        <v>104</v>
      </c>
      <c r="K67" s="2">
        <v>333.32</v>
      </c>
      <c r="L67">
        <v>8</v>
      </c>
      <c r="M67" t="s">
        <v>78</v>
      </c>
      <c r="N67">
        <v>1</v>
      </c>
      <c r="O67">
        <v>5</v>
      </c>
      <c r="P67">
        <v>0</v>
      </c>
      <c r="Q67" t="s">
        <v>59</v>
      </c>
      <c r="R67" t="s">
        <v>85</v>
      </c>
      <c r="S67">
        <v>0</v>
      </c>
      <c r="T67">
        <v>3</v>
      </c>
      <c r="U67" t="s">
        <v>44</v>
      </c>
      <c r="V67" t="s">
        <v>60</v>
      </c>
      <c r="W67" t="s">
        <v>39</v>
      </c>
      <c r="X67" s="3">
        <v>45359</v>
      </c>
      <c r="Y67" s="1" t="str">
        <f t="shared" ref="Y67:Y130" si="2">TEXT(X67,"mmm")</f>
        <v>Mar</v>
      </c>
      <c r="Z67" s="1" t="str">
        <f t="shared" ref="Z67:Z130" si="3">TEXT(X67,"yyyy")</f>
        <v>2024</v>
      </c>
      <c r="AA67" t="b">
        <v>1</v>
      </c>
      <c r="AB67" t="b">
        <v>0</v>
      </c>
      <c r="AC67" t="s">
        <v>74</v>
      </c>
      <c r="AD67" t="s">
        <v>41</v>
      </c>
      <c r="AE67">
        <v>3</v>
      </c>
    </row>
    <row r="68" spans="1:31" x14ac:dyDescent="0.3">
      <c r="A68" t="s">
        <v>222</v>
      </c>
      <c r="B68">
        <v>46</v>
      </c>
      <c r="C68" t="str" cm="1">
        <f t="array" ref="C68">_xlfn.IFS(B68&lt;=18,"0-18",B68&lt;=29,"19-29",B68&gt;=49,"30-49",B68&gt;=69,"50-69",TRUE,"70+")</f>
        <v>70+</v>
      </c>
      <c r="D68" t="s">
        <v>88</v>
      </c>
      <c r="E68" t="s">
        <v>44</v>
      </c>
      <c r="F68" t="s">
        <v>55</v>
      </c>
      <c r="G68" t="s">
        <v>56</v>
      </c>
      <c r="H68" t="s">
        <v>44</v>
      </c>
      <c r="I68" t="s">
        <v>223</v>
      </c>
      <c r="J68" t="s">
        <v>117</v>
      </c>
      <c r="K68" s="2">
        <v>223.47</v>
      </c>
      <c r="L68">
        <v>9</v>
      </c>
      <c r="M68" t="s">
        <v>35</v>
      </c>
      <c r="N68">
        <v>2</v>
      </c>
      <c r="O68">
        <v>1</v>
      </c>
      <c r="P68">
        <v>1</v>
      </c>
      <c r="Q68" t="s">
        <v>44</v>
      </c>
      <c r="R68" t="s">
        <v>37</v>
      </c>
      <c r="S68">
        <v>0</v>
      </c>
      <c r="T68">
        <v>2</v>
      </c>
      <c r="U68" t="s">
        <v>36</v>
      </c>
      <c r="V68" t="s">
        <v>38</v>
      </c>
      <c r="W68" t="s">
        <v>61</v>
      </c>
      <c r="X68" s="3">
        <v>45360</v>
      </c>
      <c r="Y68" s="1" t="str">
        <f t="shared" si="2"/>
        <v>Mar</v>
      </c>
      <c r="Z68" s="1" t="str">
        <f t="shared" si="3"/>
        <v>2024</v>
      </c>
      <c r="AA68" t="b">
        <v>1</v>
      </c>
      <c r="AB68" t="b">
        <v>1</v>
      </c>
      <c r="AC68" t="s">
        <v>40</v>
      </c>
      <c r="AD68" t="s">
        <v>53</v>
      </c>
      <c r="AE68">
        <v>8</v>
      </c>
    </row>
    <row r="69" spans="1:31" x14ac:dyDescent="0.3">
      <c r="A69" t="s">
        <v>224</v>
      </c>
      <c r="B69">
        <v>23</v>
      </c>
      <c r="C69" t="str" cm="1">
        <f t="array" ref="C69">_xlfn.IFS(B69&lt;=18,"0-18",B69&lt;=29,"19-29",B69&gt;=49,"30-49",B69&gt;=69,"50-69",TRUE,"70+")</f>
        <v>19-29</v>
      </c>
      <c r="D69" t="s">
        <v>43</v>
      </c>
      <c r="E69" t="s">
        <v>30</v>
      </c>
      <c r="F69" t="s">
        <v>76</v>
      </c>
      <c r="G69" t="s">
        <v>56</v>
      </c>
      <c r="H69" t="s">
        <v>30</v>
      </c>
      <c r="I69" t="s">
        <v>225</v>
      </c>
      <c r="J69" t="s">
        <v>90</v>
      </c>
      <c r="K69" s="2">
        <v>414.83</v>
      </c>
      <c r="L69">
        <v>2</v>
      </c>
      <c r="M69" t="s">
        <v>35</v>
      </c>
      <c r="N69">
        <v>2</v>
      </c>
      <c r="O69">
        <v>4</v>
      </c>
      <c r="P69">
        <v>0.5</v>
      </c>
      <c r="Q69" t="s">
        <v>44</v>
      </c>
      <c r="R69" t="s">
        <v>37</v>
      </c>
      <c r="S69">
        <v>2</v>
      </c>
      <c r="T69">
        <v>4</v>
      </c>
      <c r="U69" t="s">
        <v>44</v>
      </c>
      <c r="V69" t="s">
        <v>79</v>
      </c>
      <c r="W69" t="s">
        <v>39</v>
      </c>
      <c r="X69" s="3">
        <v>45361</v>
      </c>
      <c r="Y69" s="1" t="str">
        <f t="shared" si="2"/>
        <v>Mar</v>
      </c>
      <c r="Z69" s="1" t="str">
        <f t="shared" si="3"/>
        <v>2024</v>
      </c>
      <c r="AA69" t="b">
        <v>0</v>
      </c>
      <c r="AB69" t="b">
        <v>0</v>
      </c>
      <c r="AC69" t="s">
        <v>74</v>
      </c>
      <c r="AD69" t="s">
        <v>67</v>
      </c>
      <c r="AE69">
        <v>8</v>
      </c>
    </row>
    <row r="70" spans="1:31" x14ac:dyDescent="0.3">
      <c r="A70" t="s">
        <v>226</v>
      </c>
      <c r="B70">
        <v>34</v>
      </c>
      <c r="C70" t="str" cm="1">
        <f t="array" ref="C70">_xlfn.IFS(B70&lt;=18,"0-18",B70&lt;=29,"19-29",B70&gt;=49,"30-49",B70&gt;=69,"50-69",TRUE,"70+")</f>
        <v>70+</v>
      </c>
      <c r="D70" t="s">
        <v>29</v>
      </c>
      <c r="E70" t="s">
        <v>44</v>
      </c>
      <c r="F70" t="s">
        <v>69</v>
      </c>
      <c r="G70" t="s">
        <v>56</v>
      </c>
      <c r="H70" t="s">
        <v>44</v>
      </c>
      <c r="I70" t="s">
        <v>227</v>
      </c>
      <c r="J70" t="s">
        <v>82</v>
      </c>
      <c r="K70" s="2">
        <v>391.38</v>
      </c>
      <c r="L70">
        <v>5</v>
      </c>
      <c r="M70" t="s">
        <v>48</v>
      </c>
      <c r="N70">
        <v>5</v>
      </c>
      <c r="O70">
        <v>2</v>
      </c>
      <c r="P70">
        <v>2</v>
      </c>
      <c r="Q70" t="s">
        <v>59</v>
      </c>
      <c r="R70" t="s">
        <v>50</v>
      </c>
      <c r="S70">
        <v>0</v>
      </c>
      <c r="T70">
        <v>7</v>
      </c>
      <c r="U70" t="s">
        <v>59</v>
      </c>
      <c r="V70" t="s">
        <v>38</v>
      </c>
      <c r="W70" t="s">
        <v>66</v>
      </c>
      <c r="X70" s="3">
        <v>45362</v>
      </c>
      <c r="Y70" s="1" t="str">
        <f t="shared" si="2"/>
        <v>Mar</v>
      </c>
      <c r="Z70" s="1" t="str">
        <f t="shared" si="3"/>
        <v>2024</v>
      </c>
      <c r="AA70" t="b">
        <v>0</v>
      </c>
      <c r="AB70" t="b">
        <v>0</v>
      </c>
      <c r="AC70" t="s">
        <v>40</v>
      </c>
      <c r="AD70" t="s">
        <v>41</v>
      </c>
      <c r="AE70">
        <v>8</v>
      </c>
    </row>
    <row r="71" spans="1:31" x14ac:dyDescent="0.3">
      <c r="A71" t="s">
        <v>228</v>
      </c>
      <c r="B71">
        <v>48</v>
      </c>
      <c r="C71" t="str" cm="1">
        <f t="array" ref="C71">_xlfn.IFS(B71&lt;=18,"0-18",B71&lt;=29,"19-29",B71&gt;=49,"30-49",B71&gt;=69,"50-69",TRUE,"70+")</f>
        <v>70+</v>
      </c>
      <c r="D71" t="s">
        <v>43</v>
      </c>
      <c r="E71" t="s">
        <v>30</v>
      </c>
      <c r="F71" t="s">
        <v>76</v>
      </c>
      <c r="G71" t="s">
        <v>32</v>
      </c>
      <c r="H71" t="s">
        <v>44</v>
      </c>
      <c r="I71" t="s">
        <v>229</v>
      </c>
      <c r="J71" t="s">
        <v>71</v>
      </c>
      <c r="K71" s="2">
        <v>368.4</v>
      </c>
      <c r="L71">
        <v>11</v>
      </c>
      <c r="M71" t="s">
        <v>78</v>
      </c>
      <c r="N71">
        <v>2</v>
      </c>
      <c r="O71">
        <v>5</v>
      </c>
      <c r="P71">
        <v>1</v>
      </c>
      <c r="Q71" t="s">
        <v>44</v>
      </c>
      <c r="R71" t="s">
        <v>50</v>
      </c>
      <c r="S71">
        <v>0</v>
      </c>
      <c r="T71">
        <v>3</v>
      </c>
      <c r="U71" t="s">
        <v>44</v>
      </c>
      <c r="V71" t="s">
        <v>79</v>
      </c>
      <c r="W71" t="s">
        <v>39</v>
      </c>
      <c r="X71" s="3">
        <v>45363</v>
      </c>
      <c r="Y71" s="1" t="str">
        <f t="shared" si="2"/>
        <v>Mar</v>
      </c>
      <c r="Z71" s="1" t="str">
        <f t="shared" si="3"/>
        <v>2024</v>
      </c>
      <c r="AA71" t="b">
        <v>0</v>
      </c>
      <c r="AB71" t="b">
        <v>0</v>
      </c>
      <c r="AC71" t="s">
        <v>40</v>
      </c>
      <c r="AD71" t="s">
        <v>41</v>
      </c>
      <c r="AE71">
        <v>13</v>
      </c>
    </row>
    <row r="72" spans="1:31" x14ac:dyDescent="0.3">
      <c r="A72" t="s">
        <v>230</v>
      </c>
      <c r="B72">
        <v>27</v>
      </c>
      <c r="C72" t="str" cm="1">
        <f t="array" ref="C72">_xlfn.IFS(B72&lt;=18,"0-18",B72&lt;=29,"19-29",B72&gt;=49,"30-49",B72&gt;=69,"50-69",TRUE,"70+")</f>
        <v>19-29</v>
      </c>
      <c r="D72" t="s">
        <v>88</v>
      </c>
      <c r="E72" t="s">
        <v>30</v>
      </c>
      <c r="F72" t="s">
        <v>69</v>
      </c>
      <c r="G72" t="s">
        <v>45</v>
      </c>
      <c r="H72" t="s">
        <v>30</v>
      </c>
      <c r="I72" t="s">
        <v>231</v>
      </c>
      <c r="J72" t="s">
        <v>71</v>
      </c>
      <c r="K72" s="2">
        <v>328.36</v>
      </c>
      <c r="L72">
        <v>11</v>
      </c>
      <c r="M72" t="s">
        <v>48</v>
      </c>
      <c r="N72">
        <v>1</v>
      </c>
      <c r="O72">
        <v>4</v>
      </c>
      <c r="P72">
        <v>2</v>
      </c>
      <c r="Q72" t="s">
        <v>44</v>
      </c>
      <c r="R72" t="s">
        <v>85</v>
      </c>
      <c r="S72">
        <v>0</v>
      </c>
      <c r="T72">
        <v>4</v>
      </c>
      <c r="U72" t="s">
        <v>36</v>
      </c>
      <c r="V72" t="s">
        <v>38</v>
      </c>
      <c r="W72" t="s">
        <v>86</v>
      </c>
      <c r="X72" s="3">
        <v>45364</v>
      </c>
      <c r="Y72" s="1" t="str">
        <f t="shared" si="2"/>
        <v>Mar</v>
      </c>
      <c r="Z72" s="1" t="str">
        <f t="shared" si="3"/>
        <v>2024</v>
      </c>
      <c r="AA72" t="b">
        <v>0</v>
      </c>
      <c r="AB72" t="b">
        <v>1</v>
      </c>
      <c r="AC72" t="s">
        <v>52</v>
      </c>
      <c r="AD72" t="s">
        <v>67</v>
      </c>
      <c r="AE72">
        <v>4</v>
      </c>
    </row>
    <row r="73" spans="1:31" x14ac:dyDescent="0.3">
      <c r="A73" t="s">
        <v>232</v>
      </c>
      <c r="B73">
        <v>37</v>
      </c>
      <c r="C73" t="str" cm="1">
        <f t="array" ref="C73">_xlfn.IFS(B73&lt;=18,"0-18",B73&lt;=29,"19-29",B73&gt;=49,"30-49",B73&gt;=69,"50-69",TRUE,"70+")</f>
        <v>70+</v>
      </c>
      <c r="D73" t="s">
        <v>29</v>
      </c>
      <c r="E73" t="s">
        <v>30</v>
      </c>
      <c r="F73" t="s">
        <v>76</v>
      </c>
      <c r="G73" t="s">
        <v>32</v>
      </c>
      <c r="H73" t="s">
        <v>30</v>
      </c>
      <c r="I73" t="s">
        <v>233</v>
      </c>
      <c r="J73" t="s">
        <v>65</v>
      </c>
      <c r="K73" s="2">
        <v>424.39</v>
      </c>
      <c r="L73">
        <v>9</v>
      </c>
      <c r="M73" t="s">
        <v>35</v>
      </c>
      <c r="N73">
        <v>3</v>
      </c>
      <c r="O73">
        <v>1</v>
      </c>
      <c r="P73">
        <v>1</v>
      </c>
      <c r="Q73" t="s">
        <v>44</v>
      </c>
      <c r="R73" t="s">
        <v>37</v>
      </c>
      <c r="S73">
        <v>0</v>
      </c>
      <c r="T73">
        <v>7</v>
      </c>
      <c r="U73" t="s">
        <v>59</v>
      </c>
      <c r="V73" t="s">
        <v>60</v>
      </c>
      <c r="W73" t="s">
        <v>39</v>
      </c>
      <c r="X73" s="3">
        <v>45365</v>
      </c>
      <c r="Y73" s="1" t="str">
        <f t="shared" si="2"/>
        <v>Mar</v>
      </c>
      <c r="Z73" s="1" t="str">
        <f t="shared" si="3"/>
        <v>2024</v>
      </c>
      <c r="AA73" t="b">
        <v>1</v>
      </c>
      <c r="AB73" t="b">
        <v>0</v>
      </c>
      <c r="AC73" t="s">
        <v>52</v>
      </c>
      <c r="AD73" t="s">
        <v>41</v>
      </c>
      <c r="AE73">
        <v>13</v>
      </c>
    </row>
    <row r="74" spans="1:31" x14ac:dyDescent="0.3">
      <c r="A74" t="s">
        <v>234</v>
      </c>
      <c r="B74">
        <v>47</v>
      </c>
      <c r="C74" t="str" cm="1">
        <f t="array" ref="C74">_xlfn.IFS(B74&lt;=18,"0-18",B74&lt;=29,"19-29",B74&gt;=49,"30-49",B74&gt;=69,"50-69",TRUE,"70+")</f>
        <v>70+</v>
      </c>
      <c r="D74" t="s">
        <v>43</v>
      </c>
      <c r="E74" t="s">
        <v>44</v>
      </c>
      <c r="F74" t="s">
        <v>31</v>
      </c>
      <c r="G74" t="s">
        <v>45</v>
      </c>
      <c r="H74" t="s">
        <v>44</v>
      </c>
      <c r="I74" t="s">
        <v>235</v>
      </c>
      <c r="J74" t="s">
        <v>142</v>
      </c>
      <c r="K74" s="2">
        <v>197.12</v>
      </c>
      <c r="L74">
        <v>10</v>
      </c>
      <c r="M74" t="s">
        <v>48</v>
      </c>
      <c r="N74">
        <v>4</v>
      </c>
      <c r="O74">
        <v>4</v>
      </c>
      <c r="P74">
        <v>0</v>
      </c>
      <c r="Q74" t="s">
        <v>59</v>
      </c>
      <c r="R74" t="s">
        <v>37</v>
      </c>
      <c r="S74">
        <v>1</v>
      </c>
      <c r="T74">
        <v>1</v>
      </c>
      <c r="U74" t="s">
        <v>49</v>
      </c>
      <c r="V74" t="s">
        <v>38</v>
      </c>
      <c r="W74" t="s">
        <v>66</v>
      </c>
      <c r="X74" s="3">
        <v>45366</v>
      </c>
      <c r="Y74" s="1" t="str">
        <f t="shared" si="2"/>
        <v>Mar</v>
      </c>
      <c r="Z74" s="1" t="str">
        <f t="shared" si="3"/>
        <v>2024</v>
      </c>
      <c r="AA74" t="b">
        <v>1</v>
      </c>
      <c r="AB74" t="b">
        <v>1</v>
      </c>
      <c r="AC74" t="s">
        <v>52</v>
      </c>
      <c r="AD74" t="s">
        <v>53</v>
      </c>
      <c r="AE74">
        <v>10</v>
      </c>
    </row>
    <row r="75" spans="1:31" x14ac:dyDescent="0.3">
      <c r="A75" t="s">
        <v>236</v>
      </c>
      <c r="B75">
        <v>45</v>
      </c>
      <c r="C75" t="str" cm="1">
        <f t="array" ref="C75">_xlfn.IFS(B75&lt;=18,"0-18",B75&lt;=29,"19-29",B75&gt;=49,"30-49",B75&gt;=69,"50-69",TRUE,"70+")</f>
        <v>70+</v>
      </c>
      <c r="D75" t="s">
        <v>43</v>
      </c>
      <c r="E75" t="s">
        <v>44</v>
      </c>
      <c r="F75" t="s">
        <v>55</v>
      </c>
      <c r="G75" t="s">
        <v>32</v>
      </c>
      <c r="H75" t="s">
        <v>44</v>
      </c>
      <c r="I75" t="s">
        <v>237</v>
      </c>
      <c r="J75" t="s">
        <v>82</v>
      </c>
      <c r="K75" s="2">
        <v>454.57</v>
      </c>
      <c r="L75">
        <v>9</v>
      </c>
      <c r="M75" t="s">
        <v>35</v>
      </c>
      <c r="N75">
        <v>2</v>
      </c>
      <c r="O75">
        <v>5</v>
      </c>
      <c r="P75">
        <v>1</v>
      </c>
      <c r="Q75" t="s">
        <v>59</v>
      </c>
      <c r="R75" t="s">
        <v>37</v>
      </c>
      <c r="S75">
        <v>0</v>
      </c>
      <c r="T75">
        <v>1</v>
      </c>
      <c r="U75" t="s">
        <v>49</v>
      </c>
      <c r="V75" t="s">
        <v>60</v>
      </c>
      <c r="W75" t="s">
        <v>61</v>
      </c>
      <c r="X75" s="3">
        <v>45367</v>
      </c>
      <c r="Y75" s="1" t="str">
        <f t="shared" si="2"/>
        <v>Mar</v>
      </c>
      <c r="Z75" s="1" t="str">
        <f t="shared" si="3"/>
        <v>2024</v>
      </c>
      <c r="AA75" t="b">
        <v>1</v>
      </c>
      <c r="AB75" t="b">
        <v>1</v>
      </c>
      <c r="AC75" t="s">
        <v>52</v>
      </c>
      <c r="AD75" t="s">
        <v>67</v>
      </c>
      <c r="AE75">
        <v>1</v>
      </c>
    </row>
    <row r="76" spans="1:31" x14ac:dyDescent="0.3">
      <c r="A76" t="s">
        <v>238</v>
      </c>
      <c r="B76">
        <v>37</v>
      </c>
      <c r="C76" t="str" cm="1">
        <f t="array" ref="C76">_xlfn.IFS(B76&lt;=18,"0-18",B76&lt;=29,"19-29",B76&gt;=49,"30-49",B76&gt;=69,"50-69",TRUE,"70+")</f>
        <v>70+</v>
      </c>
      <c r="D76" t="s">
        <v>43</v>
      </c>
      <c r="E76" t="s">
        <v>30</v>
      </c>
      <c r="F76" t="s">
        <v>76</v>
      </c>
      <c r="G76" t="s">
        <v>45</v>
      </c>
      <c r="H76" t="s">
        <v>44</v>
      </c>
      <c r="I76" t="s">
        <v>239</v>
      </c>
      <c r="J76" t="s">
        <v>117</v>
      </c>
      <c r="K76" s="2">
        <v>298.38</v>
      </c>
      <c r="L76">
        <v>4</v>
      </c>
      <c r="M76" t="s">
        <v>35</v>
      </c>
      <c r="N76">
        <v>3</v>
      </c>
      <c r="O76">
        <v>4</v>
      </c>
      <c r="P76">
        <v>2</v>
      </c>
      <c r="Q76" t="s">
        <v>44</v>
      </c>
      <c r="R76" t="s">
        <v>85</v>
      </c>
      <c r="S76">
        <v>0</v>
      </c>
      <c r="T76">
        <v>2</v>
      </c>
      <c r="U76" t="s">
        <v>59</v>
      </c>
      <c r="V76" t="s">
        <v>38</v>
      </c>
      <c r="W76" t="s">
        <v>86</v>
      </c>
      <c r="X76" s="3">
        <v>45368</v>
      </c>
      <c r="Y76" s="1" t="str">
        <f t="shared" si="2"/>
        <v>Mar</v>
      </c>
      <c r="Z76" s="1" t="str">
        <f t="shared" si="3"/>
        <v>2024</v>
      </c>
      <c r="AA76" t="b">
        <v>0</v>
      </c>
      <c r="AB76" t="b">
        <v>1</v>
      </c>
      <c r="AC76" t="s">
        <v>40</v>
      </c>
      <c r="AD76" t="s">
        <v>53</v>
      </c>
      <c r="AE76">
        <v>3</v>
      </c>
    </row>
    <row r="77" spans="1:31" x14ac:dyDescent="0.3">
      <c r="A77" t="s">
        <v>240</v>
      </c>
      <c r="B77">
        <v>36</v>
      </c>
      <c r="C77" t="str" cm="1">
        <f t="array" ref="C77">_xlfn.IFS(B77&lt;=18,"0-18",B77&lt;=29,"19-29",B77&gt;=49,"30-49",B77&gt;=69,"50-69",TRUE,"70+")</f>
        <v>70+</v>
      </c>
      <c r="D77" t="s">
        <v>43</v>
      </c>
      <c r="E77" t="s">
        <v>44</v>
      </c>
      <c r="F77" t="s">
        <v>76</v>
      </c>
      <c r="G77" t="s">
        <v>45</v>
      </c>
      <c r="H77" t="s">
        <v>44</v>
      </c>
      <c r="I77" t="s">
        <v>241</v>
      </c>
      <c r="J77" t="s">
        <v>183</v>
      </c>
      <c r="K77" s="2">
        <v>111.7</v>
      </c>
      <c r="L77">
        <v>6</v>
      </c>
      <c r="M77" t="s">
        <v>78</v>
      </c>
      <c r="N77">
        <v>4</v>
      </c>
      <c r="O77">
        <v>5</v>
      </c>
      <c r="P77">
        <v>0</v>
      </c>
      <c r="Q77" t="s">
        <v>49</v>
      </c>
      <c r="R77" t="s">
        <v>37</v>
      </c>
      <c r="S77">
        <v>2</v>
      </c>
      <c r="T77">
        <v>5</v>
      </c>
      <c r="U77" t="s">
        <v>44</v>
      </c>
      <c r="V77" t="s">
        <v>38</v>
      </c>
      <c r="W77" t="s">
        <v>39</v>
      </c>
      <c r="X77" s="3">
        <v>45369</v>
      </c>
      <c r="Y77" s="1" t="str">
        <f t="shared" si="2"/>
        <v>Mar</v>
      </c>
      <c r="Z77" s="1" t="str">
        <f t="shared" si="3"/>
        <v>2024</v>
      </c>
      <c r="AA77" t="b">
        <v>0</v>
      </c>
      <c r="AB77" t="b">
        <v>0</v>
      </c>
      <c r="AC77" t="s">
        <v>74</v>
      </c>
      <c r="AD77" t="s">
        <v>53</v>
      </c>
      <c r="AE77">
        <v>7</v>
      </c>
    </row>
    <row r="78" spans="1:31" x14ac:dyDescent="0.3">
      <c r="A78" t="s">
        <v>242</v>
      </c>
      <c r="B78">
        <v>34</v>
      </c>
      <c r="C78" t="str" cm="1">
        <f t="array" ref="C78">_xlfn.IFS(B78&lt;=18,"0-18",B78&lt;=29,"19-29",B78&gt;=49,"30-49",B78&gt;=69,"50-69",TRUE,"70+")</f>
        <v>70+</v>
      </c>
      <c r="D78" t="s">
        <v>43</v>
      </c>
      <c r="E78" t="s">
        <v>30</v>
      </c>
      <c r="F78" t="s">
        <v>31</v>
      </c>
      <c r="G78" t="s">
        <v>32</v>
      </c>
      <c r="H78" t="s">
        <v>30</v>
      </c>
      <c r="I78" t="s">
        <v>243</v>
      </c>
      <c r="J78" t="s">
        <v>183</v>
      </c>
      <c r="K78" s="2">
        <v>373.69</v>
      </c>
      <c r="L78">
        <v>10</v>
      </c>
      <c r="M78" t="s">
        <v>78</v>
      </c>
      <c r="N78">
        <v>3</v>
      </c>
      <c r="O78">
        <v>2</v>
      </c>
      <c r="P78">
        <v>2</v>
      </c>
      <c r="Q78" t="s">
        <v>49</v>
      </c>
      <c r="R78" t="s">
        <v>50</v>
      </c>
      <c r="S78">
        <v>1</v>
      </c>
      <c r="T78">
        <v>8</v>
      </c>
      <c r="U78" t="s">
        <v>36</v>
      </c>
      <c r="V78" t="s">
        <v>38</v>
      </c>
      <c r="W78" t="s">
        <v>39</v>
      </c>
      <c r="X78" s="3">
        <v>45370</v>
      </c>
      <c r="Y78" s="1" t="str">
        <f t="shared" si="2"/>
        <v>Mar</v>
      </c>
      <c r="Z78" s="1" t="str">
        <f t="shared" si="3"/>
        <v>2024</v>
      </c>
      <c r="AA78" t="b">
        <v>0</v>
      </c>
      <c r="AB78" t="b">
        <v>1</v>
      </c>
      <c r="AC78" t="s">
        <v>62</v>
      </c>
      <c r="AD78" t="s">
        <v>67</v>
      </c>
      <c r="AE78">
        <v>14</v>
      </c>
    </row>
    <row r="79" spans="1:31" x14ac:dyDescent="0.3">
      <c r="A79" t="s">
        <v>244</v>
      </c>
      <c r="B79">
        <v>37</v>
      </c>
      <c r="C79" t="str" cm="1">
        <f t="array" ref="C79">_xlfn.IFS(B79&lt;=18,"0-18",B79&lt;=29,"19-29",B79&gt;=49,"30-49",B79&gt;=69,"50-69",TRUE,"70+")</f>
        <v>70+</v>
      </c>
      <c r="D79" t="s">
        <v>43</v>
      </c>
      <c r="E79" t="s">
        <v>44</v>
      </c>
      <c r="F79" t="s">
        <v>69</v>
      </c>
      <c r="G79" t="s">
        <v>56</v>
      </c>
      <c r="H79" t="s">
        <v>30</v>
      </c>
      <c r="I79" t="s">
        <v>245</v>
      </c>
      <c r="J79" t="s">
        <v>246</v>
      </c>
      <c r="K79" s="2">
        <v>354.87</v>
      </c>
      <c r="L79">
        <v>5</v>
      </c>
      <c r="M79" t="s">
        <v>48</v>
      </c>
      <c r="N79">
        <v>1</v>
      </c>
      <c r="O79">
        <v>1</v>
      </c>
      <c r="P79">
        <v>0</v>
      </c>
      <c r="Q79" t="s">
        <v>36</v>
      </c>
      <c r="R79" t="s">
        <v>50</v>
      </c>
      <c r="S79">
        <v>2</v>
      </c>
      <c r="T79">
        <v>4</v>
      </c>
      <c r="U79" t="s">
        <v>36</v>
      </c>
      <c r="V79" t="s">
        <v>79</v>
      </c>
      <c r="W79" t="s">
        <v>86</v>
      </c>
      <c r="X79" s="3">
        <v>45371</v>
      </c>
      <c r="Y79" s="1" t="str">
        <f t="shared" si="2"/>
        <v>Mar</v>
      </c>
      <c r="Z79" s="1" t="str">
        <f t="shared" si="3"/>
        <v>2024</v>
      </c>
      <c r="AA79" t="b">
        <v>0</v>
      </c>
      <c r="AB79" t="b">
        <v>1</v>
      </c>
      <c r="AC79" t="s">
        <v>74</v>
      </c>
      <c r="AD79" t="s">
        <v>67</v>
      </c>
      <c r="AE79">
        <v>12</v>
      </c>
    </row>
    <row r="80" spans="1:31" x14ac:dyDescent="0.3">
      <c r="A80" t="s">
        <v>247</v>
      </c>
      <c r="B80">
        <v>18</v>
      </c>
      <c r="C80" t="str" cm="1">
        <f t="array" ref="C80">_xlfn.IFS(B80&lt;=18,"0-18",B80&lt;=29,"19-29",B80&gt;=49,"30-49",B80&gt;=69,"50-69",TRUE,"70+")</f>
        <v>0-18</v>
      </c>
      <c r="D80" t="s">
        <v>29</v>
      </c>
      <c r="E80" t="s">
        <v>30</v>
      </c>
      <c r="F80" t="s">
        <v>69</v>
      </c>
      <c r="G80" t="s">
        <v>32</v>
      </c>
      <c r="H80" t="s">
        <v>44</v>
      </c>
      <c r="I80" t="s">
        <v>248</v>
      </c>
      <c r="J80" t="s">
        <v>93</v>
      </c>
      <c r="K80" s="2">
        <v>214.48</v>
      </c>
      <c r="L80">
        <v>2</v>
      </c>
      <c r="M80" t="s">
        <v>78</v>
      </c>
      <c r="N80">
        <v>4</v>
      </c>
      <c r="O80">
        <v>2</v>
      </c>
      <c r="P80">
        <v>2</v>
      </c>
      <c r="Q80" t="s">
        <v>36</v>
      </c>
      <c r="R80" t="s">
        <v>85</v>
      </c>
      <c r="S80">
        <v>1</v>
      </c>
      <c r="T80">
        <v>3</v>
      </c>
      <c r="U80" t="s">
        <v>36</v>
      </c>
      <c r="V80" t="s">
        <v>38</v>
      </c>
      <c r="W80" t="s">
        <v>86</v>
      </c>
      <c r="X80" s="3">
        <v>45372</v>
      </c>
      <c r="Y80" s="1" t="str">
        <f t="shared" si="2"/>
        <v>Mar</v>
      </c>
      <c r="Z80" s="1" t="str">
        <f t="shared" si="3"/>
        <v>2024</v>
      </c>
      <c r="AA80" t="b">
        <v>1</v>
      </c>
      <c r="AB80" t="b">
        <v>1</v>
      </c>
      <c r="AC80" t="s">
        <v>52</v>
      </c>
      <c r="AD80" t="s">
        <v>67</v>
      </c>
      <c r="AE80">
        <v>2</v>
      </c>
    </row>
    <row r="81" spans="1:31" x14ac:dyDescent="0.3">
      <c r="A81" t="s">
        <v>249</v>
      </c>
      <c r="B81">
        <v>20</v>
      </c>
      <c r="C81" t="str" cm="1">
        <f t="array" ref="C81">_xlfn.IFS(B81&lt;=18,"0-18",B81&lt;=29,"19-29",B81&gt;=49,"30-49",B81&gt;=69,"50-69",TRUE,"70+")</f>
        <v>19-29</v>
      </c>
      <c r="D81" t="s">
        <v>43</v>
      </c>
      <c r="E81" t="s">
        <v>44</v>
      </c>
      <c r="F81" t="s">
        <v>76</v>
      </c>
      <c r="G81" t="s">
        <v>32</v>
      </c>
      <c r="H81" t="s">
        <v>30</v>
      </c>
      <c r="I81" t="s">
        <v>250</v>
      </c>
      <c r="J81" t="s">
        <v>120</v>
      </c>
      <c r="K81" s="2">
        <v>399.58</v>
      </c>
      <c r="L81">
        <v>6</v>
      </c>
      <c r="M81" t="s">
        <v>48</v>
      </c>
      <c r="N81">
        <v>3</v>
      </c>
      <c r="O81">
        <v>4</v>
      </c>
      <c r="P81">
        <v>0</v>
      </c>
      <c r="Q81" t="s">
        <v>36</v>
      </c>
      <c r="R81" t="s">
        <v>85</v>
      </c>
      <c r="S81">
        <v>1</v>
      </c>
      <c r="T81">
        <v>8</v>
      </c>
      <c r="U81" t="s">
        <v>59</v>
      </c>
      <c r="V81" t="s">
        <v>38</v>
      </c>
      <c r="W81" t="s">
        <v>66</v>
      </c>
      <c r="X81" s="3">
        <v>45373</v>
      </c>
      <c r="Y81" s="1" t="str">
        <f t="shared" si="2"/>
        <v>Mar</v>
      </c>
      <c r="Z81" s="1" t="str">
        <f t="shared" si="3"/>
        <v>2024</v>
      </c>
      <c r="AA81" t="b">
        <v>1</v>
      </c>
      <c r="AB81" t="b">
        <v>0</v>
      </c>
      <c r="AC81" t="s">
        <v>40</v>
      </c>
      <c r="AD81" t="s">
        <v>53</v>
      </c>
      <c r="AE81">
        <v>7</v>
      </c>
    </row>
    <row r="82" spans="1:31" x14ac:dyDescent="0.3">
      <c r="A82" t="s">
        <v>251</v>
      </c>
      <c r="B82">
        <v>27</v>
      </c>
      <c r="C82" t="str" cm="1">
        <f t="array" ref="C82">_xlfn.IFS(B82&lt;=18,"0-18",B82&lt;=29,"19-29",B82&gt;=49,"30-49",B82&gt;=69,"50-69",TRUE,"70+")</f>
        <v>19-29</v>
      </c>
      <c r="D82" t="s">
        <v>29</v>
      </c>
      <c r="E82" t="s">
        <v>44</v>
      </c>
      <c r="F82" t="s">
        <v>69</v>
      </c>
      <c r="G82" t="s">
        <v>45</v>
      </c>
      <c r="H82" t="s">
        <v>30</v>
      </c>
      <c r="I82" t="s">
        <v>252</v>
      </c>
      <c r="J82" t="s">
        <v>98</v>
      </c>
      <c r="K82" s="2">
        <v>380.99</v>
      </c>
      <c r="L82">
        <v>7</v>
      </c>
      <c r="M82" t="s">
        <v>35</v>
      </c>
      <c r="N82">
        <v>1</v>
      </c>
      <c r="O82">
        <v>2</v>
      </c>
      <c r="P82">
        <v>1</v>
      </c>
      <c r="Q82" t="s">
        <v>59</v>
      </c>
      <c r="R82" t="s">
        <v>37</v>
      </c>
      <c r="S82">
        <v>0</v>
      </c>
      <c r="T82">
        <v>1</v>
      </c>
      <c r="U82" t="s">
        <v>49</v>
      </c>
      <c r="V82" t="s">
        <v>79</v>
      </c>
      <c r="W82" t="s">
        <v>86</v>
      </c>
      <c r="X82" s="3">
        <v>45374</v>
      </c>
      <c r="Y82" s="1" t="str">
        <f t="shared" si="2"/>
        <v>Mar</v>
      </c>
      <c r="Z82" s="1" t="str">
        <f t="shared" si="3"/>
        <v>2024</v>
      </c>
      <c r="AA82" t="b">
        <v>1</v>
      </c>
      <c r="AB82" t="b">
        <v>1</v>
      </c>
      <c r="AC82" t="s">
        <v>40</v>
      </c>
      <c r="AD82" t="s">
        <v>41</v>
      </c>
      <c r="AE82">
        <v>8</v>
      </c>
    </row>
    <row r="83" spans="1:31" x14ac:dyDescent="0.3">
      <c r="A83" t="s">
        <v>253</v>
      </c>
      <c r="B83">
        <v>36</v>
      </c>
      <c r="C83" t="str" cm="1">
        <f t="array" ref="C83">_xlfn.IFS(B83&lt;=18,"0-18",B83&lt;=29,"19-29",B83&gt;=49,"30-49",B83&gt;=69,"50-69",TRUE,"70+")</f>
        <v>70+</v>
      </c>
      <c r="D83" t="s">
        <v>43</v>
      </c>
      <c r="E83" t="s">
        <v>30</v>
      </c>
      <c r="F83" t="s">
        <v>31</v>
      </c>
      <c r="G83" t="s">
        <v>45</v>
      </c>
      <c r="H83" t="s">
        <v>44</v>
      </c>
      <c r="I83" t="s">
        <v>254</v>
      </c>
      <c r="J83" t="s">
        <v>47</v>
      </c>
      <c r="K83" s="2">
        <v>79</v>
      </c>
      <c r="L83">
        <v>10</v>
      </c>
      <c r="M83" t="s">
        <v>78</v>
      </c>
      <c r="N83">
        <v>1</v>
      </c>
      <c r="O83">
        <v>2</v>
      </c>
      <c r="P83">
        <v>1</v>
      </c>
      <c r="Q83" t="s">
        <v>49</v>
      </c>
      <c r="R83" t="s">
        <v>85</v>
      </c>
      <c r="S83">
        <v>2</v>
      </c>
      <c r="T83">
        <v>6</v>
      </c>
      <c r="U83" t="s">
        <v>59</v>
      </c>
      <c r="V83" t="s">
        <v>60</v>
      </c>
      <c r="W83" t="s">
        <v>86</v>
      </c>
      <c r="X83" s="3">
        <v>45375</v>
      </c>
      <c r="Y83" s="1" t="str">
        <f t="shared" si="2"/>
        <v>Mar</v>
      </c>
      <c r="Z83" s="1" t="str">
        <f t="shared" si="3"/>
        <v>2024</v>
      </c>
      <c r="AA83" t="b">
        <v>0</v>
      </c>
      <c r="AB83" t="b">
        <v>1</v>
      </c>
      <c r="AC83" t="s">
        <v>74</v>
      </c>
      <c r="AD83" t="s">
        <v>53</v>
      </c>
      <c r="AE83">
        <v>7</v>
      </c>
    </row>
    <row r="84" spans="1:31" x14ac:dyDescent="0.3">
      <c r="A84" t="s">
        <v>255</v>
      </c>
      <c r="B84">
        <v>46</v>
      </c>
      <c r="C84" t="str" cm="1">
        <f t="array" ref="C84">_xlfn.IFS(B84&lt;=18,"0-18",B84&lt;=29,"19-29",B84&gt;=49,"30-49",B84&gt;=69,"50-69",TRUE,"70+")</f>
        <v>70+</v>
      </c>
      <c r="D84" t="s">
        <v>29</v>
      </c>
      <c r="E84" t="s">
        <v>30</v>
      </c>
      <c r="F84" t="s">
        <v>31</v>
      </c>
      <c r="G84" t="s">
        <v>32</v>
      </c>
      <c r="H84" t="s">
        <v>30</v>
      </c>
      <c r="I84" t="s">
        <v>256</v>
      </c>
      <c r="J84" t="s">
        <v>158</v>
      </c>
      <c r="K84" s="2">
        <v>113.88</v>
      </c>
      <c r="L84">
        <v>2</v>
      </c>
      <c r="M84" t="s">
        <v>78</v>
      </c>
      <c r="N84">
        <v>5</v>
      </c>
      <c r="O84">
        <v>2</v>
      </c>
      <c r="P84">
        <v>2</v>
      </c>
      <c r="Q84" t="s">
        <v>49</v>
      </c>
      <c r="R84" t="s">
        <v>50</v>
      </c>
      <c r="S84">
        <v>2</v>
      </c>
      <c r="T84">
        <v>4</v>
      </c>
      <c r="U84" t="s">
        <v>44</v>
      </c>
      <c r="V84" t="s">
        <v>38</v>
      </c>
      <c r="W84" t="s">
        <v>51</v>
      </c>
      <c r="X84" s="3">
        <v>45376</v>
      </c>
      <c r="Y84" s="1" t="str">
        <f t="shared" si="2"/>
        <v>Mar</v>
      </c>
      <c r="Z84" s="1" t="str">
        <f t="shared" si="3"/>
        <v>2024</v>
      </c>
      <c r="AA84" t="b">
        <v>0</v>
      </c>
      <c r="AB84" t="b">
        <v>0</v>
      </c>
      <c r="AC84" t="s">
        <v>52</v>
      </c>
      <c r="AD84" t="s">
        <v>67</v>
      </c>
      <c r="AE84">
        <v>9</v>
      </c>
    </row>
    <row r="85" spans="1:31" x14ac:dyDescent="0.3">
      <c r="A85" t="s">
        <v>257</v>
      </c>
      <c r="B85">
        <v>26</v>
      </c>
      <c r="C85" t="str" cm="1">
        <f t="array" ref="C85">_xlfn.IFS(B85&lt;=18,"0-18",B85&lt;=29,"19-29",B85&gt;=49,"30-49",B85&gt;=69,"50-69",TRUE,"70+")</f>
        <v>19-29</v>
      </c>
      <c r="D85" t="s">
        <v>43</v>
      </c>
      <c r="E85" t="s">
        <v>30</v>
      </c>
      <c r="F85" t="s">
        <v>31</v>
      </c>
      <c r="G85" t="s">
        <v>45</v>
      </c>
      <c r="H85" t="s">
        <v>30</v>
      </c>
      <c r="I85" t="s">
        <v>258</v>
      </c>
      <c r="J85" t="s">
        <v>194</v>
      </c>
      <c r="K85" s="2">
        <v>121.57</v>
      </c>
      <c r="L85">
        <v>4</v>
      </c>
      <c r="M85" t="s">
        <v>35</v>
      </c>
      <c r="N85">
        <v>1</v>
      </c>
      <c r="O85">
        <v>5</v>
      </c>
      <c r="P85">
        <v>0</v>
      </c>
      <c r="Q85" t="s">
        <v>44</v>
      </c>
      <c r="R85" t="s">
        <v>50</v>
      </c>
      <c r="S85">
        <v>0</v>
      </c>
      <c r="T85">
        <v>4</v>
      </c>
      <c r="U85" t="s">
        <v>44</v>
      </c>
      <c r="V85" t="s">
        <v>79</v>
      </c>
      <c r="W85" t="s">
        <v>66</v>
      </c>
      <c r="X85" s="3">
        <v>45377</v>
      </c>
      <c r="Y85" s="1" t="str">
        <f t="shared" si="2"/>
        <v>Mar</v>
      </c>
      <c r="Z85" s="1" t="str">
        <f t="shared" si="3"/>
        <v>2024</v>
      </c>
      <c r="AA85" t="b">
        <v>0</v>
      </c>
      <c r="AB85" t="b">
        <v>1</v>
      </c>
      <c r="AC85" t="s">
        <v>62</v>
      </c>
      <c r="AD85" t="s">
        <v>41</v>
      </c>
      <c r="AE85">
        <v>13</v>
      </c>
    </row>
    <row r="86" spans="1:31" x14ac:dyDescent="0.3">
      <c r="A86" t="s">
        <v>259</v>
      </c>
      <c r="B86">
        <v>21</v>
      </c>
      <c r="C86" t="str" cm="1">
        <f t="array" ref="C86">_xlfn.IFS(B86&lt;=18,"0-18",B86&lt;=29,"19-29",B86&gt;=49,"30-49",B86&gt;=69,"50-69",TRUE,"70+")</f>
        <v>19-29</v>
      </c>
      <c r="D86" t="s">
        <v>29</v>
      </c>
      <c r="E86" t="s">
        <v>44</v>
      </c>
      <c r="F86" t="s">
        <v>76</v>
      </c>
      <c r="G86" t="s">
        <v>45</v>
      </c>
      <c r="H86" t="s">
        <v>30</v>
      </c>
      <c r="I86" t="s">
        <v>260</v>
      </c>
      <c r="J86" t="s">
        <v>142</v>
      </c>
      <c r="K86" s="2">
        <v>215.54</v>
      </c>
      <c r="L86">
        <v>11</v>
      </c>
      <c r="M86" t="s">
        <v>78</v>
      </c>
      <c r="N86">
        <v>3</v>
      </c>
      <c r="O86">
        <v>1</v>
      </c>
      <c r="P86">
        <v>2</v>
      </c>
      <c r="Q86" t="s">
        <v>59</v>
      </c>
      <c r="R86" t="s">
        <v>37</v>
      </c>
      <c r="S86">
        <v>2</v>
      </c>
      <c r="T86">
        <v>6</v>
      </c>
      <c r="U86" t="s">
        <v>44</v>
      </c>
      <c r="V86" t="s">
        <v>79</v>
      </c>
      <c r="W86" t="s">
        <v>39</v>
      </c>
      <c r="X86" s="3">
        <v>45378</v>
      </c>
      <c r="Y86" s="1" t="str">
        <f t="shared" si="2"/>
        <v>Mar</v>
      </c>
      <c r="Z86" s="1" t="str">
        <f t="shared" si="3"/>
        <v>2024</v>
      </c>
      <c r="AA86" t="b">
        <v>1</v>
      </c>
      <c r="AB86" t="b">
        <v>1</v>
      </c>
      <c r="AC86" t="s">
        <v>74</v>
      </c>
      <c r="AD86" t="s">
        <v>41</v>
      </c>
      <c r="AE86">
        <v>10</v>
      </c>
    </row>
    <row r="87" spans="1:31" x14ac:dyDescent="0.3">
      <c r="A87" t="s">
        <v>261</v>
      </c>
      <c r="B87">
        <v>43</v>
      </c>
      <c r="C87" t="str" cm="1">
        <f t="array" ref="C87">_xlfn.IFS(B87&lt;=18,"0-18",B87&lt;=29,"19-29",B87&gt;=49,"30-49",B87&gt;=69,"50-69",TRUE,"70+")</f>
        <v>70+</v>
      </c>
      <c r="D87" t="s">
        <v>43</v>
      </c>
      <c r="E87" t="s">
        <v>44</v>
      </c>
      <c r="F87" t="s">
        <v>31</v>
      </c>
      <c r="G87" t="s">
        <v>32</v>
      </c>
      <c r="H87" t="s">
        <v>44</v>
      </c>
      <c r="I87" t="s">
        <v>262</v>
      </c>
      <c r="J87" t="s">
        <v>71</v>
      </c>
      <c r="K87" s="2">
        <v>87.03</v>
      </c>
      <c r="L87">
        <v>10</v>
      </c>
      <c r="M87" t="s">
        <v>35</v>
      </c>
      <c r="N87">
        <v>1</v>
      </c>
      <c r="O87">
        <v>1</v>
      </c>
      <c r="P87">
        <v>0</v>
      </c>
      <c r="Q87" t="s">
        <v>59</v>
      </c>
      <c r="R87" t="s">
        <v>85</v>
      </c>
      <c r="S87">
        <v>1</v>
      </c>
      <c r="T87">
        <v>5</v>
      </c>
      <c r="U87" t="s">
        <v>44</v>
      </c>
      <c r="V87" t="s">
        <v>79</v>
      </c>
      <c r="W87" t="s">
        <v>51</v>
      </c>
      <c r="X87" s="3">
        <v>45379</v>
      </c>
      <c r="Y87" s="1" t="str">
        <f t="shared" si="2"/>
        <v>Mar</v>
      </c>
      <c r="Z87" s="1" t="str">
        <f t="shared" si="3"/>
        <v>2024</v>
      </c>
      <c r="AA87" t="b">
        <v>0</v>
      </c>
      <c r="AB87" t="b">
        <v>1</v>
      </c>
      <c r="AC87" t="s">
        <v>40</v>
      </c>
      <c r="AD87" t="s">
        <v>41</v>
      </c>
      <c r="AE87">
        <v>7</v>
      </c>
    </row>
    <row r="88" spans="1:31" x14ac:dyDescent="0.3">
      <c r="A88" t="s">
        <v>263</v>
      </c>
      <c r="B88">
        <v>19</v>
      </c>
      <c r="C88" t="str" cm="1">
        <f t="array" ref="C88">_xlfn.IFS(B88&lt;=18,"0-18",B88&lt;=29,"19-29",B88&gt;=49,"30-49",B88&gt;=69,"50-69",TRUE,"70+")</f>
        <v>19-29</v>
      </c>
      <c r="D88" t="s">
        <v>43</v>
      </c>
      <c r="E88" t="s">
        <v>44</v>
      </c>
      <c r="F88" t="s">
        <v>76</v>
      </c>
      <c r="G88" t="s">
        <v>45</v>
      </c>
      <c r="H88" t="s">
        <v>44</v>
      </c>
      <c r="I88" t="s">
        <v>264</v>
      </c>
      <c r="J88" t="s">
        <v>194</v>
      </c>
      <c r="K88" s="2">
        <v>111.75</v>
      </c>
      <c r="L88">
        <v>4</v>
      </c>
      <c r="M88" t="s">
        <v>48</v>
      </c>
      <c r="N88">
        <v>1</v>
      </c>
      <c r="O88">
        <v>4</v>
      </c>
      <c r="P88">
        <v>0</v>
      </c>
      <c r="Q88" t="s">
        <v>44</v>
      </c>
      <c r="R88" t="s">
        <v>50</v>
      </c>
      <c r="S88">
        <v>1</v>
      </c>
      <c r="T88">
        <v>6</v>
      </c>
      <c r="U88" t="s">
        <v>44</v>
      </c>
      <c r="V88" t="s">
        <v>38</v>
      </c>
      <c r="W88" t="s">
        <v>61</v>
      </c>
      <c r="X88" s="3">
        <v>45380</v>
      </c>
      <c r="Y88" s="1" t="str">
        <f t="shared" si="2"/>
        <v>Mar</v>
      </c>
      <c r="Z88" s="1" t="str">
        <f t="shared" si="3"/>
        <v>2024</v>
      </c>
      <c r="AA88" t="b">
        <v>0</v>
      </c>
      <c r="AB88" t="b">
        <v>1</v>
      </c>
      <c r="AC88" t="s">
        <v>62</v>
      </c>
      <c r="AD88" t="s">
        <v>53</v>
      </c>
      <c r="AE88">
        <v>8</v>
      </c>
    </row>
    <row r="89" spans="1:31" x14ac:dyDescent="0.3">
      <c r="A89" t="s">
        <v>265</v>
      </c>
      <c r="B89">
        <v>41</v>
      </c>
      <c r="C89" t="str" cm="1">
        <f t="array" ref="C89">_xlfn.IFS(B89&lt;=18,"0-18",B89&lt;=29,"19-29",B89&gt;=49,"30-49",B89&gt;=69,"50-69",TRUE,"70+")</f>
        <v>70+</v>
      </c>
      <c r="D89" t="s">
        <v>29</v>
      </c>
      <c r="E89" t="s">
        <v>44</v>
      </c>
      <c r="F89" t="s">
        <v>69</v>
      </c>
      <c r="G89" t="s">
        <v>56</v>
      </c>
      <c r="H89" t="s">
        <v>44</v>
      </c>
      <c r="I89" t="s">
        <v>266</v>
      </c>
      <c r="J89" t="s">
        <v>58</v>
      </c>
      <c r="K89" s="2">
        <v>136.19999999999999</v>
      </c>
      <c r="L89">
        <v>2</v>
      </c>
      <c r="M89" t="s">
        <v>35</v>
      </c>
      <c r="N89">
        <v>3</v>
      </c>
      <c r="O89">
        <v>2</v>
      </c>
      <c r="P89">
        <v>2</v>
      </c>
      <c r="Q89" t="s">
        <v>59</v>
      </c>
      <c r="R89" t="s">
        <v>50</v>
      </c>
      <c r="S89">
        <v>0</v>
      </c>
      <c r="T89">
        <v>1</v>
      </c>
      <c r="U89" t="s">
        <v>44</v>
      </c>
      <c r="V89" t="s">
        <v>38</v>
      </c>
      <c r="W89" t="s">
        <v>51</v>
      </c>
      <c r="X89" s="3">
        <v>45381</v>
      </c>
      <c r="Y89" s="1" t="str">
        <f t="shared" si="2"/>
        <v>Mar</v>
      </c>
      <c r="Z89" s="1" t="str">
        <f t="shared" si="3"/>
        <v>2024</v>
      </c>
      <c r="AA89" t="b">
        <v>1</v>
      </c>
      <c r="AB89" t="b">
        <v>1</v>
      </c>
      <c r="AC89" t="s">
        <v>40</v>
      </c>
      <c r="AD89" t="s">
        <v>67</v>
      </c>
      <c r="AE89">
        <v>9</v>
      </c>
    </row>
    <row r="90" spans="1:31" x14ac:dyDescent="0.3">
      <c r="A90" t="s">
        <v>267</v>
      </c>
      <c r="B90">
        <v>48</v>
      </c>
      <c r="C90" t="str" cm="1">
        <f t="array" ref="C90">_xlfn.IFS(B90&lt;=18,"0-18",B90&lt;=29,"19-29",B90&gt;=49,"30-49",B90&gt;=69,"50-69",TRUE,"70+")</f>
        <v>70+</v>
      </c>
      <c r="D90" t="s">
        <v>43</v>
      </c>
      <c r="E90" t="s">
        <v>30</v>
      </c>
      <c r="F90" t="s">
        <v>31</v>
      </c>
      <c r="G90" t="s">
        <v>45</v>
      </c>
      <c r="H90" t="s">
        <v>30</v>
      </c>
      <c r="I90" t="s">
        <v>268</v>
      </c>
      <c r="J90" t="s">
        <v>47</v>
      </c>
      <c r="K90" s="2">
        <v>439.31</v>
      </c>
      <c r="L90">
        <v>4</v>
      </c>
      <c r="M90" t="s">
        <v>48</v>
      </c>
      <c r="N90">
        <v>3</v>
      </c>
      <c r="O90">
        <v>2</v>
      </c>
      <c r="P90">
        <v>1</v>
      </c>
      <c r="Q90" t="s">
        <v>49</v>
      </c>
      <c r="R90" t="s">
        <v>85</v>
      </c>
      <c r="S90">
        <v>0</v>
      </c>
      <c r="T90">
        <v>6</v>
      </c>
      <c r="U90" t="s">
        <v>49</v>
      </c>
      <c r="V90" t="s">
        <v>60</v>
      </c>
      <c r="W90" t="s">
        <v>61</v>
      </c>
      <c r="X90" s="3">
        <v>45382</v>
      </c>
      <c r="Y90" s="1" t="str">
        <f t="shared" si="2"/>
        <v>Mar</v>
      </c>
      <c r="Z90" s="1" t="str">
        <f t="shared" si="3"/>
        <v>2024</v>
      </c>
      <c r="AA90" t="b">
        <v>0</v>
      </c>
      <c r="AB90" t="b">
        <v>1</v>
      </c>
      <c r="AC90" t="s">
        <v>52</v>
      </c>
      <c r="AD90" t="s">
        <v>41</v>
      </c>
      <c r="AE90">
        <v>7</v>
      </c>
    </row>
    <row r="91" spans="1:31" x14ac:dyDescent="0.3">
      <c r="A91" t="s">
        <v>269</v>
      </c>
      <c r="B91">
        <v>19</v>
      </c>
      <c r="C91" t="str" cm="1">
        <f t="array" ref="C91">_xlfn.IFS(B91&lt;=18,"0-18",B91&lt;=29,"19-29",B91&gt;=49,"30-49",B91&gt;=69,"50-69",TRUE,"70+")</f>
        <v>19-29</v>
      </c>
      <c r="D91" t="s">
        <v>29</v>
      </c>
      <c r="E91" t="s">
        <v>30</v>
      </c>
      <c r="F91" t="s">
        <v>31</v>
      </c>
      <c r="G91" t="s">
        <v>32</v>
      </c>
      <c r="H91" t="s">
        <v>30</v>
      </c>
      <c r="I91" t="s">
        <v>270</v>
      </c>
      <c r="J91" t="s">
        <v>104</v>
      </c>
      <c r="K91" s="2">
        <v>194.93</v>
      </c>
      <c r="L91">
        <v>9</v>
      </c>
      <c r="M91" t="s">
        <v>78</v>
      </c>
      <c r="N91">
        <v>4</v>
      </c>
      <c r="O91">
        <v>4</v>
      </c>
      <c r="P91">
        <v>1</v>
      </c>
      <c r="Q91" t="s">
        <v>44</v>
      </c>
      <c r="R91" t="s">
        <v>37</v>
      </c>
      <c r="S91">
        <v>0</v>
      </c>
      <c r="T91">
        <v>4</v>
      </c>
      <c r="U91" t="s">
        <v>36</v>
      </c>
      <c r="V91" t="s">
        <v>38</v>
      </c>
      <c r="W91" t="s">
        <v>66</v>
      </c>
      <c r="X91" s="3">
        <v>45383</v>
      </c>
      <c r="Y91" s="1" t="str">
        <f t="shared" si="2"/>
        <v>Apr</v>
      </c>
      <c r="Z91" s="1" t="str">
        <f t="shared" si="3"/>
        <v>2024</v>
      </c>
      <c r="AA91" t="b">
        <v>1</v>
      </c>
      <c r="AB91" t="b">
        <v>1</v>
      </c>
      <c r="AC91" t="s">
        <v>62</v>
      </c>
      <c r="AD91" t="s">
        <v>41</v>
      </c>
      <c r="AE91">
        <v>5</v>
      </c>
    </row>
    <row r="92" spans="1:31" x14ac:dyDescent="0.3">
      <c r="A92" t="s">
        <v>271</v>
      </c>
      <c r="B92">
        <v>29</v>
      </c>
      <c r="C92" t="str" cm="1">
        <f t="array" ref="C92">_xlfn.IFS(B92&lt;=18,"0-18",B92&lt;=29,"19-29",B92&gt;=49,"30-49",B92&gt;=69,"50-69",TRUE,"70+")</f>
        <v>19-29</v>
      </c>
      <c r="D92" t="s">
        <v>43</v>
      </c>
      <c r="E92" t="s">
        <v>30</v>
      </c>
      <c r="F92" t="s">
        <v>69</v>
      </c>
      <c r="G92" t="s">
        <v>56</v>
      </c>
      <c r="H92" t="s">
        <v>44</v>
      </c>
      <c r="I92" t="s">
        <v>272</v>
      </c>
      <c r="J92" t="s">
        <v>47</v>
      </c>
      <c r="K92" s="2">
        <v>377.67</v>
      </c>
      <c r="L92">
        <v>8</v>
      </c>
      <c r="M92" t="s">
        <v>78</v>
      </c>
      <c r="N92">
        <v>5</v>
      </c>
      <c r="O92">
        <v>3</v>
      </c>
      <c r="P92">
        <v>0</v>
      </c>
      <c r="Q92" t="s">
        <v>36</v>
      </c>
      <c r="R92" t="s">
        <v>85</v>
      </c>
      <c r="S92">
        <v>2</v>
      </c>
      <c r="T92">
        <v>1</v>
      </c>
      <c r="U92" t="s">
        <v>44</v>
      </c>
      <c r="V92" t="s">
        <v>79</v>
      </c>
      <c r="W92" t="s">
        <v>51</v>
      </c>
      <c r="X92" s="3">
        <v>45384</v>
      </c>
      <c r="Y92" s="1" t="str">
        <f t="shared" si="2"/>
        <v>Apr</v>
      </c>
      <c r="Z92" s="1" t="str">
        <f t="shared" si="3"/>
        <v>2024</v>
      </c>
      <c r="AA92" t="b">
        <v>1</v>
      </c>
      <c r="AB92" t="b">
        <v>0</v>
      </c>
      <c r="AC92" t="s">
        <v>40</v>
      </c>
      <c r="AD92" t="s">
        <v>41</v>
      </c>
      <c r="AE92">
        <v>14</v>
      </c>
    </row>
    <row r="93" spans="1:31" x14ac:dyDescent="0.3">
      <c r="A93" t="s">
        <v>273</v>
      </c>
      <c r="B93">
        <v>26</v>
      </c>
      <c r="C93" t="str" cm="1">
        <f t="array" ref="C93">_xlfn.IFS(B93&lt;=18,"0-18",B93&lt;=29,"19-29",B93&gt;=49,"30-49",B93&gt;=69,"50-69",TRUE,"70+")</f>
        <v>19-29</v>
      </c>
      <c r="D93" t="s">
        <v>274</v>
      </c>
      <c r="E93" t="s">
        <v>44</v>
      </c>
      <c r="F93" t="s">
        <v>55</v>
      </c>
      <c r="G93" t="s">
        <v>56</v>
      </c>
      <c r="H93" t="s">
        <v>44</v>
      </c>
      <c r="I93" t="s">
        <v>275</v>
      </c>
      <c r="J93" t="s">
        <v>188</v>
      </c>
      <c r="K93" s="2">
        <v>108.61</v>
      </c>
      <c r="L93">
        <v>10</v>
      </c>
      <c r="M93" t="s">
        <v>48</v>
      </c>
      <c r="N93">
        <v>3</v>
      </c>
      <c r="O93">
        <v>2</v>
      </c>
      <c r="P93">
        <v>0</v>
      </c>
      <c r="Q93" t="s">
        <v>36</v>
      </c>
      <c r="R93" t="s">
        <v>85</v>
      </c>
      <c r="S93">
        <v>0</v>
      </c>
      <c r="T93">
        <v>3</v>
      </c>
      <c r="U93" t="s">
        <v>59</v>
      </c>
      <c r="V93" t="s">
        <v>60</v>
      </c>
      <c r="W93" t="s">
        <v>86</v>
      </c>
      <c r="X93" s="3">
        <v>45385</v>
      </c>
      <c r="Y93" s="1" t="str">
        <f t="shared" si="2"/>
        <v>Apr</v>
      </c>
      <c r="Z93" s="1" t="str">
        <f t="shared" si="3"/>
        <v>2024</v>
      </c>
      <c r="AA93" t="b">
        <v>1</v>
      </c>
      <c r="AB93" t="b">
        <v>1</v>
      </c>
      <c r="AC93" t="s">
        <v>40</v>
      </c>
      <c r="AD93" t="s">
        <v>41</v>
      </c>
      <c r="AE93">
        <v>14</v>
      </c>
    </row>
    <row r="94" spans="1:31" x14ac:dyDescent="0.3">
      <c r="A94" t="s">
        <v>276</v>
      </c>
      <c r="B94">
        <v>20</v>
      </c>
      <c r="C94" t="str" cm="1">
        <f t="array" ref="C94">_xlfn.IFS(B94&lt;=18,"0-18",B94&lt;=29,"19-29",B94&gt;=49,"30-49",B94&gt;=69,"50-69",TRUE,"70+")</f>
        <v>19-29</v>
      </c>
      <c r="D94" t="s">
        <v>29</v>
      </c>
      <c r="E94" t="s">
        <v>30</v>
      </c>
      <c r="F94" t="s">
        <v>31</v>
      </c>
      <c r="G94" t="s">
        <v>32</v>
      </c>
      <c r="H94" t="s">
        <v>30</v>
      </c>
      <c r="I94" t="s">
        <v>277</v>
      </c>
      <c r="J94" t="s">
        <v>104</v>
      </c>
      <c r="K94" s="2">
        <v>366.77</v>
      </c>
      <c r="L94">
        <v>7</v>
      </c>
      <c r="M94" t="s">
        <v>35</v>
      </c>
      <c r="N94">
        <v>4</v>
      </c>
      <c r="O94">
        <v>3</v>
      </c>
      <c r="P94">
        <v>2</v>
      </c>
      <c r="Q94" t="s">
        <v>59</v>
      </c>
      <c r="R94" t="s">
        <v>50</v>
      </c>
      <c r="S94">
        <v>0</v>
      </c>
      <c r="T94">
        <v>9</v>
      </c>
      <c r="U94" t="s">
        <v>36</v>
      </c>
      <c r="V94" t="s">
        <v>60</v>
      </c>
      <c r="W94" t="s">
        <v>61</v>
      </c>
      <c r="X94" s="3">
        <v>45386</v>
      </c>
      <c r="Y94" s="1" t="str">
        <f t="shared" si="2"/>
        <v>Apr</v>
      </c>
      <c r="Z94" s="1" t="str">
        <f t="shared" si="3"/>
        <v>2024</v>
      </c>
      <c r="AA94" t="b">
        <v>0</v>
      </c>
      <c r="AB94" t="b">
        <v>0</v>
      </c>
      <c r="AC94" t="s">
        <v>62</v>
      </c>
      <c r="AD94" t="s">
        <v>53</v>
      </c>
      <c r="AE94">
        <v>1</v>
      </c>
    </row>
    <row r="95" spans="1:31" x14ac:dyDescent="0.3">
      <c r="A95" t="s">
        <v>278</v>
      </c>
      <c r="B95">
        <v>31</v>
      </c>
      <c r="C95" t="str" cm="1">
        <f t="array" ref="C95">_xlfn.IFS(B95&lt;=18,"0-18",B95&lt;=29,"19-29",B95&gt;=49,"30-49",B95&gt;=69,"50-69",TRUE,"70+")</f>
        <v>70+</v>
      </c>
      <c r="D95" t="s">
        <v>29</v>
      </c>
      <c r="E95" t="s">
        <v>44</v>
      </c>
      <c r="F95" t="s">
        <v>76</v>
      </c>
      <c r="G95" t="s">
        <v>56</v>
      </c>
      <c r="H95" t="s">
        <v>30</v>
      </c>
      <c r="I95" t="s">
        <v>279</v>
      </c>
      <c r="J95" t="s">
        <v>246</v>
      </c>
      <c r="K95" s="2">
        <v>178.04</v>
      </c>
      <c r="L95">
        <v>5</v>
      </c>
      <c r="M95" t="s">
        <v>48</v>
      </c>
      <c r="N95">
        <v>5</v>
      </c>
      <c r="O95">
        <v>1</v>
      </c>
      <c r="P95">
        <v>2</v>
      </c>
      <c r="Q95" t="s">
        <v>49</v>
      </c>
      <c r="R95" t="s">
        <v>37</v>
      </c>
      <c r="S95">
        <v>0</v>
      </c>
      <c r="T95">
        <v>5</v>
      </c>
      <c r="U95" t="s">
        <v>44</v>
      </c>
      <c r="V95" t="s">
        <v>38</v>
      </c>
      <c r="W95" t="s">
        <v>39</v>
      </c>
      <c r="X95" s="3">
        <v>45387</v>
      </c>
      <c r="Y95" s="1" t="str">
        <f t="shared" si="2"/>
        <v>Apr</v>
      </c>
      <c r="Z95" s="1" t="str">
        <f t="shared" si="3"/>
        <v>2024</v>
      </c>
      <c r="AA95" t="b">
        <v>0</v>
      </c>
      <c r="AB95" t="b">
        <v>0</v>
      </c>
      <c r="AC95" t="s">
        <v>40</v>
      </c>
      <c r="AD95" t="s">
        <v>41</v>
      </c>
      <c r="AE95">
        <v>12</v>
      </c>
    </row>
    <row r="96" spans="1:31" x14ac:dyDescent="0.3">
      <c r="A96" t="s">
        <v>280</v>
      </c>
      <c r="B96">
        <v>23</v>
      </c>
      <c r="C96" t="str" cm="1">
        <f t="array" ref="C96">_xlfn.IFS(B96&lt;=18,"0-18",B96&lt;=29,"19-29",B96&gt;=49,"30-49",B96&gt;=69,"50-69",TRUE,"70+")</f>
        <v>19-29</v>
      </c>
      <c r="D96" t="s">
        <v>29</v>
      </c>
      <c r="E96" t="s">
        <v>44</v>
      </c>
      <c r="F96" t="s">
        <v>76</v>
      </c>
      <c r="G96" t="s">
        <v>45</v>
      </c>
      <c r="H96" t="s">
        <v>44</v>
      </c>
      <c r="I96" t="s">
        <v>281</v>
      </c>
      <c r="J96" t="s">
        <v>126</v>
      </c>
      <c r="K96" s="2">
        <v>461.09</v>
      </c>
      <c r="L96">
        <v>8</v>
      </c>
      <c r="M96" t="s">
        <v>78</v>
      </c>
      <c r="N96">
        <v>4</v>
      </c>
      <c r="O96">
        <v>1</v>
      </c>
      <c r="P96">
        <v>0</v>
      </c>
      <c r="Q96" t="s">
        <v>49</v>
      </c>
      <c r="R96" t="s">
        <v>37</v>
      </c>
      <c r="S96">
        <v>0</v>
      </c>
      <c r="T96">
        <v>4</v>
      </c>
      <c r="U96" t="s">
        <v>49</v>
      </c>
      <c r="V96" t="s">
        <v>60</v>
      </c>
      <c r="W96" t="s">
        <v>61</v>
      </c>
      <c r="X96" s="3">
        <v>45388</v>
      </c>
      <c r="Y96" s="1" t="str">
        <f t="shared" si="2"/>
        <v>Apr</v>
      </c>
      <c r="Z96" s="1" t="str">
        <f t="shared" si="3"/>
        <v>2024</v>
      </c>
      <c r="AA96" t="b">
        <v>1</v>
      </c>
      <c r="AB96" t="b">
        <v>0</v>
      </c>
      <c r="AC96" t="s">
        <v>40</v>
      </c>
      <c r="AD96" t="s">
        <v>41</v>
      </c>
      <c r="AE96">
        <v>8</v>
      </c>
    </row>
    <row r="97" spans="1:31" x14ac:dyDescent="0.3">
      <c r="A97" t="s">
        <v>282</v>
      </c>
      <c r="B97">
        <v>19</v>
      </c>
      <c r="C97" t="str" cm="1">
        <f t="array" ref="C97">_xlfn.IFS(B97&lt;=18,"0-18",B97&lt;=29,"19-29",B97&gt;=49,"30-49",B97&gt;=69,"50-69",TRUE,"70+")</f>
        <v>19-29</v>
      </c>
      <c r="D97" t="s">
        <v>29</v>
      </c>
      <c r="E97" t="s">
        <v>44</v>
      </c>
      <c r="F97" t="s">
        <v>55</v>
      </c>
      <c r="G97" t="s">
        <v>45</v>
      </c>
      <c r="H97" t="s">
        <v>30</v>
      </c>
      <c r="I97" t="s">
        <v>283</v>
      </c>
      <c r="J97" t="s">
        <v>107</v>
      </c>
      <c r="K97" s="2">
        <v>211.16</v>
      </c>
      <c r="L97">
        <v>5</v>
      </c>
      <c r="M97" t="s">
        <v>48</v>
      </c>
      <c r="N97">
        <v>2</v>
      </c>
      <c r="O97">
        <v>3</v>
      </c>
      <c r="P97">
        <v>1</v>
      </c>
      <c r="Q97" t="s">
        <v>44</v>
      </c>
      <c r="R97" t="s">
        <v>85</v>
      </c>
      <c r="S97">
        <v>0</v>
      </c>
      <c r="T97">
        <v>3</v>
      </c>
      <c r="U97" t="s">
        <v>36</v>
      </c>
      <c r="V97" t="s">
        <v>60</v>
      </c>
      <c r="W97" t="s">
        <v>51</v>
      </c>
      <c r="X97" s="3">
        <v>45389</v>
      </c>
      <c r="Y97" s="1" t="str">
        <f t="shared" si="2"/>
        <v>Apr</v>
      </c>
      <c r="Z97" s="1" t="str">
        <f t="shared" si="3"/>
        <v>2024</v>
      </c>
      <c r="AA97" t="b">
        <v>0</v>
      </c>
      <c r="AB97" t="b">
        <v>0</v>
      </c>
      <c r="AC97" t="s">
        <v>74</v>
      </c>
      <c r="AD97" t="s">
        <v>53</v>
      </c>
      <c r="AE97">
        <v>2</v>
      </c>
    </row>
    <row r="98" spans="1:31" x14ac:dyDescent="0.3">
      <c r="A98" t="s">
        <v>284</v>
      </c>
      <c r="B98">
        <v>23</v>
      </c>
      <c r="C98" t="str" cm="1">
        <f t="array" ref="C98">_xlfn.IFS(B98&lt;=18,"0-18",B98&lt;=29,"19-29",B98&gt;=49,"30-49",B98&gt;=69,"50-69",TRUE,"70+")</f>
        <v>19-29</v>
      </c>
      <c r="D98" t="s">
        <v>29</v>
      </c>
      <c r="E98" t="s">
        <v>30</v>
      </c>
      <c r="F98" t="s">
        <v>69</v>
      </c>
      <c r="G98" t="s">
        <v>32</v>
      </c>
      <c r="H98" t="s">
        <v>44</v>
      </c>
      <c r="I98" t="s">
        <v>285</v>
      </c>
      <c r="J98" t="s">
        <v>101</v>
      </c>
      <c r="K98" s="2">
        <v>421.95</v>
      </c>
      <c r="L98">
        <v>8</v>
      </c>
      <c r="M98" t="s">
        <v>35</v>
      </c>
      <c r="N98">
        <v>3</v>
      </c>
      <c r="O98">
        <v>5</v>
      </c>
      <c r="P98">
        <v>0</v>
      </c>
      <c r="Q98" t="s">
        <v>49</v>
      </c>
      <c r="R98" t="s">
        <v>50</v>
      </c>
      <c r="S98">
        <v>1</v>
      </c>
      <c r="T98">
        <v>1</v>
      </c>
      <c r="U98" t="s">
        <v>36</v>
      </c>
      <c r="V98" t="s">
        <v>60</v>
      </c>
      <c r="W98" t="s">
        <v>66</v>
      </c>
      <c r="X98" s="3">
        <v>45390</v>
      </c>
      <c r="Y98" s="1" t="str">
        <f t="shared" si="2"/>
        <v>Apr</v>
      </c>
      <c r="Z98" s="1" t="str">
        <f t="shared" si="3"/>
        <v>2024</v>
      </c>
      <c r="AA98" t="b">
        <v>0</v>
      </c>
      <c r="AB98" t="b">
        <v>1</v>
      </c>
      <c r="AC98" t="s">
        <v>40</v>
      </c>
      <c r="AD98" t="s">
        <v>41</v>
      </c>
      <c r="AE98">
        <v>7</v>
      </c>
    </row>
    <row r="99" spans="1:31" x14ac:dyDescent="0.3">
      <c r="A99" t="s">
        <v>286</v>
      </c>
      <c r="B99">
        <v>49</v>
      </c>
      <c r="C99" t="str" cm="1">
        <f t="array" ref="C99">_xlfn.IFS(B99&lt;=18,"0-18",B99&lt;=29,"19-29",B99&gt;=49,"30-49",B99&gt;=69,"50-69",TRUE,"70+")</f>
        <v>30-49</v>
      </c>
      <c r="D99" t="s">
        <v>29</v>
      </c>
      <c r="E99" t="s">
        <v>30</v>
      </c>
      <c r="F99" t="s">
        <v>76</v>
      </c>
      <c r="G99" t="s">
        <v>32</v>
      </c>
      <c r="H99" t="s">
        <v>44</v>
      </c>
      <c r="I99" t="s">
        <v>287</v>
      </c>
      <c r="J99" t="s">
        <v>71</v>
      </c>
      <c r="K99" s="2">
        <v>378.59</v>
      </c>
      <c r="L99">
        <v>5</v>
      </c>
      <c r="M99" t="s">
        <v>78</v>
      </c>
      <c r="N99">
        <v>2</v>
      </c>
      <c r="O99">
        <v>1</v>
      </c>
      <c r="P99">
        <v>0</v>
      </c>
      <c r="Q99" t="s">
        <v>36</v>
      </c>
      <c r="R99" t="s">
        <v>37</v>
      </c>
      <c r="S99">
        <v>0</v>
      </c>
      <c r="T99">
        <v>4</v>
      </c>
      <c r="U99" t="s">
        <v>44</v>
      </c>
      <c r="V99" t="s">
        <v>79</v>
      </c>
      <c r="W99" t="s">
        <v>66</v>
      </c>
      <c r="X99" s="3">
        <v>45391</v>
      </c>
      <c r="Y99" s="1" t="str">
        <f t="shared" si="2"/>
        <v>Apr</v>
      </c>
      <c r="Z99" s="1" t="str">
        <f t="shared" si="3"/>
        <v>2024</v>
      </c>
      <c r="AA99" t="b">
        <v>0</v>
      </c>
      <c r="AB99" t="b">
        <v>0</v>
      </c>
      <c r="AC99" t="s">
        <v>52</v>
      </c>
      <c r="AD99" t="s">
        <v>41</v>
      </c>
      <c r="AE99">
        <v>14</v>
      </c>
    </row>
    <row r="100" spans="1:31" x14ac:dyDescent="0.3">
      <c r="A100" t="s">
        <v>288</v>
      </c>
      <c r="B100">
        <v>23</v>
      </c>
      <c r="C100" t="str" cm="1">
        <f t="array" ref="C100">_xlfn.IFS(B100&lt;=18,"0-18",B100&lt;=29,"19-29",B100&gt;=49,"30-49",B100&gt;=69,"50-69",TRUE,"70+")</f>
        <v>19-29</v>
      </c>
      <c r="D100" t="s">
        <v>190</v>
      </c>
      <c r="E100" t="s">
        <v>44</v>
      </c>
      <c r="F100" t="s">
        <v>76</v>
      </c>
      <c r="G100" t="s">
        <v>45</v>
      </c>
      <c r="H100" t="s">
        <v>44</v>
      </c>
      <c r="I100" t="s">
        <v>289</v>
      </c>
      <c r="J100" t="s">
        <v>58</v>
      </c>
      <c r="K100" s="2">
        <v>268.93</v>
      </c>
      <c r="L100">
        <v>2</v>
      </c>
      <c r="M100" t="s">
        <v>35</v>
      </c>
      <c r="N100">
        <v>5</v>
      </c>
      <c r="O100">
        <v>5</v>
      </c>
      <c r="P100">
        <v>1</v>
      </c>
      <c r="Q100" t="s">
        <v>49</v>
      </c>
      <c r="R100" t="s">
        <v>85</v>
      </c>
      <c r="S100">
        <v>1</v>
      </c>
      <c r="T100">
        <v>3</v>
      </c>
      <c r="U100" t="s">
        <v>36</v>
      </c>
      <c r="V100" t="s">
        <v>38</v>
      </c>
      <c r="W100" t="s">
        <v>61</v>
      </c>
      <c r="X100" s="3">
        <v>45392</v>
      </c>
      <c r="Y100" s="1" t="str">
        <f t="shared" si="2"/>
        <v>Apr</v>
      </c>
      <c r="Z100" s="1" t="str">
        <f t="shared" si="3"/>
        <v>2024</v>
      </c>
      <c r="AA100" t="b">
        <v>0</v>
      </c>
      <c r="AB100" t="b">
        <v>0</v>
      </c>
      <c r="AC100" t="s">
        <v>62</v>
      </c>
      <c r="AD100" t="s">
        <v>67</v>
      </c>
      <c r="AE100">
        <v>8</v>
      </c>
    </row>
    <row r="101" spans="1:31" x14ac:dyDescent="0.3">
      <c r="A101" t="s">
        <v>290</v>
      </c>
      <c r="B101">
        <v>42</v>
      </c>
      <c r="C101" t="str" cm="1">
        <f t="array" ref="C101">_xlfn.IFS(B101&lt;=18,"0-18",B101&lt;=29,"19-29",B101&gt;=49,"30-49",B101&gt;=69,"50-69",TRUE,"70+")</f>
        <v>70+</v>
      </c>
      <c r="D101" t="s">
        <v>43</v>
      </c>
      <c r="E101" t="s">
        <v>30</v>
      </c>
      <c r="F101" t="s">
        <v>76</v>
      </c>
      <c r="G101" t="s">
        <v>32</v>
      </c>
      <c r="H101" t="s">
        <v>44</v>
      </c>
      <c r="I101" t="s">
        <v>291</v>
      </c>
      <c r="J101" t="s">
        <v>104</v>
      </c>
      <c r="K101" s="2">
        <v>444.87</v>
      </c>
      <c r="L101">
        <v>11</v>
      </c>
      <c r="M101" t="s">
        <v>78</v>
      </c>
      <c r="N101">
        <v>5</v>
      </c>
      <c r="O101">
        <v>4</v>
      </c>
      <c r="P101">
        <v>0</v>
      </c>
      <c r="Q101" t="s">
        <v>49</v>
      </c>
      <c r="R101" t="s">
        <v>50</v>
      </c>
      <c r="S101">
        <v>1</v>
      </c>
      <c r="T101">
        <v>8</v>
      </c>
      <c r="U101" t="s">
        <v>59</v>
      </c>
      <c r="V101" t="s">
        <v>79</v>
      </c>
      <c r="W101" t="s">
        <v>66</v>
      </c>
      <c r="X101" s="3">
        <v>45393</v>
      </c>
      <c r="Y101" s="1" t="str">
        <f t="shared" si="2"/>
        <v>Apr</v>
      </c>
      <c r="Z101" s="1" t="str">
        <f t="shared" si="3"/>
        <v>2024</v>
      </c>
      <c r="AA101" t="b">
        <v>0</v>
      </c>
      <c r="AB101" t="b">
        <v>0</v>
      </c>
      <c r="AC101" t="s">
        <v>52</v>
      </c>
      <c r="AD101" t="s">
        <v>41</v>
      </c>
      <c r="AE101">
        <v>7</v>
      </c>
    </row>
    <row r="102" spans="1:31" x14ac:dyDescent="0.3">
      <c r="A102" t="s">
        <v>292</v>
      </c>
      <c r="B102">
        <v>18</v>
      </c>
      <c r="C102" t="str" cm="1">
        <f t="array" ref="C102">_xlfn.IFS(B102&lt;=18,"0-18",B102&lt;=29,"19-29",B102&gt;=49,"30-49",B102&gt;=69,"50-69",TRUE,"70+")</f>
        <v>0-18</v>
      </c>
      <c r="D102" t="s">
        <v>29</v>
      </c>
      <c r="E102" t="s">
        <v>44</v>
      </c>
      <c r="F102" t="s">
        <v>69</v>
      </c>
      <c r="G102" t="s">
        <v>32</v>
      </c>
      <c r="H102" t="s">
        <v>44</v>
      </c>
      <c r="I102" t="s">
        <v>293</v>
      </c>
      <c r="J102" t="s">
        <v>188</v>
      </c>
      <c r="K102" s="2">
        <v>160.82</v>
      </c>
      <c r="L102">
        <v>7</v>
      </c>
      <c r="M102" t="s">
        <v>48</v>
      </c>
      <c r="N102">
        <v>3</v>
      </c>
      <c r="O102">
        <v>1</v>
      </c>
      <c r="P102">
        <v>1</v>
      </c>
      <c r="Q102" t="s">
        <v>44</v>
      </c>
      <c r="R102" t="s">
        <v>37</v>
      </c>
      <c r="S102">
        <v>0</v>
      </c>
      <c r="T102">
        <v>1</v>
      </c>
      <c r="U102" t="s">
        <v>44</v>
      </c>
      <c r="V102" t="s">
        <v>60</v>
      </c>
      <c r="W102" t="s">
        <v>86</v>
      </c>
      <c r="X102" s="3">
        <v>45394</v>
      </c>
      <c r="Y102" s="1" t="str">
        <f t="shared" si="2"/>
        <v>Apr</v>
      </c>
      <c r="Z102" s="1" t="str">
        <f t="shared" si="3"/>
        <v>2024</v>
      </c>
      <c r="AA102" t="b">
        <v>1</v>
      </c>
      <c r="AB102" t="b">
        <v>1</v>
      </c>
      <c r="AC102" t="s">
        <v>52</v>
      </c>
      <c r="AD102" t="s">
        <v>41</v>
      </c>
      <c r="AE102">
        <v>3</v>
      </c>
    </row>
    <row r="103" spans="1:31" x14ac:dyDescent="0.3">
      <c r="A103" t="s">
        <v>294</v>
      </c>
      <c r="B103">
        <v>35</v>
      </c>
      <c r="C103" t="str" cm="1">
        <f t="array" ref="C103">_xlfn.IFS(B103&lt;=18,"0-18",B103&lt;=29,"19-29",B103&gt;=49,"30-49",B103&gt;=69,"50-69",TRUE,"70+")</f>
        <v>70+</v>
      </c>
      <c r="D103" t="s">
        <v>43</v>
      </c>
      <c r="E103" t="s">
        <v>44</v>
      </c>
      <c r="F103" t="s">
        <v>55</v>
      </c>
      <c r="G103" t="s">
        <v>56</v>
      </c>
      <c r="H103" t="s">
        <v>30</v>
      </c>
      <c r="I103" t="s">
        <v>295</v>
      </c>
      <c r="J103" t="s">
        <v>107</v>
      </c>
      <c r="K103" s="2">
        <v>494.18</v>
      </c>
      <c r="L103">
        <v>6</v>
      </c>
      <c r="M103" t="s">
        <v>35</v>
      </c>
      <c r="N103">
        <v>4</v>
      </c>
      <c r="O103">
        <v>5</v>
      </c>
      <c r="P103">
        <v>1</v>
      </c>
      <c r="Q103" t="s">
        <v>49</v>
      </c>
      <c r="R103" t="s">
        <v>50</v>
      </c>
      <c r="S103">
        <v>1</v>
      </c>
      <c r="T103">
        <v>2</v>
      </c>
      <c r="U103" t="s">
        <v>36</v>
      </c>
      <c r="V103" t="s">
        <v>79</v>
      </c>
      <c r="W103" t="s">
        <v>86</v>
      </c>
      <c r="X103" s="3">
        <v>45395</v>
      </c>
      <c r="Y103" s="1" t="str">
        <f t="shared" si="2"/>
        <v>Apr</v>
      </c>
      <c r="Z103" s="1" t="str">
        <f t="shared" si="3"/>
        <v>2024</v>
      </c>
      <c r="AA103" t="b">
        <v>0</v>
      </c>
      <c r="AB103" t="b">
        <v>0</v>
      </c>
      <c r="AC103" t="s">
        <v>40</v>
      </c>
      <c r="AD103" t="s">
        <v>53</v>
      </c>
      <c r="AE103">
        <v>14</v>
      </c>
    </row>
    <row r="104" spans="1:31" x14ac:dyDescent="0.3">
      <c r="A104" t="s">
        <v>296</v>
      </c>
      <c r="B104">
        <v>22</v>
      </c>
      <c r="C104" t="str" cm="1">
        <f t="array" ref="C104">_xlfn.IFS(B104&lt;=18,"0-18",B104&lt;=29,"19-29",B104&gt;=49,"30-49",B104&gt;=69,"50-69",TRUE,"70+")</f>
        <v>19-29</v>
      </c>
      <c r="D104" t="s">
        <v>43</v>
      </c>
      <c r="E104" t="s">
        <v>30</v>
      </c>
      <c r="F104" t="s">
        <v>55</v>
      </c>
      <c r="G104" t="s">
        <v>32</v>
      </c>
      <c r="H104" t="s">
        <v>30</v>
      </c>
      <c r="I104" t="s">
        <v>297</v>
      </c>
      <c r="J104" t="s">
        <v>65</v>
      </c>
      <c r="K104" s="2">
        <v>177.05</v>
      </c>
      <c r="L104">
        <v>5</v>
      </c>
      <c r="M104" t="s">
        <v>78</v>
      </c>
      <c r="N104">
        <v>3</v>
      </c>
      <c r="O104">
        <v>1</v>
      </c>
      <c r="P104">
        <v>1</v>
      </c>
      <c r="Q104" t="s">
        <v>36</v>
      </c>
      <c r="R104" t="s">
        <v>37</v>
      </c>
      <c r="S104">
        <v>2</v>
      </c>
      <c r="T104">
        <v>1</v>
      </c>
      <c r="U104" t="s">
        <v>59</v>
      </c>
      <c r="V104" t="s">
        <v>38</v>
      </c>
      <c r="W104" t="s">
        <v>86</v>
      </c>
      <c r="X104" s="3">
        <v>45396</v>
      </c>
      <c r="Y104" s="1" t="str">
        <f t="shared" si="2"/>
        <v>Apr</v>
      </c>
      <c r="Z104" s="1" t="str">
        <f t="shared" si="3"/>
        <v>2024</v>
      </c>
      <c r="AA104" t="b">
        <v>1</v>
      </c>
      <c r="AB104" t="b">
        <v>1</v>
      </c>
      <c r="AC104" t="s">
        <v>62</v>
      </c>
      <c r="AD104" t="s">
        <v>53</v>
      </c>
      <c r="AE104">
        <v>1</v>
      </c>
    </row>
    <row r="105" spans="1:31" x14ac:dyDescent="0.3">
      <c r="A105" t="s">
        <v>298</v>
      </c>
      <c r="B105">
        <v>28</v>
      </c>
      <c r="C105" t="str" cm="1">
        <f t="array" ref="C105">_xlfn.IFS(B105&lt;=18,"0-18",B105&lt;=29,"19-29",B105&gt;=49,"30-49",B105&gt;=69,"50-69",TRUE,"70+")</f>
        <v>19-29</v>
      </c>
      <c r="D105" t="s">
        <v>29</v>
      </c>
      <c r="E105" t="s">
        <v>30</v>
      </c>
      <c r="F105" t="s">
        <v>31</v>
      </c>
      <c r="G105" t="s">
        <v>56</v>
      </c>
      <c r="H105" t="s">
        <v>44</v>
      </c>
      <c r="I105" t="s">
        <v>299</v>
      </c>
      <c r="J105" t="s">
        <v>47</v>
      </c>
      <c r="K105" s="2">
        <v>450.66</v>
      </c>
      <c r="L105">
        <v>7</v>
      </c>
      <c r="M105" t="s">
        <v>48</v>
      </c>
      <c r="N105">
        <v>2</v>
      </c>
      <c r="O105">
        <v>5</v>
      </c>
      <c r="P105">
        <v>0</v>
      </c>
      <c r="Q105" t="s">
        <v>44</v>
      </c>
      <c r="R105" t="s">
        <v>37</v>
      </c>
      <c r="S105">
        <v>2</v>
      </c>
      <c r="T105">
        <v>4</v>
      </c>
      <c r="U105" t="s">
        <v>49</v>
      </c>
      <c r="V105" t="s">
        <v>38</v>
      </c>
      <c r="W105" t="s">
        <v>39</v>
      </c>
      <c r="X105" s="3">
        <v>45397</v>
      </c>
      <c r="Y105" s="1" t="str">
        <f t="shared" si="2"/>
        <v>Apr</v>
      </c>
      <c r="Z105" s="1" t="str">
        <f t="shared" si="3"/>
        <v>2024</v>
      </c>
      <c r="AA105" t="b">
        <v>0</v>
      </c>
      <c r="AB105" t="b">
        <v>1</v>
      </c>
      <c r="AC105" t="s">
        <v>40</v>
      </c>
      <c r="AD105" t="s">
        <v>41</v>
      </c>
      <c r="AE105">
        <v>9</v>
      </c>
    </row>
    <row r="106" spans="1:31" x14ac:dyDescent="0.3">
      <c r="A106" t="s">
        <v>300</v>
      </c>
      <c r="B106">
        <v>42</v>
      </c>
      <c r="C106" t="str" cm="1">
        <f t="array" ref="C106">_xlfn.IFS(B106&lt;=18,"0-18",B106&lt;=29,"19-29",B106&gt;=49,"30-49",B106&gt;=69,"50-69",TRUE,"70+")</f>
        <v>70+</v>
      </c>
      <c r="D106" t="s">
        <v>29</v>
      </c>
      <c r="E106" t="s">
        <v>44</v>
      </c>
      <c r="F106" t="s">
        <v>31</v>
      </c>
      <c r="G106" t="s">
        <v>32</v>
      </c>
      <c r="H106" t="s">
        <v>30</v>
      </c>
      <c r="I106" t="s">
        <v>301</v>
      </c>
      <c r="J106" t="s">
        <v>135</v>
      </c>
      <c r="K106" s="2">
        <v>164.27</v>
      </c>
      <c r="L106">
        <v>6</v>
      </c>
      <c r="M106" t="s">
        <v>78</v>
      </c>
      <c r="N106">
        <v>5</v>
      </c>
      <c r="O106">
        <v>3</v>
      </c>
      <c r="P106">
        <v>2</v>
      </c>
      <c r="Q106" t="s">
        <v>44</v>
      </c>
      <c r="R106" t="s">
        <v>50</v>
      </c>
      <c r="S106">
        <v>2</v>
      </c>
      <c r="T106">
        <v>7</v>
      </c>
      <c r="U106" t="s">
        <v>59</v>
      </c>
      <c r="V106" t="s">
        <v>79</v>
      </c>
      <c r="W106" t="s">
        <v>51</v>
      </c>
      <c r="X106" s="3">
        <v>45398</v>
      </c>
      <c r="Y106" s="1" t="str">
        <f t="shared" si="2"/>
        <v>Apr</v>
      </c>
      <c r="Z106" s="1" t="str">
        <f t="shared" si="3"/>
        <v>2024</v>
      </c>
      <c r="AA106" t="b">
        <v>1</v>
      </c>
      <c r="AB106" t="b">
        <v>0</v>
      </c>
      <c r="AC106" t="s">
        <v>52</v>
      </c>
      <c r="AD106" t="s">
        <v>41</v>
      </c>
      <c r="AE106">
        <v>14</v>
      </c>
    </row>
    <row r="107" spans="1:31" x14ac:dyDescent="0.3">
      <c r="A107" t="s">
        <v>302</v>
      </c>
      <c r="B107">
        <v>37</v>
      </c>
      <c r="C107" t="str" cm="1">
        <f t="array" ref="C107">_xlfn.IFS(B107&lt;=18,"0-18",B107&lt;=29,"19-29",B107&gt;=49,"30-49",B107&gt;=69,"50-69",TRUE,"70+")</f>
        <v>70+</v>
      </c>
      <c r="D107" t="s">
        <v>29</v>
      </c>
      <c r="E107" t="s">
        <v>30</v>
      </c>
      <c r="F107" t="s">
        <v>69</v>
      </c>
      <c r="G107" t="s">
        <v>56</v>
      </c>
      <c r="H107" t="s">
        <v>44</v>
      </c>
      <c r="I107" t="s">
        <v>303</v>
      </c>
      <c r="J107" t="s">
        <v>47</v>
      </c>
      <c r="K107" s="2">
        <v>346.36</v>
      </c>
      <c r="L107">
        <v>12</v>
      </c>
      <c r="M107" t="s">
        <v>35</v>
      </c>
      <c r="N107">
        <v>4</v>
      </c>
      <c r="O107">
        <v>5</v>
      </c>
      <c r="P107">
        <v>0</v>
      </c>
      <c r="Q107" t="s">
        <v>49</v>
      </c>
      <c r="R107" t="s">
        <v>37</v>
      </c>
      <c r="S107">
        <v>0</v>
      </c>
      <c r="T107">
        <v>7</v>
      </c>
      <c r="U107" t="s">
        <v>49</v>
      </c>
      <c r="V107" t="s">
        <v>60</v>
      </c>
      <c r="W107" t="s">
        <v>39</v>
      </c>
      <c r="X107" s="3">
        <v>45399</v>
      </c>
      <c r="Y107" s="1" t="str">
        <f t="shared" si="2"/>
        <v>Apr</v>
      </c>
      <c r="Z107" s="1" t="str">
        <f t="shared" si="3"/>
        <v>2024</v>
      </c>
      <c r="AA107" t="b">
        <v>0</v>
      </c>
      <c r="AB107" t="b">
        <v>0</v>
      </c>
      <c r="AC107" t="s">
        <v>40</v>
      </c>
      <c r="AD107" t="s">
        <v>53</v>
      </c>
      <c r="AE107">
        <v>14</v>
      </c>
    </row>
    <row r="108" spans="1:31" x14ac:dyDescent="0.3">
      <c r="A108" t="s">
        <v>304</v>
      </c>
      <c r="B108">
        <v>33</v>
      </c>
      <c r="C108" t="str" cm="1">
        <f t="array" ref="C108">_xlfn.IFS(B108&lt;=18,"0-18",B108&lt;=29,"19-29",B108&gt;=49,"30-49",B108&gt;=69,"50-69",TRUE,"70+")</f>
        <v>70+</v>
      </c>
      <c r="D108" t="s">
        <v>29</v>
      </c>
      <c r="E108" t="s">
        <v>30</v>
      </c>
      <c r="F108" t="s">
        <v>69</v>
      </c>
      <c r="G108" t="s">
        <v>45</v>
      </c>
      <c r="H108" t="s">
        <v>44</v>
      </c>
      <c r="I108" t="s">
        <v>305</v>
      </c>
      <c r="J108" t="s">
        <v>101</v>
      </c>
      <c r="K108" s="2">
        <v>377.77</v>
      </c>
      <c r="L108">
        <v>9</v>
      </c>
      <c r="M108" t="s">
        <v>35</v>
      </c>
      <c r="N108">
        <v>4</v>
      </c>
      <c r="O108">
        <v>2</v>
      </c>
      <c r="P108">
        <v>1</v>
      </c>
      <c r="Q108" t="s">
        <v>49</v>
      </c>
      <c r="R108" t="s">
        <v>50</v>
      </c>
      <c r="S108">
        <v>1</v>
      </c>
      <c r="T108">
        <v>5</v>
      </c>
      <c r="U108" t="s">
        <v>49</v>
      </c>
      <c r="V108" t="s">
        <v>38</v>
      </c>
      <c r="W108" t="s">
        <v>39</v>
      </c>
      <c r="X108" s="3">
        <v>45400</v>
      </c>
      <c r="Y108" s="1" t="str">
        <f t="shared" si="2"/>
        <v>Apr</v>
      </c>
      <c r="Z108" s="1" t="str">
        <f t="shared" si="3"/>
        <v>2024</v>
      </c>
      <c r="AA108" t="b">
        <v>1</v>
      </c>
      <c r="AB108" t="b">
        <v>1</v>
      </c>
      <c r="AC108" t="s">
        <v>62</v>
      </c>
      <c r="AD108" t="s">
        <v>53</v>
      </c>
      <c r="AE108">
        <v>3</v>
      </c>
    </row>
    <row r="109" spans="1:31" x14ac:dyDescent="0.3">
      <c r="A109" t="s">
        <v>306</v>
      </c>
      <c r="B109">
        <v>46</v>
      </c>
      <c r="C109" t="str" cm="1">
        <f t="array" ref="C109">_xlfn.IFS(B109&lt;=18,"0-18",B109&lt;=29,"19-29",B109&gt;=49,"30-49",B109&gt;=69,"50-69",TRUE,"70+")</f>
        <v>70+</v>
      </c>
      <c r="D109" t="s">
        <v>29</v>
      </c>
      <c r="E109" t="s">
        <v>30</v>
      </c>
      <c r="F109" t="s">
        <v>69</v>
      </c>
      <c r="G109" t="s">
        <v>45</v>
      </c>
      <c r="H109" t="s">
        <v>30</v>
      </c>
      <c r="I109" t="s">
        <v>307</v>
      </c>
      <c r="J109" t="s">
        <v>194</v>
      </c>
      <c r="K109" s="2">
        <v>163.41</v>
      </c>
      <c r="L109">
        <v>2</v>
      </c>
      <c r="M109" t="s">
        <v>48</v>
      </c>
      <c r="N109">
        <v>5</v>
      </c>
      <c r="O109">
        <v>5</v>
      </c>
      <c r="P109">
        <v>2</v>
      </c>
      <c r="Q109" t="s">
        <v>59</v>
      </c>
      <c r="R109" t="s">
        <v>50</v>
      </c>
      <c r="S109">
        <v>1</v>
      </c>
      <c r="T109">
        <v>8</v>
      </c>
      <c r="U109" t="s">
        <v>44</v>
      </c>
      <c r="V109" t="s">
        <v>79</v>
      </c>
      <c r="W109" t="s">
        <v>66</v>
      </c>
      <c r="X109" s="3">
        <v>45401</v>
      </c>
      <c r="Y109" s="1" t="str">
        <f t="shared" si="2"/>
        <v>Apr</v>
      </c>
      <c r="Z109" s="1" t="str">
        <f t="shared" si="3"/>
        <v>2024</v>
      </c>
      <c r="AA109" t="b">
        <v>1</v>
      </c>
      <c r="AB109" t="b">
        <v>1</v>
      </c>
      <c r="AC109" t="s">
        <v>40</v>
      </c>
      <c r="AD109" t="s">
        <v>67</v>
      </c>
      <c r="AE109">
        <v>4</v>
      </c>
    </row>
    <row r="110" spans="1:31" x14ac:dyDescent="0.3">
      <c r="A110" t="s">
        <v>308</v>
      </c>
      <c r="B110">
        <v>30</v>
      </c>
      <c r="C110" t="str" cm="1">
        <f t="array" ref="C110">_xlfn.IFS(B110&lt;=18,"0-18",B110&lt;=29,"19-29",B110&gt;=49,"30-49",B110&gt;=69,"50-69",TRUE,"70+")</f>
        <v>70+</v>
      </c>
      <c r="D110" t="s">
        <v>29</v>
      </c>
      <c r="E110" t="s">
        <v>30</v>
      </c>
      <c r="F110" t="s">
        <v>76</v>
      </c>
      <c r="G110" t="s">
        <v>56</v>
      </c>
      <c r="H110" t="s">
        <v>30</v>
      </c>
      <c r="I110" t="s">
        <v>309</v>
      </c>
      <c r="J110" t="s">
        <v>107</v>
      </c>
      <c r="K110" s="2">
        <v>467.58</v>
      </c>
      <c r="L110">
        <v>10</v>
      </c>
      <c r="M110" t="s">
        <v>35</v>
      </c>
      <c r="N110">
        <v>1</v>
      </c>
      <c r="O110">
        <v>2</v>
      </c>
      <c r="P110">
        <v>0</v>
      </c>
      <c r="Q110" t="s">
        <v>36</v>
      </c>
      <c r="R110" t="s">
        <v>37</v>
      </c>
      <c r="S110">
        <v>1</v>
      </c>
      <c r="T110">
        <v>6</v>
      </c>
      <c r="U110" t="s">
        <v>59</v>
      </c>
      <c r="V110" t="s">
        <v>79</v>
      </c>
      <c r="W110" t="s">
        <v>51</v>
      </c>
      <c r="X110" s="3">
        <v>45402</v>
      </c>
      <c r="Y110" s="1" t="str">
        <f t="shared" si="2"/>
        <v>Apr</v>
      </c>
      <c r="Z110" s="1" t="str">
        <f t="shared" si="3"/>
        <v>2024</v>
      </c>
      <c r="AA110" t="b">
        <v>1</v>
      </c>
      <c r="AB110" t="b">
        <v>1</v>
      </c>
      <c r="AC110" t="s">
        <v>52</v>
      </c>
      <c r="AD110" t="s">
        <v>53</v>
      </c>
      <c r="AE110">
        <v>7</v>
      </c>
    </row>
    <row r="111" spans="1:31" x14ac:dyDescent="0.3">
      <c r="A111" t="s">
        <v>310</v>
      </c>
      <c r="B111">
        <v>39</v>
      </c>
      <c r="C111" t="str" cm="1">
        <f t="array" ref="C111">_xlfn.IFS(B111&lt;=18,"0-18",B111&lt;=29,"19-29",B111&gt;=49,"30-49",B111&gt;=69,"50-69",TRUE,"70+")</f>
        <v>70+</v>
      </c>
      <c r="D111" t="s">
        <v>29</v>
      </c>
      <c r="E111" t="s">
        <v>30</v>
      </c>
      <c r="F111" t="s">
        <v>69</v>
      </c>
      <c r="G111" t="s">
        <v>32</v>
      </c>
      <c r="H111" t="s">
        <v>44</v>
      </c>
      <c r="I111" t="s">
        <v>311</v>
      </c>
      <c r="J111" t="s">
        <v>82</v>
      </c>
      <c r="K111" s="2">
        <v>247.51</v>
      </c>
      <c r="L111">
        <v>10</v>
      </c>
      <c r="M111" t="s">
        <v>35</v>
      </c>
      <c r="N111">
        <v>2</v>
      </c>
      <c r="O111">
        <v>1</v>
      </c>
      <c r="P111">
        <v>2</v>
      </c>
      <c r="Q111" t="s">
        <v>59</v>
      </c>
      <c r="R111" t="s">
        <v>37</v>
      </c>
      <c r="S111">
        <v>1</v>
      </c>
      <c r="T111">
        <v>8</v>
      </c>
      <c r="U111" t="s">
        <v>59</v>
      </c>
      <c r="V111" t="s">
        <v>38</v>
      </c>
      <c r="W111" t="s">
        <v>39</v>
      </c>
      <c r="X111" s="3">
        <v>45403</v>
      </c>
      <c r="Y111" s="1" t="str">
        <f t="shared" si="2"/>
        <v>Apr</v>
      </c>
      <c r="Z111" s="1" t="str">
        <f t="shared" si="3"/>
        <v>2024</v>
      </c>
      <c r="AA111" t="b">
        <v>1</v>
      </c>
      <c r="AB111" t="b">
        <v>0</v>
      </c>
      <c r="AC111" t="s">
        <v>62</v>
      </c>
      <c r="AD111" t="s">
        <v>53</v>
      </c>
      <c r="AE111">
        <v>2</v>
      </c>
    </row>
    <row r="112" spans="1:31" x14ac:dyDescent="0.3">
      <c r="A112" t="s">
        <v>312</v>
      </c>
      <c r="B112">
        <v>25</v>
      </c>
      <c r="C112" t="str" cm="1">
        <f t="array" ref="C112">_xlfn.IFS(B112&lt;=18,"0-18",B112&lt;=29,"19-29",B112&gt;=49,"30-49",B112&gt;=69,"50-69",TRUE,"70+")</f>
        <v>19-29</v>
      </c>
      <c r="D112" t="s">
        <v>29</v>
      </c>
      <c r="E112" t="s">
        <v>30</v>
      </c>
      <c r="F112" t="s">
        <v>55</v>
      </c>
      <c r="G112" t="s">
        <v>45</v>
      </c>
      <c r="H112" t="s">
        <v>44</v>
      </c>
      <c r="I112" t="s">
        <v>313</v>
      </c>
      <c r="J112" t="s">
        <v>58</v>
      </c>
      <c r="K112" s="2">
        <v>365.1</v>
      </c>
      <c r="L112">
        <v>3</v>
      </c>
      <c r="M112" t="s">
        <v>48</v>
      </c>
      <c r="N112">
        <v>2</v>
      </c>
      <c r="O112">
        <v>3</v>
      </c>
      <c r="P112">
        <v>0</v>
      </c>
      <c r="Q112" t="s">
        <v>36</v>
      </c>
      <c r="R112" t="s">
        <v>50</v>
      </c>
      <c r="S112">
        <v>1</v>
      </c>
      <c r="T112">
        <v>3</v>
      </c>
      <c r="U112" t="s">
        <v>44</v>
      </c>
      <c r="V112" t="s">
        <v>79</v>
      </c>
      <c r="W112" t="s">
        <v>61</v>
      </c>
      <c r="X112" s="3">
        <v>45404</v>
      </c>
      <c r="Y112" s="1" t="str">
        <f t="shared" si="2"/>
        <v>Apr</v>
      </c>
      <c r="Z112" s="1" t="str">
        <f t="shared" si="3"/>
        <v>2024</v>
      </c>
      <c r="AA112" t="b">
        <v>0</v>
      </c>
      <c r="AB112" t="b">
        <v>1</v>
      </c>
      <c r="AC112" t="s">
        <v>52</v>
      </c>
      <c r="AD112" t="s">
        <v>41</v>
      </c>
      <c r="AE112">
        <v>1</v>
      </c>
    </row>
    <row r="113" spans="1:31" x14ac:dyDescent="0.3">
      <c r="A113" t="s">
        <v>314</v>
      </c>
      <c r="B113">
        <v>38</v>
      </c>
      <c r="C113" t="str" cm="1">
        <f t="array" ref="C113">_xlfn.IFS(B113&lt;=18,"0-18",B113&lt;=29,"19-29",B113&gt;=49,"30-49",B113&gt;=69,"50-69",TRUE,"70+")</f>
        <v>70+</v>
      </c>
      <c r="D113" t="s">
        <v>29</v>
      </c>
      <c r="E113" t="s">
        <v>44</v>
      </c>
      <c r="F113" t="s">
        <v>55</v>
      </c>
      <c r="G113" t="s">
        <v>56</v>
      </c>
      <c r="H113" t="s">
        <v>30</v>
      </c>
      <c r="I113" t="s">
        <v>315</v>
      </c>
      <c r="J113" t="s">
        <v>104</v>
      </c>
      <c r="K113" s="2">
        <v>485.42</v>
      </c>
      <c r="L113">
        <v>5</v>
      </c>
      <c r="M113" t="s">
        <v>78</v>
      </c>
      <c r="N113">
        <v>1</v>
      </c>
      <c r="O113">
        <v>2</v>
      </c>
      <c r="P113">
        <v>2</v>
      </c>
      <c r="Q113" t="s">
        <v>44</v>
      </c>
      <c r="R113" t="s">
        <v>37</v>
      </c>
      <c r="S113">
        <v>1</v>
      </c>
      <c r="T113">
        <v>6</v>
      </c>
      <c r="U113" t="s">
        <v>44</v>
      </c>
      <c r="V113" t="s">
        <v>79</v>
      </c>
      <c r="W113" t="s">
        <v>66</v>
      </c>
      <c r="X113" s="3">
        <v>45405</v>
      </c>
      <c r="Y113" s="1" t="str">
        <f t="shared" si="2"/>
        <v>Apr</v>
      </c>
      <c r="Z113" s="1" t="str">
        <f t="shared" si="3"/>
        <v>2024</v>
      </c>
      <c r="AA113" t="b">
        <v>1</v>
      </c>
      <c r="AB113" t="b">
        <v>0</v>
      </c>
      <c r="AC113" t="s">
        <v>52</v>
      </c>
      <c r="AD113" t="s">
        <v>41</v>
      </c>
      <c r="AE113">
        <v>4</v>
      </c>
    </row>
    <row r="114" spans="1:31" x14ac:dyDescent="0.3">
      <c r="A114" t="s">
        <v>316</v>
      </c>
      <c r="B114">
        <v>41</v>
      </c>
      <c r="C114" t="str" cm="1">
        <f t="array" ref="C114">_xlfn.IFS(B114&lt;=18,"0-18",B114&lt;=29,"19-29",B114&gt;=49,"30-49",B114&gt;=69,"50-69",TRUE,"70+")</f>
        <v>70+</v>
      </c>
      <c r="D114" t="s">
        <v>29</v>
      </c>
      <c r="E114" t="s">
        <v>30</v>
      </c>
      <c r="F114" t="s">
        <v>69</v>
      </c>
      <c r="G114" t="s">
        <v>32</v>
      </c>
      <c r="H114" t="s">
        <v>44</v>
      </c>
      <c r="I114" t="s">
        <v>317</v>
      </c>
      <c r="J114" t="s">
        <v>104</v>
      </c>
      <c r="K114" s="2">
        <v>250.54</v>
      </c>
      <c r="L114">
        <v>4</v>
      </c>
      <c r="M114" t="s">
        <v>48</v>
      </c>
      <c r="N114">
        <v>3</v>
      </c>
      <c r="O114">
        <v>3</v>
      </c>
      <c r="P114">
        <v>1</v>
      </c>
      <c r="Q114" t="s">
        <v>44</v>
      </c>
      <c r="R114" t="s">
        <v>50</v>
      </c>
      <c r="S114">
        <v>2</v>
      </c>
      <c r="T114">
        <v>10</v>
      </c>
      <c r="U114" t="s">
        <v>36</v>
      </c>
      <c r="V114" t="s">
        <v>79</v>
      </c>
      <c r="W114" t="s">
        <v>39</v>
      </c>
      <c r="X114" s="3">
        <v>45406</v>
      </c>
      <c r="Y114" s="1" t="str">
        <f t="shared" si="2"/>
        <v>Apr</v>
      </c>
      <c r="Z114" s="1" t="str">
        <f t="shared" si="3"/>
        <v>2024</v>
      </c>
      <c r="AA114" t="b">
        <v>0</v>
      </c>
      <c r="AB114" t="b">
        <v>0</v>
      </c>
      <c r="AC114" t="s">
        <v>52</v>
      </c>
      <c r="AD114" t="s">
        <v>41</v>
      </c>
      <c r="AE114">
        <v>3</v>
      </c>
    </row>
    <row r="115" spans="1:31" x14ac:dyDescent="0.3">
      <c r="A115" t="s">
        <v>318</v>
      </c>
      <c r="B115">
        <v>49</v>
      </c>
      <c r="C115" t="str" cm="1">
        <f t="array" ref="C115">_xlfn.IFS(B115&lt;=18,"0-18",B115&lt;=29,"19-29",B115&gt;=49,"30-49",B115&gt;=69,"50-69",TRUE,"70+")</f>
        <v>30-49</v>
      </c>
      <c r="D115" t="s">
        <v>29</v>
      </c>
      <c r="E115" t="s">
        <v>30</v>
      </c>
      <c r="F115" t="s">
        <v>76</v>
      </c>
      <c r="G115" t="s">
        <v>45</v>
      </c>
      <c r="H115" t="s">
        <v>44</v>
      </c>
      <c r="I115" t="s">
        <v>144</v>
      </c>
      <c r="J115" t="s">
        <v>246</v>
      </c>
      <c r="K115" s="2">
        <v>163.13999999999999</v>
      </c>
      <c r="L115">
        <v>5</v>
      </c>
      <c r="M115" t="s">
        <v>35</v>
      </c>
      <c r="N115">
        <v>5</v>
      </c>
      <c r="O115">
        <v>4</v>
      </c>
      <c r="P115">
        <v>0</v>
      </c>
      <c r="Q115" t="s">
        <v>59</v>
      </c>
      <c r="R115" t="s">
        <v>37</v>
      </c>
      <c r="S115">
        <v>1</v>
      </c>
      <c r="T115">
        <v>2</v>
      </c>
      <c r="U115" t="s">
        <v>36</v>
      </c>
      <c r="V115" t="s">
        <v>79</v>
      </c>
      <c r="W115" t="s">
        <v>61</v>
      </c>
      <c r="X115" s="3">
        <v>45407</v>
      </c>
      <c r="Y115" s="1" t="str">
        <f t="shared" si="2"/>
        <v>Apr</v>
      </c>
      <c r="Z115" s="1" t="str">
        <f t="shared" si="3"/>
        <v>2024</v>
      </c>
      <c r="AA115" t="b">
        <v>1</v>
      </c>
      <c r="AB115" t="b">
        <v>1</v>
      </c>
      <c r="AC115" t="s">
        <v>74</v>
      </c>
      <c r="AD115" t="s">
        <v>41</v>
      </c>
      <c r="AE115">
        <v>1</v>
      </c>
    </row>
    <row r="116" spans="1:31" x14ac:dyDescent="0.3">
      <c r="A116" t="s">
        <v>319</v>
      </c>
      <c r="B116">
        <v>21</v>
      </c>
      <c r="C116" t="str" cm="1">
        <f t="array" ref="C116">_xlfn.IFS(B116&lt;=18,"0-18",B116&lt;=29,"19-29",B116&gt;=49,"30-49",B116&gt;=69,"50-69",TRUE,"70+")</f>
        <v>19-29</v>
      </c>
      <c r="D116" t="s">
        <v>43</v>
      </c>
      <c r="E116" t="s">
        <v>44</v>
      </c>
      <c r="F116" t="s">
        <v>76</v>
      </c>
      <c r="G116" t="s">
        <v>32</v>
      </c>
      <c r="H116" t="s">
        <v>30</v>
      </c>
      <c r="I116" t="s">
        <v>320</v>
      </c>
      <c r="J116" t="s">
        <v>34</v>
      </c>
      <c r="K116" s="2">
        <v>162.31</v>
      </c>
      <c r="L116">
        <v>8</v>
      </c>
      <c r="M116" t="s">
        <v>48</v>
      </c>
      <c r="N116">
        <v>5</v>
      </c>
      <c r="O116">
        <v>1</v>
      </c>
      <c r="P116">
        <v>1</v>
      </c>
      <c r="Q116" t="s">
        <v>44</v>
      </c>
      <c r="R116" t="s">
        <v>85</v>
      </c>
      <c r="S116">
        <v>1</v>
      </c>
      <c r="T116">
        <v>2</v>
      </c>
      <c r="U116" t="s">
        <v>49</v>
      </c>
      <c r="V116" t="s">
        <v>38</v>
      </c>
      <c r="W116" t="s">
        <v>39</v>
      </c>
      <c r="X116" s="3">
        <v>45408</v>
      </c>
      <c r="Y116" s="1" t="str">
        <f t="shared" si="2"/>
        <v>Apr</v>
      </c>
      <c r="Z116" s="1" t="str">
        <f t="shared" si="3"/>
        <v>2024</v>
      </c>
      <c r="AA116" t="b">
        <v>0</v>
      </c>
      <c r="AB116" t="b">
        <v>0</v>
      </c>
      <c r="AC116" t="s">
        <v>40</v>
      </c>
      <c r="AD116" t="s">
        <v>41</v>
      </c>
      <c r="AE116">
        <v>11</v>
      </c>
    </row>
    <row r="117" spans="1:31" x14ac:dyDescent="0.3">
      <c r="A117" t="s">
        <v>321</v>
      </c>
      <c r="B117">
        <v>37</v>
      </c>
      <c r="C117" t="str" cm="1">
        <f t="array" ref="C117">_xlfn.IFS(B117&lt;=18,"0-18",B117&lt;=29,"19-29",B117&gt;=49,"30-49",B117&gt;=69,"50-69",TRUE,"70+")</f>
        <v>70+</v>
      </c>
      <c r="D117" t="s">
        <v>43</v>
      </c>
      <c r="E117" t="s">
        <v>30</v>
      </c>
      <c r="F117" t="s">
        <v>69</v>
      </c>
      <c r="G117" t="s">
        <v>56</v>
      </c>
      <c r="H117" t="s">
        <v>44</v>
      </c>
      <c r="I117" t="s">
        <v>322</v>
      </c>
      <c r="J117" t="s">
        <v>58</v>
      </c>
      <c r="K117" s="2">
        <v>328.21</v>
      </c>
      <c r="L117">
        <v>7</v>
      </c>
      <c r="M117" t="s">
        <v>35</v>
      </c>
      <c r="N117">
        <v>5</v>
      </c>
      <c r="O117">
        <v>5</v>
      </c>
      <c r="P117">
        <v>2</v>
      </c>
      <c r="Q117" t="s">
        <v>59</v>
      </c>
      <c r="R117" t="s">
        <v>50</v>
      </c>
      <c r="S117">
        <v>2</v>
      </c>
      <c r="T117">
        <v>2</v>
      </c>
      <c r="U117" t="s">
        <v>59</v>
      </c>
      <c r="V117" t="s">
        <v>60</v>
      </c>
      <c r="W117" t="s">
        <v>39</v>
      </c>
      <c r="X117" s="3">
        <v>45409</v>
      </c>
      <c r="Y117" s="1" t="str">
        <f t="shared" si="2"/>
        <v>Apr</v>
      </c>
      <c r="Z117" s="1" t="str">
        <f t="shared" si="3"/>
        <v>2024</v>
      </c>
      <c r="AA117" t="b">
        <v>0</v>
      </c>
      <c r="AB117" t="b">
        <v>0</v>
      </c>
      <c r="AC117" t="s">
        <v>40</v>
      </c>
      <c r="AD117" t="s">
        <v>41</v>
      </c>
      <c r="AE117">
        <v>12</v>
      </c>
    </row>
    <row r="118" spans="1:31" x14ac:dyDescent="0.3">
      <c r="A118" t="s">
        <v>323</v>
      </c>
      <c r="B118">
        <v>30</v>
      </c>
      <c r="C118" t="str" cm="1">
        <f t="array" ref="C118">_xlfn.IFS(B118&lt;=18,"0-18",B118&lt;=29,"19-29",B118&gt;=49,"30-49",B118&gt;=69,"50-69",TRUE,"70+")</f>
        <v>70+</v>
      </c>
      <c r="D118" t="s">
        <v>29</v>
      </c>
      <c r="E118" t="s">
        <v>44</v>
      </c>
      <c r="F118" t="s">
        <v>31</v>
      </c>
      <c r="G118" t="s">
        <v>56</v>
      </c>
      <c r="H118" t="s">
        <v>44</v>
      </c>
      <c r="I118" t="s">
        <v>324</v>
      </c>
      <c r="J118" t="s">
        <v>90</v>
      </c>
      <c r="K118" s="2">
        <v>268.58999999999997</v>
      </c>
      <c r="L118">
        <v>4</v>
      </c>
      <c r="M118" t="s">
        <v>78</v>
      </c>
      <c r="N118">
        <v>3</v>
      </c>
      <c r="O118">
        <v>3</v>
      </c>
      <c r="P118">
        <v>1</v>
      </c>
      <c r="Q118" t="s">
        <v>44</v>
      </c>
      <c r="R118" t="s">
        <v>85</v>
      </c>
      <c r="S118">
        <v>1</v>
      </c>
      <c r="T118">
        <v>1</v>
      </c>
      <c r="U118" t="s">
        <v>49</v>
      </c>
      <c r="V118" t="s">
        <v>79</v>
      </c>
      <c r="W118" t="s">
        <v>61</v>
      </c>
      <c r="X118" s="3">
        <v>45410</v>
      </c>
      <c r="Y118" s="1" t="str">
        <f t="shared" si="2"/>
        <v>Apr</v>
      </c>
      <c r="Z118" s="1" t="str">
        <f t="shared" si="3"/>
        <v>2024</v>
      </c>
      <c r="AA118" t="b">
        <v>1</v>
      </c>
      <c r="AB118" t="b">
        <v>1</v>
      </c>
      <c r="AC118" t="s">
        <v>40</v>
      </c>
      <c r="AD118" t="s">
        <v>53</v>
      </c>
      <c r="AE118">
        <v>3</v>
      </c>
    </row>
    <row r="119" spans="1:31" x14ac:dyDescent="0.3">
      <c r="A119" t="s">
        <v>325</v>
      </c>
      <c r="B119">
        <v>18</v>
      </c>
      <c r="C119" t="str" cm="1">
        <f t="array" ref="C119">_xlfn.IFS(B119&lt;=18,"0-18",B119&lt;=29,"19-29",B119&gt;=49,"30-49",B119&gt;=69,"50-69",TRUE,"70+")</f>
        <v>0-18</v>
      </c>
      <c r="D119" t="s">
        <v>29</v>
      </c>
      <c r="E119" t="s">
        <v>44</v>
      </c>
      <c r="F119" t="s">
        <v>76</v>
      </c>
      <c r="G119" t="s">
        <v>45</v>
      </c>
      <c r="H119" t="s">
        <v>44</v>
      </c>
      <c r="I119" t="s">
        <v>326</v>
      </c>
      <c r="J119" t="s">
        <v>117</v>
      </c>
      <c r="K119" s="2">
        <v>257.37</v>
      </c>
      <c r="L119">
        <v>7</v>
      </c>
      <c r="M119" t="s">
        <v>78</v>
      </c>
      <c r="N119">
        <v>3</v>
      </c>
      <c r="O119">
        <v>3</v>
      </c>
      <c r="P119">
        <v>0</v>
      </c>
      <c r="Q119" t="s">
        <v>49</v>
      </c>
      <c r="R119" t="s">
        <v>85</v>
      </c>
      <c r="S119">
        <v>2</v>
      </c>
      <c r="T119">
        <v>5</v>
      </c>
      <c r="U119" t="s">
        <v>49</v>
      </c>
      <c r="V119" t="s">
        <v>60</v>
      </c>
      <c r="W119" t="s">
        <v>51</v>
      </c>
      <c r="X119" s="3">
        <v>45411</v>
      </c>
      <c r="Y119" s="1" t="str">
        <f t="shared" si="2"/>
        <v>Apr</v>
      </c>
      <c r="Z119" s="1" t="str">
        <f t="shared" si="3"/>
        <v>2024</v>
      </c>
      <c r="AA119" t="b">
        <v>1</v>
      </c>
      <c r="AB119" t="b">
        <v>0</v>
      </c>
      <c r="AC119" t="s">
        <v>52</v>
      </c>
      <c r="AD119" t="s">
        <v>67</v>
      </c>
      <c r="AE119">
        <v>13</v>
      </c>
    </row>
    <row r="120" spans="1:31" x14ac:dyDescent="0.3">
      <c r="A120" t="s">
        <v>327</v>
      </c>
      <c r="B120">
        <v>41</v>
      </c>
      <c r="C120" t="str" cm="1">
        <f t="array" ref="C120">_xlfn.IFS(B120&lt;=18,"0-18",B120&lt;=29,"19-29",B120&gt;=49,"30-49",B120&gt;=69,"50-69",TRUE,"70+")</f>
        <v>70+</v>
      </c>
      <c r="D120" t="s">
        <v>29</v>
      </c>
      <c r="E120" t="s">
        <v>30</v>
      </c>
      <c r="F120" t="s">
        <v>55</v>
      </c>
      <c r="G120" t="s">
        <v>45</v>
      </c>
      <c r="H120" t="s">
        <v>44</v>
      </c>
      <c r="I120" t="s">
        <v>328</v>
      </c>
      <c r="J120" t="s">
        <v>58</v>
      </c>
      <c r="K120" s="2">
        <v>205.49</v>
      </c>
      <c r="L120">
        <v>4</v>
      </c>
      <c r="M120" t="s">
        <v>48</v>
      </c>
      <c r="N120">
        <v>5</v>
      </c>
      <c r="O120">
        <v>3</v>
      </c>
      <c r="P120">
        <v>2</v>
      </c>
      <c r="Q120" t="s">
        <v>59</v>
      </c>
      <c r="R120" t="s">
        <v>37</v>
      </c>
      <c r="S120">
        <v>2</v>
      </c>
      <c r="T120">
        <v>2</v>
      </c>
      <c r="U120" t="s">
        <v>44</v>
      </c>
      <c r="V120" t="s">
        <v>38</v>
      </c>
      <c r="W120" t="s">
        <v>86</v>
      </c>
      <c r="X120" s="3">
        <v>45412</v>
      </c>
      <c r="Y120" s="1" t="str">
        <f t="shared" si="2"/>
        <v>Apr</v>
      </c>
      <c r="Z120" s="1" t="str">
        <f t="shared" si="3"/>
        <v>2024</v>
      </c>
      <c r="AA120" t="b">
        <v>1</v>
      </c>
      <c r="AB120" t="b">
        <v>0</v>
      </c>
      <c r="AC120" t="s">
        <v>40</v>
      </c>
      <c r="AD120" t="s">
        <v>67</v>
      </c>
      <c r="AE120">
        <v>11</v>
      </c>
    </row>
    <row r="121" spans="1:31" x14ac:dyDescent="0.3">
      <c r="A121" t="s">
        <v>329</v>
      </c>
      <c r="B121">
        <v>40</v>
      </c>
      <c r="C121" t="str" cm="1">
        <f t="array" ref="C121">_xlfn.IFS(B121&lt;=18,"0-18",B121&lt;=29,"19-29",B121&gt;=49,"30-49",B121&gt;=69,"50-69",TRUE,"70+")</f>
        <v>70+</v>
      </c>
      <c r="D121" t="s">
        <v>43</v>
      </c>
      <c r="E121" t="s">
        <v>44</v>
      </c>
      <c r="F121" t="s">
        <v>76</v>
      </c>
      <c r="G121" t="s">
        <v>56</v>
      </c>
      <c r="H121" t="s">
        <v>44</v>
      </c>
      <c r="I121" t="s">
        <v>330</v>
      </c>
      <c r="J121" t="s">
        <v>93</v>
      </c>
      <c r="K121" s="2">
        <v>407.91</v>
      </c>
      <c r="L121">
        <v>7</v>
      </c>
      <c r="M121" t="s">
        <v>48</v>
      </c>
      <c r="N121">
        <v>2</v>
      </c>
      <c r="O121">
        <v>5</v>
      </c>
      <c r="P121">
        <v>0</v>
      </c>
      <c r="Q121" t="s">
        <v>59</v>
      </c>
      <c r="R121" t="s">
        <v>50</v>
      </c>
      <c r="S121">
        <v>0</v>
      </c>
      <c r="T121">
        <v>5</v>
      </c>
      <c r="U121" t="s">
        <v>59</v>
      </c>
      <c r="V121" t="s">
        <v>38</v>
      </c>
      <c r="W121" t="s">
        <v>66</v>
      </c>
      <c r="X121" s="3">
        <v>45413</v>
      </c>
      <c r="Y121" s="1" t="str">
        <f t="shared" si="2"/>
        <v>May</v>
      </c>
      <c r="Z121" s="1" t="str">
        <f t="shared" si="3"/>
        <v>2024</v>
      </c>
      <c r="AA121" t="b">
        <v>1</v>
      </c>
      <c r="AB121" t="b">
        <v>1</v>
      </c>
      <c r="AC121" t="s">
        <v>40</v>
      </c>
      <c r="AD121" t="s">
        <v>53</v>
      </c>
      <c r="AE121">
        <v>14</v>
      </c>
    </row>
    <row r="122" spans="1:31" x14ac:dyDescent="0.3">
      <c r="A122" t="s">
        <v>331</v>
      </c>
      <c r="B122">
        <v>33</v>
      </c>
      <c r="C122" t="str" cm="1">
        <f t="array" ref="C122">_xlfn.IFS(B122&lt;=18,"0-18",B122&lt;=29,"19-29",B122&gt;=49,"30-49",B122&gt;=69,"50-69",TRUE,"70+")</f>
        <v>70+</v>
      </c>
      <c r="D122" t="s">
        <v>29</v>
      </c>
      <c r="E122" t="s">
        <v>44</v>
      </c>
      <c r="F122" t="s">
        <v>76</v>
      </c>
      <c r="G122" t="s">
        <v>32</v>
      </c>
      <c r="H122" t="s">
        <v>44</v>
      </c>
      <c r="I122" t="s">
        <v>332</v>
      </c>
      <c r="J122" t="s">
        <v>47</v>
      </c>
      <c r="K122" s="2">
        <v>254.73</v>
      </c>
      <c r="L122">
        <v>6</v>
      </c>
      <c r="M122" t="s">
        <v>78</v>
      </c>
      <c r="N122">
        <v>4</v>
      </c>
      <c r="O122">
        <v>3</v>
      </c>
      <c r="P122">
        <v>0</v>
      </c>
      <c r="Q122" t="s">
        <v>49</v>
      </c>
      <c r="R122" t="s">
        <v>85</v>
      </c>
      <c r="S122">
        <v>0</v>
      </c>
      <c r="T122">
        <v>3</v>
      </c>
      <c r="U122" t="s">
        <v>59</v>
      </c>
      <c r="V122" t="s">
        <v>60</v>
      </c>
      <c r="W122" t="s">
        <v>66</v>
      </c>
      <c r="X122" s="3">
        <v>45414</v>
      </c>
      <c r="Y122" s="1" t="str">
        <f t="shared" si="2"/>
        <v>May</v>
      </c>
      <c r="Z122" s="1" t="str">
        <f t="shared" si="3"/>
        <v>2024</v>
      </c>
      <c r="AA122" t="b">
        <v>1</v>
      </c>
      <c r="AB122" t="b">
        <v>1</v>
      </c>
      <c r="AC122" t="s">
        <v>62</v>
      </c>
      <c r="AD122" t="s">
        <v>67</v>
      </c>
      <c r="AE122">
        <v>3</v>
      </c>
    </row>
    <row r="123" spans="1:31" x14ac:dyDescent="0.3">
      <c r="A123" t="s">
        <v>333</v>
      </c>
      <c r="B123">
        <v>30</v>
      </c>
      <c r="C123" t="str" cm="1">
        <f t="array" ref="C123">_xlfn.IFS(B123&lt;=18,"0-18",B123&lt;=29,"19-29",B123&gt;=49,"30-49",B123&gt;=69,"50-69",TRUE,"70+")</f>
        <v>70+</v>
      </c>
      <c r="D123" t="s">
        <v>29</v>
      </c>
      <c r="E123" t="s">
        <v>30</v>
      </c>
      <c r="F123" t="s">
        <v>76</v>
      </c>
      <c r="G123" t="s">
        <v>32</v>
      </c>
      <c r="H123" t="s">
        <v>44</v>
      </c>
      <c r="I123" t="s">
        <v>334</v>
      </c>
      <c r="J123" t="s">
        <v>183</v>
      </c>
      <c r="K123" s="2">
        <v>397.78</v>
      </c>
      <c r="L123">
        <v>12</v>
      </c>
      <c r="M123" t="s">
        <v>78</v>
      </c>
      <c r="N123">
        <v>3</v>
      </c>
      <c r="O123">
        <v>3</v>
      </c>
      <c r="P123">
        <v>1</v>
      </c>
      <c r="Q123" t="s">
        <v>49</v>
      </c>
      <c r="R123" t="s">
        <v>50</v>
      </c>
      <c r="S123">
        <v>2</v>
      </c>
      <c r="T123">
        <v>7</v>
      </c>
      <c r="U123" t="s">
        <v>49</v>
      </c>
      <c r="V123" t="s">
        <v>60</v>
      </c>
      <c r="W123" t="s">
        <v>51</v>
      </c>
      <c r="X123" s="3">
        <v>45415</v>
      </c>
      <c r="Y123" s="1" t="str">
        <f t="shared" si="2"/>
        <v>May</v>
      </c>
      <c r="Z123" s="1" t="str">
        <f t="shared" si="3"/>
        <v>2024</v>
      </c>
      <c r="AA123" t="b">
        <v>0</v>
      </c>
      <c r="AB123" t="b">
        <v>1</v>
      </c>
      <c r="AC123" t="s">
        <v>62</v>
      </c>
      <c r="AD123" t="s">
        <v>41</v>
      </c>
      <c r="AE123">
        <v>11</v>
      </c>
    </row>
    <row r="124" spans="1:31" x14ac:dyDescent="0.3">
      <c r="A124" t="s">
        <v>335</v>
      </c>
      <c r="B124">
        <v>33</v>
      </c>
      <c r="C124" t="str" cm="1">
        <f t="array" ref="C124">_xlfn.IFS(B124&lt;=18,"0-18",B124&lt;=29,"19-29",B124&gt;=49,"30-49",B124&gt;=69,"50-69",TRUE,"70+")</f>
        <v>70+</v>
      </c>
      <c r="D124" t="s">
        <v>29</v>
      </c>
      <c r="E124" t="s">
        <v>44</v>
      </c>
      <c r="F124" t="s">
        <v>31</v>
      </c>
      <c r="G124" t="s">
        <v>32</v>
      </c>
      <c r="H124" t="s">
        <v>44</v>
      </c>
      <c r="I124" t="s">
        <v>336</v>
      </c>
      <c r="J124" t="s">
        <v>117</v>
      </c>
      <c r="K124" s="2">
        <v>305.29000000000002</v>
      </c>
      <c r="L124">
        <v>3</v>
      </c>
      <c r="M124" t="s">
        <v>78</v>
      </c>
      <c r="N124">
        <v>2</v>
      </c>
      <c r="O124">
        <v>3</v>
      </c>
      <c r="P124">
        <v>1</v>
      </c>
      <c r="Q124" t="s">
        <v>49</v>
      </c>
      <c r="R124" t="s">
        <v>85</v>
      </c>
      <c r="S124">
        <v>1</v>
      </c>
      <c r="T124">
        <v>8</v>
      </c>
      <c r="U124" t="s">
        <v>49</v>
      </c>
      <c r="V124" t="s">
        <v>79</v>
      </c>
      <c r="W124" t="s">
        <v>61</v>
      </c>
      <c r="X124" s="3">
        <v>45416</v>
      </c>
      <c r="Y124" s="1" t="str">
        <f t="shared" si="2"/>
        <v>May</v>
      </c>
      <c r="Z124" s="1" t="str">
        <f t="shared" si="3"/>
        <v>2024</v>
      </c>
      <c r="AA124" t="b">
        <v>1</v>
      </c>
      <c r="AB124" t="b">
        <v>1</v>
      </c>
      <c r="AC124" t="s">
        <v>62</v>
      </c>
      <c r="AD124" t="s">
        <v>53</v>
      </c>
      <c r="AE124">
        <v>10</v>
      </c>
    </row>
    <row r="125" spans="1:31" x14ac:dyDescent="0.3">
      <c r="A125" t="s">
        <v>337</v>
      </c>
      <c r="B125">
        <v>45</v>
      </c>
      <c r="C125" t="str" cm="1">
        <f t="array" ref="C125">_xlfn.IFS(B125&lt;=18,"0-18",B125&lt;=29,"19-29",B125&gt;=49,"30-49",B125&gt;=69,"50-69",TRUE,"70+")</f>
        <v>70+</v>
      </c>
      <c r="D125" t="s">
        <v>43</v>
      </c>
      <c r="E125" t="s">
        <v>30</v>
      </c>
      <c r="F125" t="s">
        <v>76</v>
      </c>
      <c r="G125" t="s">
        <v>45</v>
      </c>
      <c r="H125" t="s">
        <v>44</v>
      </c>
      <c r="I125" t="s">
        <v>338</v>
      </c>
      <c r="J125" t="s">
        <v>47</v>
      </c>
      <c r="K125" s="2">
        <v>257.86</v>
      </c>
      <c r="L125">
        <v>6</v>
      </c>
      <c r="M125" t="s">
        <v>78</v>
      </c>
      <c r="N125">
        <v>2</v>
      </c>
      <c r="O125">
        <v>2</v>
      </c>
      <c r="P125">
        <v>0</v>
      </c>
      <c r="Q125" t="s">
        <v>36</v>
      </c>
      <c r="R125" t="s">
        <v>37</v>
      </c>
      <c r="S125">
        <v>0</v>
      </c>
      <c r="T125">
        <v>4</v>
      </c>
      <c r="U125" t="s">
        <v>44</v>
      </c>
      <c r="V125" t="s">
        <v>38</v>
      </c>
      <c r="W125" t="s">
        <v>51</v>
      </c>
      <c r="X125" s="3">
        <v>45417</v>
      </c>
      <c r="Y125" s="1" t="str">
        <f t="shared" si="2"/>
        <v>May</v>
      </c>
      <c r="Z125" s="1" t="str">
        <f t="shared" si="3"/>
        <v>2024</v>
      </c>
      <c r="AA125" t="b">
        <v>1</v>
      </c>
      <c r="AB125" t="b">
        <v>1</v>
      </c>
      <c r="AC125" t="s">
        <v>40</v>
      </c>
      <c r="AD125" t="s">
        <v>67</v>
      </c>
      <c r="AE125">
        <v>1</v>
      </c>
    </row>
    <row r="126" spans="1:31" x14ac:dyDescent="0.3">
      <c r="A126" t="s">
        <v>339</v>
      </c>
      <c r="B126">
        <v>42</v>
      </c>
      <c r="C126" t="str" cm="1">
        <f t="array" ref="C126">_xlfn.IFS(B126&lt;=18,"0-18",B126&lt;=29,"19-29",B126&gt;=49,"30-49",B126&gt;=69,"50-69",TRUE,"70+")</f>
        <v>70+</v>
      </c>
      <c r="D126" t="s">
        <v>29</v>
      </c>
      <c r="E126" t="s">
        <v>44</v>
      </c>
      <c r="F126" t="s">
        <v>55</v>
      </c>
      <c r="G126" t="s">
        <v>45</v>
      </c>
      <c r="H126" t="s">
        <v>30</v>
      </c>
      <c r="I126" t="s">
        <v>340</v>
      </c>
      <c r="J126" t="s">
        <v>246</v>
      </c>
      <c r="K126" s="2">
        <v>393.45</v>
      </c>
      <c r="L126">
        <v>12</v>
      </c>
      <c r="M126" t="s">
        <v>48</v>
      </c>
      <c r="N126">
        <v>3</v>
      </c>
      <c r="O126">
        <v>1</v>
      </c>
      <c r="P126">
        <v>0</v>
      </c>
      <c r="Q126" t="s">
        <v>59</v>
      </c>
      <c r="R126" t="s">
        <v>37</v>
      </c>
      <c r="S126">
        <v>2</v>
      </c>
      <c r="T126">
        <v>10</v>
      </c>
      <c r="U126" t="s">
        <v>49</v>
      </c>
      <c r="V126" t="s">
        <v>79</v>
      </c>
      <c r="W126" t="s">
        <v>39</v>
      </c>
      <c r="X126" s="3">
        <v>45418</v>
      </c>
      <c r="Y126" s="1" t="str">
        <f t="shared" si="2"/>
        <v>May</v>
      </c>
      <c r="Z126" s="1" t="str">
        <f t="shared" si="3"/>
        <v>2024</v>
      </c>
      <c r="AA126" t="b">
        <v>0</v>
      </c>
      <c r="AB126" t="b">
        <v>0</v>
      </c>
      <c r="AC126" t="s">
        <v>40</v>
      </c>
      <c r="AD126" t="s">
        <v>67</v>
      </c>
      <c r="AE126">
        <v>12</v>
      </c>
    </row>
    <row r="127" spans="1:31" x14ac:dyDescent="0.3">
      <c r="A127" t="s">
        <v>341</v>
      </c>
      <c r="B127">
        <v>30</v>
      </c>
      <c r="C127" t="str" cm="1">
        <f t="array" ref="C127">_xlfn.IFS(B127&lt;=18,"0-18",B127&lt;=29,"19-29",B127&gt;=49,"30-49",B127&gt;=69,"50-69",TRUE,"70+")</f>
        <v>70+</v>
      </c>
      <c r="D127" t="s">
        <v>43</v>
      </c>
      <c r="E127" t="s">
        <v>44</v>
      </c>
      <c r="F127" t="s">
        <v>31</v>
      </c>
      <c r="G127" t="s">
        <v>32</v>
      </c>
      <c r="H127" t="s">
        <v>30</v>
      </c>
      <c r="I127" t="s">
        <v>342</v>
      </c>
      <c r="J127" t="s">
        <v>142</v>
      </c>
      <c r="K127" s="2">
        <v>58.49</v>
      </c>
      <c r="L127">
        <v>6</v>
      </c>
      <c r="M127" t="s">
        <v>78</v>
      </c>
      <c r="N127">
        <v>2</v>
      </c>
      <c r="O127">
        <v>2</v>
      </c>
      <c r="P127">
        <v>0</v>
      </c>
      <c r="Q127" t="s">
        <v>49</v>
      </c>
      <c r="R127" t="s">
        <v>85</v>
      </c>
      <c r="S127">
        <v>0</v>
      </c>
      <c r="T127">
        <v>8</v>
      </c>
      <c r="U127" t="s">
        <v>44</v>
      </c>
      <c r="V127" t="s">
        <v>38</v>
      </c>
      <c r="W127" t="s">
        <v>66</v>
      </c>
      <c r="X127" s="3">
        <v>45419</v>
      </c>
      <c r="Y127" s="1" t="str">
        <f t="shared" si="2"/>
        <v>May</v>
      </c>
      <c r="Z127" s="1" t="str">
        <f t="shared" si="3"/>
        <v>2024</v>
      </c>
      <c r="AA127" t="b">
        <v>1</v>
      </c>
      <c r="AB127" t="b">
        <v>1</v>
      </c>
      <c r="AC127" t="s">
        <v>74</v>
      </c>
      <c r="AD127" t="s">
        <v>67</v>
      </c>
      <c r="AE127">
        <v>7</v>
      </c>
    </row>
    <row r="128" spans="1:31" x14ac:dyDescent="0.3">
      <c r="A128" t="s">
        <v>343</v>
      </c>
      <c r="B128">
        <v>42</v>
      </c>
      <c r="C128" t="str" cm="1">
        <f t="array" ref="C128">_xlfn.IFS(B128&lt;=18,"0-18",B128&lt;=29,"19-29",B128&gt;=49,"30-49",B128&gt;=69,"50-69",TRUE,"70+")</f>
        <v>70+</v>
      </c>
      <c r="D128" t="s">
        <v>43</v>
      </c>
      <c r="E128" t="s">
        <v>30</v>
      </c>
      <c r="F128" t="s">
        <v>55</v>
      </c>
      <c r="G128" t="s">
        <v>45</v>
      </c>
      <c r="H128" t="s">
        <v>30</v>
      </c>
      <c r="I128" t="s">
        <v>344</v>
      </c>
      <c r="J128" t="s">
        <v>188</v>
      </c>
      <c r="K128" s="2">
        <v>226.48</v>
      </c>
      <c r="L128">
        <v>11</v>
      </c>
      <c r="M128" t="s">
        <v>48</v>
      </c>
      <c r="N128">
        <v>5</v>
      </c>
      <c r="O128">
        <v>3</v>
      </c>
      <c r="P128">
        <v>2</v>
      </c>
      <c r="Q128" t="s">
        <v>36</v>
      </c>
      <c r="R128" t="s">
        <v>50</v>
      </c>
      <c r="S128">
        <v>2</v>
      </c>
      <c r="T128">
        <v>7</v>
      </c>
      <c r="U128" t="s">
        <v>44</v>
      </c>
      <c r="V128" t="s">
        <v>38</v>
      </c>
      <c r="W128" t="s">
        <v>61</v>
      </c>
      <c r="X128" s="3">
        <v>45420</v>
      </c>
      <c r="Y128" s="1" t="str">
        <f t="shared" si="2"/>
        <v>May</v>
      </c>
      <c r="Z128" s="1" t="str">
        <f t="shared" si="3"/>
        <v>2024</v>
      </c>
      <c r="AA128" t="b">
        <v>1</v>
      </c>
      <c r="AB128" t="b">
        <v>0</v>
      </c>
      <c r="AC128" t="s">
        <v>40</v>
      </c>
      <c r="AD128" t="s">
        <v>67</v>
      </c>
      <c r="AE128">
        <v>11</v>
      </c>
    </row>
    <row r="129" spans="1:31" x14ac:dyDescent="0.3">
      <c r="A129" t="s">
        <v>345</v>
      </c>
      <c r="B129">
        <v>26</v>
      </c>
      <c r="C129" t="str" cm="1">
        <f t="array" ref="C129">_xlfn.IFS(B129&lt;=18,"0-18",B129&lt;=29,"19-29",B129&gt;=49,"30-49",B129&gt;=69,"50-69",TRUE,"70+")</f>
        <v>19-29</v>
      </c>
      <c r="D129" t="s">
        <v>29</v>
      </c>
      <c r="E129" t="s">
        <v>44</v>
      </c>
      <c r="F129" t="s">
        <v>55</v>
      </c>
      <c r="G129" t="s">
        <v>56</v>
      </c>
      <c r="H129" t="s">
        <v>30</v>
      </c>
      <c r="I129" t="s">
        <v>346</v>
      </c>
      <c r="J129" t="s">
        <v>104</v>
      </c>
      <c r="K129" s="2">
        <v>469.22</v>
      </c>
      <c r="L129">
        <v>6</v>
      </c>
      <c r="M129" t="s">
        <v>48</v>
      </c>
      <c r="N129">
        <v>1</v>
      </c>
      <c r="O129">
        <v>1</v>
      </c>
      <c r="P129">
        <v>1</v>
      </c>
      <c r="Q129" t="s">
        <v>44</v>
      </c>
      <c r="R129" t="s">
        <v>50</v>
      </c>
      <c r="S129">
        <v>0</v>
      </c>
      <c r="T129">
        <v>1</v>
      </c>
      <c r="U129" t="s">
        <v>59</v>
      </c>
      <c r="V129" t="s">
        <v>38</v>
      </c>
      <c r="W129" t="s">
        <v>39</v>
      </c>
      <c r="X129" s="3">
        <v>45421</v>
      </c>
      <c r="Y129" s="1" t="str">
        <f t="shared" si="2"/>
        <v>May</v>
      </c>
      <c r="Z129" s="1" t="str">
        <f t="shared" si="3"/>
        <v>2024</v>
      </c>
      <c r="AA129" t="b">
        <v>0</v>
      </c>
      <c r="AB129" t="b">
        <v>0</v>
      </c>
      <c r="AC129" t="s">
        <v>52</v>
      </c>
      <c r="AD129" t="s">
        <v>41</v>
      </c>
      <c r="AE129">
        <v>7</v>
      </c>
    </row>
    <row r="130" spans="1:31" x14ac:dyDescent="0.3">
      <c r="A130" t="s">
        <v>347</v>
      </c>
      <c r="B130">
        <v>42</v>
      </c>
      <c r="C130" t="str" cm="1">
        <f t="array" ref="C130">_xlfn.IFS(B130&lt;=18,"0-18",B130&lt;=29,"19-29",B130&gt;=49,"30-49",B130&gt;=69,"50-69",TRUE,"70+")</f>
        <v>70+</v>
      </c>
      <c r="D130" t="s">
        <v>29</v>
      </c>
      <c r="E130" t="s">
        <v>44</v>
      </c>
      <c r="F130" t="s">
        <v>76</v>
      </c>
      <c r="G130" t="s">
        <v>45</v>
      </c>
      <c r="H130" t="s">
        <v>44</v>
      </c>
      <c r="I130" t="s">
        <v>348</v>
      </c>
      <c r="J130" t="s">
        <v>246</v>
      </c>
      <c r="K130" s="2">
        <v>335.32</v>
      </c>
      <c r="L130">
        <v>6</v>
      </c>
      <c r="M130" t="s">
        <v>35</v>
      </c>
      <c r="N130">
        <v>3</v>
      </c>
      <c r="O130">
        <v>3</v>
      </c>
      <c r="P130">
        <v>1</v>
      </c>
      <c r="Q130" t="s">
        <v>36</v>
      </c>
      <c r="R130" t="s">
        <v>50</v>
      </c>
      <c r="S130">
        <v>0</v>
      </c>
      <c r="T130">
        <v>1</v>
      </c>
      <c r="U130" t="s">
        <v>59</v>
      </c>
      <c r="V130" t="s">
        <v>79</v>
      </c>
      <c r="W130" t="s">
        <v>66</v>
      </c>
      <c r="X130" s="3">
        <v>45422</v>
      </c>
      <c r="Y130" s="1" t="str">
        <f t="shared" si="2"/>
        <v>May</v>
      </c>
      <c r="Z130" s="1" t="str">
        <f t="shared" si="3"/>
        <v>2024</v>
      </c>
      <c r="AA130" t="b">
        <v>1</v>
      </c>
      <c r="AB130" t="b">
        <v>0</v>
      </c>
      <c r="AC130" t="s">
        <v>74</v>
      </c>
      <c r="AD130" t="s">
        <v>41</v>
      </c>
      <c r="AE130">
        <v>10</v>
      </c>
    </row>
    <row r="131" spans="1:31" x14ac:dyDescent="0.3">
      <c r="A131" t="s">
        <v>349</v>
      </c>
      <c r="B131">
        <v>31</v>
      </c>
      <c r="C131" t="str" cm="1">
        <f t="array" ref="C131">_xlfn.IFS(B131&lt;=18,"0-18",B131&lt;=29,"19-29",B131&gt;=49,"30-49",B131&gt;=69,"50-69",TRUE,"70+")</f>
        <v>70+</v>
      </c>
      <c r="D131" t="s">
        <v>43</v>
      </c>
      <c r="E131" t="s">
        <v>44</v>
      </c>
      <c r="F131" t="s">
        <v>76</v>
      </c>
      <c r="G131" t="s">
        <v>45</v>
      </c>
      <c r="H131" t="s">
        <v>30</v>
      </c>
      <c r="I131" t="s">
        <v>350</v>
      </c>
      <c r="J131" t="s">
        <v>101</v>
      </c>
      <c r="K131" s="2">
        <v>184.74</v>
      </c>
      <c r="L131">
        <v>5</v>
      </c>
      <c r="M131" t="s">
        <v>48</v>
      </c>
      <c r="N131">
        <v>4</v>
      </c>
      <c r="O131">
        <v>4</v>
      </c>
      <c r="P131">
        <v>0</v>
      </c>
      <c r="Q131" t="s">
        <v>49</v>
      </c>
      <c r="R131" t="s">
        <v>85</v>
      </c>
      <c r="S131">
        <v>1</v>
      </c>
      <c r="T131">
        <v>5</v>
      </c>
      <c r="U131" t="s">
        <v>44</v>
      </c>
      <c r="V131" t="s">
        <v>38</v>
      </c>
      <c r="W131" t="s">
        <v>61</v>
      </c>
      <c r="X131" s="3">
        <v>45423</v>
      </c>
      <c r="Y131" s="1" t="str">
        <f t="shared" ref="Y131:Y194" si="4">TEXT(X131,"mmm")</f>
        <v>May</v>
      </c>
      <c r="Z131" s="1" t="str">
        <f t="shared" ref="Z131:Z194" si="5">TEXT(X131,"yyyy")</f>
        <v>2024</v>
      </c>
      <c r="AA131" t="b">
        <v>0</v>
      </c>
      <c r="AB131" t="b">
        <v>1</v>
      </c>
      <c r="AC131" t="s">
        <v>62</v>
      </c>
      <c r="AD131" t="s">
        <v>41</v>
      </c>
      <c r="AE131">
        <v>10</v>
      </c>
    </row>
    <row r="132" spans="1:31" x14ac:dyDescent="0.3">
      <c r="A132" t="s">
        <v>351</v>
      </c>
      <c r="B132">
        <v>37</v>
      </c>
      <c r="C132" t="str" cm="1">
        <f t="array" ref="C132">_xlfn.IFS(B132&lt;=18,"0-18",B132&lt;=29,"19-29",B132&gt;=49,"30-49",B132&gt;=69,"50-69",TRUE,"70+")</f>
        <v>70+</v>
      </c>
      <c r="D132" t="s">
        <v>352</v>
      </c>
      <c r="E132" t="s">
        <v>44</v>
      </c>
      <c r="F132" t="s">
        <v>76</v>
      </c>
      <c r="G132" t="s">
        <v>32</v>
      </c>
      <c r="H132" t="s">
        <v>30</v>
      </c>
      <c r="I132" t="s">
        <v>353</v>
      </c>
      <c r="J132" t="s">
        <v>194</v>
      </c>
      <c r="K132" s="2">
        <v>442.18</v>
      </c>
      <c r="L132">
        <v>5</v>
      </c>
      <c r="M132" t="s">
        <v>48</v>
      </c>
      <c r="N132">
        <v>4</v>
      </c>
      <c r="O132">
        <v>3</v>
      </c>
      <c r="P132">
        <v>1</v>
      </c>
      <c r="Q132" t="s">
        <v>36</v>
      </c>
      <c r="R132" t="s">
        <v>85</v>
      </c>
      <c r="S132">
        <v>2</v>
      </c>
      <c r="T132">
        <v>10</v>
      </c>
      <c r="U132" t="s">
        <v>44</v>
      </c>
      <c r="V132" t="s">
        <v>60</v>
      </c>
      <c r="W132" t="s">
        <v>51</v>
      </c>
      <c r="X132" s="3">
        <v>45424</v>
      </c>
      <c r="Y132" s="1" t="str">
        <f t="shared" si="4"/>
        <v>May</v>
      </c>
      <c r="Z132" s="1" t="str">
        <f t="shared" si="5"/>
        <v>2024</v>
      </c>
      <c r="AA132" t="b">
        <v>0</v>
      </c>
      <c r="AB132" t="b">
        <v>0</v>
      </c>
      <c r="AC132" t="s">
        <v>62</v>
      </c>
      <c r="AD132" t="s">
        <v>67</v>
      </c>
      <c r="AE132">
        <v>12</v>
      </c>
    </row>
    <row r="133" spans="1:31" x14ac:dyDescent="0.3">
      <c r="A133" t="s">
        <v>354</v>
      </c>
      <c r="B133">
        <v>49</v>
      </c>
      <c r="C133" t="str" cm="1">
        <f t="array" ref="C133">_xlfn.IFS(B133&lt;=18,"0-18",B133&lt;=29,"19-29",B133&gt;=49,"30-49",B133&gt;=69,"50-69",TRUE,"70+")</f>
        <v>30-49</v>
      </c>
      <c r="D133" t="s">
        <v>43</v>
      </c>
      <c r="E133" t="s">
        <v>44</v>
      </c>
      <c r="F133" t="s">
        <v>31</v>
      </c>
      <c r="G133" t="s">
        <v>45</v>
      </c>
      <c r="H133" t="s">
        <v>30</v>
      </c>
      <c r="I133" t="s">
        <v>355</v>
      </c>
      <c r="J133" t="s">
        <v>142</v>
      </c>
      <c r="K133" s="2">
        <v>427.1</v>
      </c>
      <c r="L133">
        <v>8</v>
      </c>
      <c r="M133" t="s">
        <v>35</v>
      </c>
      <c r="N133">
        <v>1</v>
      </c>
      <c r="O133">
        <v>2</v>
      </c>
      <c r="P133">
        <v>1</v>
      </c>
      <c r="Q133" t="s">
        <v>44</v>
      </c>
      <c r="R133" t="s">
        <v>37</v>
      </c>
      <c r="S133">
        <v>0</v>
      </c>
      <c r="T133">
        <v>2</v>
      </c>
      <c r="U133" t="s">
        <v>49</v>
      </c>
      <c r="V133" t="s">
        <v>79</v>
      </c>
      <c r="W133" t="s">
        <v>51</v>
      </c>
      <c r="X133" s="3">
        <v>45425</v>
      </c>
      <c r="Y133" s="1" t="str">
        <f t="shared" si="4"/>
        <v>May</v>
      </c>
      <c r="Z133" s="1" t="str">
        <f t="shared" si="5"/>
        <v>2024</v>
      </c>
      <c r="AA133" t="b">
        <v>0</v>
      </c>
      <c r="AB133" t="b">
        <v>1</v>
      </c>
      <c r="AC133" t="s">
        <v>74</v>
      </c>
      <c r="AD133" t="s">
        <v>41</v>
      </c>
      <c r="AE133">
        <v>5</v>
      </c>
    </row>
    <row r="134" spans="1:31" x14ac:dyDescent="0.3">
      <c r="A134" t="s">
        <v>356</v>
      </c>
      <c r="B134">
        <v>34</v>
      </c>
      <c r="C134" t="str" cm="1">
        <f t="array" ref="C134">_xlfn.IFS(B134&lt;=18,"0-18",B134&lt;=29,"19-29",B134&gt;=49,"30-49",B134&gt;=69,"50-69",TRUE,"70+")</f>
        <v>70+</v>
      </c>
      <c r="D134" t="s">
        <v>43</v>
      </c>
      <c r="E134" t="s">
        <v>44</v>
      </c>
      <c r="F134" t="s">
        <v>69</v>
      </c>
      <c r="G134" t="s">
        <v>45</v>
      </c>
      <c r="H134" t="s">
        <v>44</v>
      </c>
      <c r="I134" t="s">
        <v>357</v>
      </c>
      <c r="J134" t="s">
        <v>65</v>
      </c>
      <c r="K134" s="2">
        <v>326.82</v>
      </c>
      <c r="L134">
        <v>4</v>
      </c>
      <c r="M134" t="s">
        <v>35</v>
      </c>
      <c r="N134">
        <v>3</v>
      </c>
      <c r="O134">
        <v>2</v>
      </c>
      <c r="P134">
        <v>1</v>
      </c>
      <c r="Q134" t="s">
        <v>44</v>
      </c>
      <c r="R134" t="s">
        <v>37</v>
      </c>
      <c r="S134">
        <v>2</v>
      </c>
      <c r="T134">
        <v>5</v>
      </c>
      <c r="U134" t="s">
        <v>49</v>
      </c>
      <c r="V134" t="s">
        <v>38</v>
      </c>
      <c r="W134" t="s">
        <v>39</v>
      </c>
      <c r="X134" s="3">
        <v>45426</v>
      </c>
      <c r="Y134" s="1" t="str">
        <f t="shared" si="4"/>
        <v>May</v>
      </c>
      <c r="Z134" s="1" t="str">
        <f t="shared" si="5"/>
        <v>2024</v>
      </c>
      <c r="AA134" t="b">
        <v>1</v>
      </c>
      <c r="AB134" t="b">
        <v>0</v>
      </c>
      <c r="AC134" t="s">
        <v>74</v>
      </c>
      <c r="AD134" t="s">
        <v>53</v>
      </c>
      <c r="AE134">
        <v>4</v>
      </c>
    </row>
    <row r="135" spans="1:31" x14ac:dyDescent="0.3">
      <c r="A135" t="s">
        <v>358</v>
      </c>
      <c r="B135">
        <v>41</v>
      </c>
      <c r="C135" t="str" cm="1">
        <f t="array" ref="C135">_xlfn.IFS(B135&lt;=18,"0-18",B135&lt;=29,"19-29",B135&gt;=49,"30-49",B135&gt;=69,"50-69",TRUE,"70+")</f>
        <v>70+</v>
      </c>
      <c r="D135" t="s">
        <v>43</v>
      </c>
      <c r="E135" t="s">
        <v>44</v>
      </c>
      <c r="F135" t="s">
        <v>69</v>
      </c>
      <c r="G135" t="s">
        <v>45</v>
      </c>
      <c r="H135" t="s">
        <v>30</v>
      </c>
      <c r="I135" t="s">
        <v>359</v>
      </c>
      <c r="J135" t="s">
        <v>107</v>
      </c>
      <c r="K135" s="2">
        <v>98.97</v>
      </c>
      <c r="L135">
        <v>12</v>
      </c>
      <c r="M135" t="s">
        <v>48</v>
      </c>
      <c r="N135">
        <v>2</v>
      </c>
      <c r="O135">
        <v>5</v>
      </c>
      <c r="P135">
        <v>2</v>
      </c>
      <c r="Q135" t="s">
        <v>36</v>
      </c>
      <c r="R135" t="s">
        <v>85</v>
      </c>
      <c r="S135">
        <v>1</v>
      </c>
      <c r="T135">
        <v>7</v>
      </c>
      <c r="U135" t="s">
        <v>44</v>
      </c>
      <c r="V135" t="s">
        <v>38</v>
      </c>
      <c r="W135" t="s">
        <v>66</v>
      </c>
      <c r="X135" s="3">
        <v>45427</v>
      </c>
      <c r="Y135" s="1" t="str">
        <f t="shared" si="4"/>
        <v>May</v>
      </c>
      <c r="Z135" s="1" t="str">
        <f t="shared" si="5"/>
        <v>2024</v>
      </c>
      <c r="AA135" t="b">
        <v>1</v>
      </c>
      <c r="AB135" t="b">
        <v>1</v>
      </c>
      <c r="AC135" t="s">
        <v>62</v>
      </c>
      <c r="AD135" t="s">
        <v>41</v>
      </c>
      <c r="AE135">
        <v>11</v>
      </c>
    </row>
    <row r="136" spans="1:31" x14ac:dyDescent="0.3">
      <c r="A136" t="s">
        <v>360</v>
      </c>
      <c r="B136">
        <v>33</v>
      </c>
      <c r="C136" t="str" cm="1">
        <f t="array" ref="C136">_xlfn.IFS(B136&lt;=18,"0-18",B136&lt;=29,"19-29",B136&gt;=49,"30-49",B136&gt;=69,"50-69",TRUE,"70+")</f>
        <v>70+</v>
      </c>
      <c r="D136" t="s">
        <v>43</v>
      </c>
      <c r="E136" t="s">
        <v>44</v>
      </c>
      <c r="F136" t="s">
        <v>55</v>
      </c>
      <c r="G136" t="s">
        <v>45</v>
      </c>
      <c r="H136" t="s">
        <v>44</v>
      </c>
      <c r="I136" t="s">
        <v>361</v>
      </c>
      <c r="J136" t="s">
        <v>104</v>
      </c>
      <c r="K136" s="2">
        <v>77.650000000000006</v>
      </c>
      <c r="L136">
        <v>6</v>
      </c>
      <c r="M136" t="s">
        <v>78</v>
      </c>
      <c r="N136">
        <v>1</v>
      </c>
      <c r="O136">
        <v>4</v>
      </c>
      <c r="P136">
        <v>1</v>
      </c>
      <c r="Q136" t="s">
        <v>49</v>
      </c>
      <c r="R136" t="s">
        <v>37</v>
      </c>
      <c r="S136">
        <v>2</v>
      </c>
      <c r="T136">
        <v>3</v>
      </c>
      <c r="U136" t="s">
        <v>36</v>
      </c>
      <c r="V136" t="s">
        <v>38</v>
      </c>
      <c r="W136" t="s">
        <v>86</v>
      </c>
      <c r="X136" s="3">
        <v>45428</v>
      </c>
      <c r="Y136" s="1" t="str">
        <f t="shared" si="4"/>
        <v>May</v>
      </c>
      <c r="Z136" s="1" t="str">
        <f t="shared" si="5"/>
        <v>2024</v>
      </c>
      <c r="AA136" t="b">
        <v>1</v>
      </c>
      <c r="AB136" t="b">
        <v>1</v>
      </c>
      <c r="AC136" t="s">
        <v>74</v>
      </c>
      <c r="AD136" t="s">
        <v>41</v>
      </c>
      <c r="AE136">
        <v>1</v>
      </c>
    </row>
    <row r="137" spans="1:31" x14ac:dyDescent="0.3">
      <c r="A137" t="s">
        <v>362</v>
      </c>
      <c r="B137">
        <v>47</v>
      </c>
      <c r="C137" t="str" cm="1">
        <f t="array" ref="C137">_xlfn.IFS(B137&lt;=18,"0-18",B137&lt;=29,"19-29",B137&gt;=49,"30-49",B137&gt;=69,"50-69",TRUE,"70+")</f>
        <v>70+</v>
      </c>
      <c r="D137" t="s">
        <v>29</v>
      </c>
      <c r="E137" t="s">
        <v>30</v>
      </c>
      <c r="F137" t="s">
        <v>69</v>
      </c>
      <c r="G137" t="s">
        <v>56</v>
      </c>
      <c r="H137" t="s">
        <v>44</v>
      </c>
      <c r="I137" t="s">
        <v>363</v>
      </c>
      <c r="J137" t="s">
        <v>117</v>
      </c>
      <c r="K137" s="2">
        <v>85.61</v>
      </c>
      <c r="L137">
        <v>2</v>
      </c>
      <c r="M137" t="s">
        <v>78</v>
      </c>
      <c r="N137">
        <v>4</v>
      </c>
      <c r="O137">
        <v>2</v>
      </c>
      <c r="P137">
        <v>1</v>
      </c>
      <c r="Q137" t="s">
        <v>44</v>
      </c>
      <c r="R137" t="s">
        <v>50</v>
      </c>
      <c r="S137">
        <v>1</v>
      </c>
      <c r="T137">
        <v>3</v>
      </c>
      <c r="U137" t="s">
        <v>59</v>
      </c>
      <c r="V137" t="s">
        <v>79</v>
      </c>
      <c r="W137" t="s">
        <v>66</v>
      </c>
      <c r="X137" s="3">
        <v>45429</v>
      </c>
      <c r="Y137" s="1" t="str">
        <f t="shared" si="4"/>
        <v>May</v>
      </c>
      <c r="Z137" s="1" t="str">
        <f t="shared" si="5"/>
        <v>2024</v>
      </c>
      <c r="AA137" t="b">
        <v>1</v>
      </c>
      <c r="AB137" t="b">
        <v>1</v>
      </c>
      <c r="AC137" t="s">
        <v>40</v>
      </c>
      <c r="AD137" t="s">
        <v>53</v>
      </c>
      <c r="AE137">
        <v>5</v>
      </c>
    </row>
    <row r="138" spans="1:31" x14ac:dyDescent="0.3">
      <c r="A138" t="s">
        <v>364</v>
      </c>
      <c r="B138">
        <v>47</v>
      </c>
      <c r="C138" t="str" cm="1">
        <f t="array" ref="C138">_xlfn.IFS(B138&lt;=18,"0-18",B138&lt;=29,"19-29",B138&gt;=49,"30-49",B138&gt;=69,"50-69",TRUE,"70+")</f>
        <v>70+</v>
      </c>
      <c r="D138" t="s">
        <v>43</v>
      </c>
      <c r="E138" t="s">
        <v>44</v>
      </c>
      <c r="F138" t="s">
        <v>69</v>
      </c>
      <c r="G138" t="s">
        <v>45</v>
      </c>
      <c r="H138" t="s">
        <v>44</v>
      </c>
      <c r="I138" t="s">
        <v>365</v>
      </c>
      <c r="J138" t="s">
        <v>47</v>
      </c>
      <c r="K138" s="2">
        <v>164.79</v>
      </c>
      <c r="L138">
        <v>4</v>
      </c>
      <c r="M138" t="s">
        <v>48</v>
      </c>
      <c r="N138">
        <v>3</v>
      </c>
      <c r="O138">
        <v>2</v>
      </c>
      <c r="P138">
        <v>0</v>
      </c>
      <c r="Q138" t="s">
        <v>36</v>
      </c>
      <c r="R138" t="s">
        <v>37</v>
      </c>
      <c r="S138">
        <v>2</v>
      </c>
      <c r="T138">
        <v>5</v>
      </c>
      <c r="U138" t="s">
        <v>44</v>
      </c>
      <c r="V138" t="s">
        <v>38</v>
      </c>
      <c r="W138" t="s">
        <v>39</v>
      </c>
      <c r="X138" s="3">
        <v>45430</v>
      </c>
      <c r="Y138" s="1" t="str">
        <f t="shared" si="4"/>
        <v>May</v>
      </c>
      <c r="Z138" s="1" t="str">
        <f t="shared" si="5"/>
        <v>2024</v>
      </c>
      <c r="AA138" t="b">
        <v>1</v>
      </c>
      <c r="AB138" t="b">
        <v>1</v>
      </c>
      <c r="AC138" t="s">
        <v>62</v>
      </c>
      <c r="AD138" t="s">
        <v>41</v>
      </c>
      <c r="AE138">
        <v>1</v>
      </c>
    </row>
    <row r="139" spans="1:31" x14ac:dyDescent="0.3">
      <c r="A139" t="s">
        <v>366</v>
      </c>
      <c r="B139">
        <v>29</v>
      </c>
      <c r="C139" t="str" cm="1">
        <f t="array" ref="C139">_xlfn.IFS(B139&lt;=18,"0-18",B139&lt;=29,"19-29",B139&gt;=49,"30-49",B139&gt;=69,"50-69",TRUE,"70+")</f>
        <v>19-29</v>
      </c>
      <c r="D139" t="s">
        <v>29</v>
      </c>
      <c r="E139" t="s">
        <v>44</v>
      </c>
      <c r="F139" t="s">
        <v>69</v>
      </c>
      <c r="G139" t="s">
        <v>45</v>
      </c>
      <c r="H139" t="s">
        <v>44</v>
      </c>
      <c r="I139" t="s">
        <v>367</v>
      </c>
      <c r="J139" t="s">
        <v>142</v>
      </c>
      <c r="K139" s="2">
        <v>235.46</v>
      </c>
      <c r="L139">
        <v>10</v>
      </c>
      <c r="M139" t="s">
        <v>48</v>
      </c>
      <c r="N139">
        <v>3</v>
      </c>
      <c r="O139">
        <v>4</v>
      </c>
      <c r="P139">
        <v>2</v>
      </c>
      <c r="Q139" t="s">
        <v>36</v>
      </c>
      <c r="R139" t="s">
        <v>50</v>
      </c>
      <c r="S139">
        <v>0</v>
      </c>
      <c r="T139">
        <v>7</v>
      </c>
      <c r="U139" t="s">
        <v>36</v>
      </c>
      <c r="V139" t="s">
        <v>79</v>
      </c>
      <c r="W139" t="s">
        <v>39</v>
      </c>
      <c r="X139" s="3">
        <v>45431</v>
      </c>
      <c r="Y139" s="1" t="str">
        <f t="shared" si="4"/>
        <v>May</v>
      </c>
      <c r="Z139" s="1" t="str">
        <f t="shared" si="5"/>
        <v>2024</v>
      </c>
      <c r="AA139" t="b">
        <v>0</v>
      </c>
      <c r="AB139" t="b">
        <v>1</v>
      </c>
      <c r="AC139" t="s">
        <v>62</v>
      </c>
      <c r="AD139" t="s">
        <v>41</v>
      </c>
      <c r="AE139">
        <v>2</v>
      </c>
    </row>
    <row r="140" spans="1:31" x14ac:dyDescent="0.3">
      <c r="A140" t="s">
        <v>368</v>
      </c>
      <c r="B140">
        <v>36</v>
      </c>
      <c r="C140" t="str" cm="1">
        <f t="array" ref="C140">_xlfn.IFS(B140&lt;=18,"0-18",B140&lt;=29,"19-29",B140&gt;=49,"30-49",B140&gt;=69,"50-69",TRUE,"70+")</f>
        <v>70+</v>
      </c>
      <c r="D140" t="s">
        <v>29</v>
      </c>
      <c r="E140" t="s">
        <v>44</v>
      </c>
      <c r="F140" t="s">
        <v>69</v>
      </c>
      <c r="G140" t="s">
        <v>56</v>
      </c>
      <c r="H140" t="s">
        <v>30</v>
      </c>
      <c r="I140" t="s">
        <v>369</v>
      </c>
      <c r="J140" t="s">
        <v>82</v>
      </c>
      <c r="K140" s="2">
        <v>245.14</v>
      </c>
      <c r="L140">
        <v>4</v>
      </c>
      <c r="M140" t="s">
        <v>78</v>
      </c>
      <c r="N140">
        <v>4</v>
      </c>
      <c r="O140">
        <v>5</v>
      </c>
      <c r="P140">
        <v>1</v>
      </c>
      <c r="Q140" t="s">
        <v>44</v>
      </c>
      <c r="R140" t="s">
        <v>85</v>
      </c>
      <c r="S140">
        <v>1</v>
      </c>
      <c r="T140">
        <v>4</v>
      </c>
      <c r="U140" t="s">
        <v>49</v>
      </c>
      <c r="V140" t="s">
        <v>60</v>
      </c>
      <c r="W140" t="s">
        <v>51</v>
      </c>
      <c r="X140" s="3">
        <v>45432</v>
      </c>
      <c r="Y140" s="1" t="str">
        <f t="shared" si="4"/>
        <v>May</v>
      </c>
      <c r="Z140" s="1" t="str">
        <f t="shared" si="5"/>
        <v>2024</v>
      </c>
      <c r="AA140" t="b">
        <v>1</v>
      </c>
      <c r="AB140" t="b">
        <v>0</v>
      </c>
      <c r="AC140" t="s">
        <v>62</v>
      </c>
      <c r="AD140" t="s">
        <v>53</v>
      </c>
      <c r="AE140">
        <v>3</v>
      </c>
    </row>
    <row r="141" spans="1:31" x14ac:dyDescent="0.3">
      <c r="A141" t="s">
        <v>370</v>
      </c>
      <c r="B141">
        <v>43</v>
      </c>
      <c r="C141" t="str" cm="1">
        <f t="array" ref="C141">_xlfn.IFS(B141&lt;=18,"0-18",B141&lt;=29,"19-29",B141&gt;=49,"30-49",B141&gt;=69,"50-69",TRUE,"70+")</f>
        <v>70+</v>
      </c>
      <c r="D141" t="s">
        <v>43</v>
      </c>
      <c r="E141" t="s">
        <v>44</v>
      </c>
      <c r="F141" t="s">
        <v>76</v>
      </c>
      <c r="G141" t="s">
        <v>32</v>
      </c>
      <c r="H141" t="s">
        <v>30</v>
      </c>
      <c r="I141" t="s">
        <v>371</v>
      </c>
      <c r="J141" t="s">
        <v>126</v>
      </c>
      <c r="K141" s="2">
        <v>439.91</v>
      </c>
      <c r="L141">
        <v>5</v>
      </c>
      <c r="M141" t="s">
        <v>78</v>
      </c>
      <c r="N141">
        <v>1</v>
      </c>
      <c r="O141">
        <v>4</v>
      </c>
      <c r="P141">
        <v>2</v>
      </c>
      <c r="Q141" t="s">
        <v>59</v>
      </c>
      <c r="R141" t="s">
        <v>37</v>
      </c>
      <c r="S141">
        <v>0</v>
      </c>
      <c r="T141">
        <v>9</v>
      </c>
      <c r="U141" t="s">
        <v>49</v>
      </c>
      <c r="V141" t="s">
        <v>60</v>
      </c>
      <c r="W141" t="s">
        <v>66</v>
      </c>
      <c r="X141" s="3">
        <v>45433</v>
      </c>
      <c r="Y141" s="1" t="str">
        <f t="shared" si="4"/>
        <v>May</v>
      </c>
      <c r="Z141" s="1" t="str">
        <f t="shared" si="5"/>
        <v>2024</v>
      </c>
      <c r="AA141" t="b">
        <v>0</v>
      </c>
      <c r="AB141" t="b">
        <v>0</v>
      </c>
      <c r="AC141" t="s">
        <v>40</v>
      </c>
      <c r="AD141" t="s">
        <v>67</v>
      </c>
      <c r="AE141">
        <v>10</v>
      </c>
    </row>
    <row r="142" spans="1:31" x14ac:dyDescent="0.3">
      <c r="A142" t="s">
        <v>372</v>
      </c>
      <c r="B142">
        <v>31</v>
      </c>
      <c r="C142" t="str" cm="1">
        <f t="array" ref="C142">_xlfn.IFS(B142&lt;=18,"0-18",B142&lt;=29,"19-29",B142&gt;=49,"30-49",B142&gt;=69,"50-69",TRUE,"70+")</f>
        <v>70+</v>
      </c>
      <c r="D142" t="s">
        <v>43</v>
      </c>
      <c r="E142" t="s">
        <v>44</v>
      </c>
      <c r="F142" t="s">
        <v>69</v>
      </c>
      <c r="G142" t="s">
        <v>45</v>
      </c>
      <c r="H142" t="s">
        <v>44</v>
      </c>
      <c r="I142" t="s">
        <v>373</v>
      </c>
      <c r="J142" t="s">
        <v>65</v>
      </c>
      <c r="K142" s="2">
        <v>309.22000000000003</v>
      </c>
      <c r="L142">
        <v>5</v>
      </c>
      <c r="M142" t="s">
        <v>35</v>
      </c>
      <c r="N142">
        <v>3</v>
      </c>
      <c r="O142">
        <v>5</v>
      </c>
      <c r="P142">
        <v>2</v>
      </c>
      <c r="Q142" t="s">
        <v>59</v>
      </c>
      <c r="R142" t="s">
        <v>50</v>
      </c>
      <c r="S142">
        <v>2</v>
      </c>
      <c r="T142">
        <v>4</v>
      </c>
      <c r="U142" t="s">
        <v>36</v>
      </c>
      <c r="V142" t="s">
        <v>38</v>
      </c>
      <c r="W142" t="s">
        <v>86</v>
      </c>
      <c r="X142" s="3">
        <v>45434</v>
      </c>
      <c r="Y142" s="1" t="str">
        <f t="shared" si="4"/>
        <v>May</v>
      </c>
      <c r="Z142" s="1" t="str">
        <f t="shared" si="5"/>
        <v>2024</v>
      </c>
      <c r="AA142" t="b">
        <v>0</v>
      </c>
      <c r="AB142" t="b">
        <v>0</v>
      </c>
      <c r="AC142" t="s">
        <v>74</v>
      </c>
      <c r="AD142" t="s">
        <v>53</v>
      </c>
      <c r="AE142">
        <v>10</v>
      </c>
    </row>
    <row r="143" spans="1:31" x14ac:dyDescent="0.3">
      <c r="A143" t="s">
        <v>374</v>
      </c>
      <c r="B143">
        <v>27</v>
      </c>
      <c r="C143" t="str" cm="1">
        <f t="array" ref="C143">_xlfn.IFS(B143&lt;=18,"0-18",B143&lt;=29,"19-29",B143&gt;=49,"30-49",B143&gt;=69,"50-69",TRUE,"70+")</f>
        <v>19-29</v>
      </c>
      <c r="D143" t="s">
        <v>43</v>
      </c>
      <c r="E143" t="s">
        <v>30</v>
      </c>
      <c r="F143" t="s">
        <v>69</v>
      </c>
      <c r="G143" t="s">
        <v>56</v>
      </c>
      <c r="H143" t="s">
        <v>30</v>
      </c>
      <c r="I143" t="s">
        <v>375</v>
      </c>
      <c r="J143" t="s">
        <v>158</v>
      </c>
      <c r="K143" s="2">
        <v>146.59</v>
      </c>
      <c r="L143">
        <v>10</v>
      </c>
      <c r="M143" t="s">
        <v>35</v>
      </c>
      <c r="N143">
        <v>5</v>
      </c>
      <c r="O143">
        <v>1</v>
      </c>
      <c r="P143">
        <v>2</v>
      </c>
      <c r="Q143" t="s">
        <v>59</v>
      </c>
      <c r="R143" t="s">
        <v>85</v>
      </c>
      <c r="S143">
        <v>0</v>
      </c>
      <c r="T143">
        <v>2</v>
      </c>
      <c r="U143" t="s">
        <v>36</v>
      </c>
      <c r="V143" t="s">
        <v>60</v>
      </c>
      <c r="W143" t="s">
        <v>86</v>
      </c>
      <c r="X143" s="3">
        <v>45435</v>
      </c>
      <c r="Y143" s="1" t="str">
        <f t="shared" si="4"/>
        <v>May</v>
      </c>
      <c r="Z143" s="1" t="str">
        <f t="shared" si="5"/>
        <v>2024</v>
      </c>
      <c r="AA143" t="b">
        <v>0</v>
      </c>
      <c r="AB143" t="b">
        <v>1</v>
      </c>
      <c r="AC143" t="s">
        <v>62</v>
      </c>
      <c r="AD143" t="s">
        <v>41</v>
      </c>
      <c r="AE143">
        <v>3</v>
      </c>
    </row>
    <row r="144" spans="1:31" x14ac:dyDescent="0.3">
      <c r="A144" t="s">
        <v>376</v>
      </c>
      <c r="B144">
        <v>48</v>
      </c>
      <c r="C144" t="str" cm="1">
        <f t="array" ref="C144">_xlfn.IFS(B144&lt;=18,"0-18",B144&lt;=29,"19-29",B144&gt;=49,"30-49",B144&gt;=69,"50-69",TRUE,"70+")</f>
        <v>70+</v>
      </c>
      <c r="D144" t="s">
        <v>43</v>
      </c>
      <c r="E144" t="s">
        <v>30</v>
      </c>
      <c r="F144" t="s">
        <v>55</v>
      </c>
      <c r="G144" t="s">
        <v>45</v>
      </c>
      <c r="H144" t="s">
        <v>30</v>
      </c>
      <c r="I144" t="s">
        <v>377</v>
      </c>
      <c r="J144" t="s">
        <v>107</v>
      </c>
      <c r="K144" s="2">
        <v>298.73</v>
      </c>
      <c r="L144">
        <v>4</v>
      </c>
      <c r="M144" t="s">
        <v>78</v>
      </c>
      <c r="N144">
        <v>1</v>
      </c>
      <c r="O144">
        <v>5</v>
      </c>
      <c r="P144">
        <v>1</v>
      </c>
      <c r="Q144" t="s">
        <v>44</v>
      </c>
      <c r="R144" t="s">
        <v>50</v>
      </c>
      <c r="S144">
        <v>0</v>
      </c>
      <c r="T144">
        <v>2</v>
      </c>
      <c r="U144" t="s">
        <v>59</v>
      </c>
      <c r="V144" t="s">
        <v>38</v>
      </c>
      <c r="W144" t="s">
        <v>61</v>
      </c>
      <c r="X144" s="3">
        <v>45436</v>
      </c>
      <c r="Y144" s="1" t="str">
        <f t="shared" si="4"/>
        <v>May</v>
      </c>
      <c r="Z144" s="1" t="str">
        <f t="shared" si="5"/>
        <v>2024</v>
      </c>
      <c r="AA144" t="b">
        <v>0</v>
      </c>
      <c r="AB144" t="b">
        <v>1</v>
      </c>
      <c r="AC144" t="s">
        <v>40</v>
      </c>
      <c r="AD144" t="s">
        <v>41</v>
      </c>
      <c r="AE144">
        <v>4</v>
      </c>
    </row>
    <row r="145" spans="1:31" x14ac:dyDescent="0.3">
      <c r="A145" t="s">
        <v>378</v>
      </c>
      <c r="B145">
        <v>19</v>
      </c>
      <c r="C145" t="str" cm="1">
        <f t="array" ref="C145">_xlfn.IFS(B145&lt;=18,"0-18",B145&lt;=29,"19-29",B145&gt;=49,"30-49",B145&gt;=69,"50-69",TRUE,"70+")</f>
        <v>19-29</v>
      </c>
      <c r="D145" t="s">
        <v>352</v>
      </c>
      <c r="E145" t="s">
        <v>44</v>
      </c>
      <c r="F145" t="s">
        <v>55</v>
      </c>
      <c r="G145" t="s">
        <v>32</v>
      </c>
      <c r="H145" t="s">
        <v>44</v>
      </c>
      <c r="I145" t="s">
        <v>379</v>
      </c>
      <c r="J145" t="s">
        <v>47</v>
      </c>
      <c r="K145" s="2">
        <v>395.01</v>
      </c>
      <c r="L145">
        <v>2</v>
      </c>
      <c r="M145" t="s">
        <v>35</v>
      </c>
      <c r="N145">
        <v>1</v>
      </c>
      <c r="O145">
        <v>2</v>
      </c>
      <c r="P145">
        <v>2</v>
      </c>
      <c r="Q145" t="s">
        <v>49</v>
      </c>
      <c r="R145" t="s">
        <v>85</v>
      </c>
      <c r="S145">
        <v>0</v>
      </c>
      <c r="T145">
        <v>6</v>
      </c>
      <c r="U145" t="s">
        <v>49</v>
      </c>
      <c r="V145" t="s">
        <v>79</v>
      </c>
      <c r="W145" t="s">
        <v>39</v>
      </c>
      <c r="X145" s="3">
        <v>45437</v>
      </c>
      <c r="Y145" s="1" t="str">
        <f t="shared" si="4"/>
        <v>May</v>
      </c>
      <c r="Z145" s="1" t="str">
        <f t="shared" si="5"/>
        <v>2024</v>
      </c>
      <c r="AA145" t="b">
        <v>1</v>
      </c>
      <c r="AB145" t="b">
        <v>0</v>
      </c>
      <c r="AC145" t="s">
        <v>52</v>
      </c>
      <c r="AD145" t="s">
        <v>53</v>
      </c>
      <c r="AE145">
        <v>3</v>
      </c>
    </row>
    <row r="146" spans="1:31" x14ac:dyDescent="0.3">
      <c r="A146" t="s">
        <v>380</v>
      </c>
      <c r="B146">
        <v>41</v>
      </c>
      <c r="C146" t="str" cm="1">
        <f t="array" ref="C146">_xlfn.IFS(B146&lt;=18,"0-18",B146&lt;=29,"19-29",B146&gt;=49,"30-49",B146&gt;=69,"50-69",TRUE,"70+")</f>
        <v>70+</v>
      </c>
      <c r="D146" t="s">
        <v>43</v>
      </c>
      <c r="E146" t="s">
        <v>30</v>
      </c>
      <c r="F146" t="s">
        <v>31</v>
      </c>
      <c r="G146" t="s">
        <v>32</v>
      </c>
      <c r="H146" t="s">
        <v>44</v>
      </c>
      <c r="I146" t="s">
        <v>381</v>
      </c>
      <c r="J146" t="s">
        <v>117</v>
      </c>
      <c r="K146" s="2">
        <v>371.19</v>
      </c>
      <c r="L146">
        <v>10</v>
      </c>
      <c r="M146" t="s">
        <v>35</v>
      </c>
      <c r="N146">
        <v>1</v>
      </c>
      <c r="O146">
        <v>2</v>
      </c>
      <c r="P146">
        <v>2</v>
      </c>
      <c r="Q146" t="s">
        <v>44</v>
      </c>
      <c r="R146" t="s">
        <v>37</v>
      </c>
      <c r="S146">
        <v>1</v>
      </c>
      <c r="T146">
        <v>8</v>
      </c>
      <c r="U146" t="s">
        <v>49</v>
      </c>
      <c r="V146" t="s">
        <v>79</v>
      </c>
      <c r="W146" t="s">
        <v>39</v>
      </c>
      <c r="X146" s="3">
        <v>45438</v>
      </c>
      <c r="Y146" s="1" t="str">
        <f t="shared" si="4"/>
        <v>May</v>
      </c>
      <c r="Z146" s="1" t="str">
        <f t="shared" si="5"/>
        <v>2024</v>
      </c>
      <c r="AA146" t="b">
        <v>0</v>
      </c>
      <c r="AB146" t="b">
        <v>0</v>
      </c>
      <c r="AC146" t="s">
        <v>74</v>
      </c>
      <c r="AD146" t="s">
        <v>67</v>
      </c>
      <c r="AE146">
        <v>1</v>
      </c>
    </row>
    <row r="147" spans="1:31" x14ac:dyDescent="0.3">
      <c r="A147" t="s">
        <v>382</v>
      </c>
      <c r="B147">
        <v>33</v>
      </c>
      <c r="C147" t="str" cm="1">
        <f t="array" ref="C147">_xlfn.IFS(B147&lt;=18,"0-18",B147&lt;=29,"19-29",B147&gt;=49,"30-49",B147&gt;=69,"50-69",TRUE,"70+")</f>
        <v>70+</v>
      </c>
      <c r="D147" t="s">
        <v>29</v>
      </c>
      <c r="E147" t="s">
        <v>30</v>
      </c>
      <c r="F147" t="s">
        <v>31</v>
      </c>
      <c r="G147" t="s">
        <v>56</v>
      </c>
      <c r="H147" t="s">
        <v>44</v>
      </c>
      <c r="I147" t="s">
        <v>383</v>
      </c>
      <c r="J147" t="s">
        <v>117</v>
      </c>
      <c r="K147" s="2">
        <v>193.76</v>
      </c>
      <c r="L147">
        <v>10</v>
      </c>
      <c r="M147" t="s">
        <v>35</v>
      </c>
      <c r="N147">
        <v>4</v>
      </c>
      <c r="O147">
        <v>3</v>
      </c>
      <c r="P147">
        <v>1</v>
      </c>
      <c r="Q147" t="s">
        <v>49</v>
      </c>
      <c r="R147" t="s">
        <v>50</v>
      </c>
      <c r="S147">
        <v>0</v>
      </c>
      <c r="T147">
        <v>2</v>
      </c>
      <c r="U147" t="s">
        <v>59</v>
      </c>
      <c r="V147" t="s">
        <v>79</v>
      </c>
      <c r="W147" t="s">
        <v>61</v>
      </c>
      <c r="X147" s="3">
        <v>45439</v>
      </c>
      <c r="Y147" s="1" t="str">
        <f t="shared" si="4"/>
        <v>May</v>
      </c>
      <c r="Z147" s="1" t="str">
        <f t="shared" si="5"/>
        <v>2024</v>
      </c>
      <c r="AA147" t="b">
        <v>0</v>
      </c>
      <c r="AB147" t="b">
        <v>0</v>
      </c>
      <c r="AC147" t="s">
        <v>52</v>
      </c>
      <c r="AD147" t="s">
        <v>41</v>
      </c>
      <c r="AE147">
        <v>12</v>
      </c>
    </row>
    <row r="148" spans="1:31" x14ac:dyDescent="0.3">
      <c r="A148" t="s">
        <v>384</v>
      </c>
      <c r="B148">
        <v>43</v>
      </c>
      <c r="C148" t="str" cm="1">
        <f t="array" ref="C148">_xlfn.IFS(B148&lt;=18,"0-18",B148&lt;=29,"19-29",B148&gt;=49,"30-49",B148&gt;=69,"50-69",TRUE,"70+")</f>
        <v>70+</v>
      </c>
      <c r="D148" t="s">
        <v>43</v>
      </c>
      <c r="E148" t="s">
        <v>30</v>
      </c>
      <c r="F148" t="s">
        <v>76</v>
      </c>
      <c r="G148" t="s">
        <v>56</v>
      </c>
      <c r="H148" t="s">
        <v>44</v>
      </c>
      <c r="I148" t="s">
        <v>385</v>
      </c>
      <c r="J148" t="s">
        <v>123</v>
      </c>
      <c r="K148" s="2">
        <v>424.27</v>
      </c>
      <c r="L148">
        <v>6</v>
      </c>
      <c r="M148" t="s">
        <v>78</v>
      </c>
      <c r="N148">
        <v>1</v>
      </c>
      <c r="O148">
        <v>4</v>
      </c>
      <c r="P148">
        <v>2</v>
      </c>
      <c r="Q148" t="s">
        <v>36</v>
      </c>
      <c r="R148" t="s">
        <v>50</v>
      </c>
      <c r="S148">
        <v>2</v>
      </c>
      <c r="T148">
        <v>8</v>
      </c>
      <c r="U148" t="s">
        <v>59</v>
      </c>
      <c r="V148" t="s">
        <v>38</v>
      </c>
      <c r="W148" t="s">
        <v>86</v>
      </c>
      <c r="X148" s="3">
        <v>45440</v>
      </c>
      <c r="Y148" s="1" t="str">
        <f t="shared" si="4"/>
        <v>May</v>
      </c>
      <c r="Z148" s="1" t="str">
        <f t="shared" si="5"/>
        <v>2024</v>
      </c>
      <c r="AA148" t="b">
        <v>1</v>
      </c>
      <c r="AB148" t="b">
        <v>1</v>
      </c>
      <c r="AC148" t="s">
        <v>74</v>
      </c>
      <c r="AD148" t="s">
        <v>53</v>
      </c>
      <c r="AE148">
        <v>12</v>
      </c>
    </row>
    <row r="149" spans="1:31" x14ac:dyDescent="0.3">
      <c r="A149" t="s">
        <v>386</v>
      </c>
      <c r="B149">
        <v>38</v>
      </c>
      <c r="C149" t="str" cm="1">
        <f t="array" ref="C149">_xlfn.IFS(B149&lt;=18,"0-18",B149&lt;=29,"19-29",B149&gt;=49,"30-49",B149&gt;=69,"50-69",TRUE,"70+")</f>
        <v>70+</v>
      </c>
      <c r="D149" t="s">
        <v>43</v>
      </c>
      <c r="E149" t="s">
        <v>44</v>
      </c>
      <c r="F149" t="s">
        <v>55</v>
      </c>
      <c r="G149" t="s">
        <v>32</v>
      </c>
      <c r="H149" t="s">
        <v>44</v>
      </c>
      <c r="I149" t="s">
        <v>387</v>
      </c>
      <c r="J149" t="s">
        <v>246</v>
      </c>
      <c r="K149" s="2">
        <v>496.11</v>
      </c>
      <c r="L149">
        <v>2</v>
      </c>
      <c r="M149" t="s">
        <v>35</v>
      </c>
      <c r="N149">
        <v>2</v>
      </c>
      <c r="O149">
        <v>3</v>
      </c>
      <c r="P149">
        <v>1</v>
      </c>
      <c r="Q149" t="s">
        <v>44</v>
      </c>
      <c r="R149" t="s">
        <v>37</v>
      </c>
      <c r="S149">
        <v>2</v>
      </c>
      <c r="T149">
        <v>8</v>
      </c>
      <c r="U149" t="s">
        <v>44</v>
      </c>
      <c r="V149" t="s">
        <v>60</v>
      </c>
      <c r="W149" t="s">
        <v>51</v>
      </c>
      <c r="X149" s="3">
        <v>45441</v>
      </c>
      <c r="Y149" s="1" t="str">
        <f t="shared" si="4"/>
        <v>May</v>
      </c>
      <c r="Z149" s="1" t="str">
        <f t="shared" si="5"/>
        <v>2024</v>
      </c>
      <c r="AA149" t="b">
        <v>1</v>
      </c>
      <c r="AB149" t="b">
        <v>0</v>
      </c>
      <c r="AC149" t="s">
        <v>62</v>
      </c>
      <c r="AD149" t="s">
        <v>53</v>
      </c>
      <c r="AE149">
        <v>12</v>
      </c>
    </row>
    <row r="150" spans="1:31" x14ac:dyDescent="0.3">
      <c r="A150" t="s">
        <v>388</v>
      </c>
      <c r="B150">
        <v>41</v>
      </c>
      <c r="C150" t="str" cm="1">
        <f t="array" ref="C150">_xlfn.IFS(B150&lt;=18,"0-18",B150&lt;=29,"19-29",B150&gt;=49,"30-49",B150&gt;=69,"50-69",TRUE,"70+")</f>
        <v>70+</v>
      </c>
      <c r="D150" t="s">
        <v>43</v>
      </c>
      <c r="E150" t="s">
        <v>44</v>
      </c>
      <c r="F150" t="s">
        <v>69</v>
      </c>
      <c r="G150" t="s">
        <v>32</v>
      </c>
      <c r="H150" t="s">
        <v>30</v>
      </c>
      <c r="I150" t="s">
        <v>389</v>
      </c>
      <c r="J150" t="s">
        <v>123</v>
      </c>
      <c r="K150" s="2">
        <v>341.91</v>
      </c>
      <c r="L150">
        <v>3</v>
      </c>
      <c r="M150" t="s">
        <v>78</v>
      </c>
      <c r="N150">
        <v>4</v>
      </c>
      <c r="O150">
        <v>4</v>
      </c>
      <c r="P150">
        <v>0</v>
      </c>
      <c r="Q150" t="s">
        <v>59</v>
      </c>
      <c r="R150" t="s">
        <v>50</v>
      </c>
      <c r="S150">
        <v>1</v>
      </c>
      <c r="T150">
        <v>9</v>
      </c>
      <c r="U150" t="s">
        <v>36</v>
      </c>
      <c r="V150" t="s">
        <v>38</v>
      </c>
      <c r="W150" t="s">
        <v>86</v>
      </c>
      <c r="X150" s="3">
        <v>45442</v>
      </c>
      <c r="Y150" s="1" t="str">
        <f t="shared" si="4"/>
        <v>May</v>
      </c>
      <c r="Z150" s="1" t="str">
        <f t="shared" si="5"/>
        <v>2024</v>
      </c>
      <c r="AA150" t="b">
        <v>0</v>
      </c>
      <c r="AB150" t="b">
        <v>0</v>
      </c>
      <c r="AC150" t="s">
        <v>62</v>
      </c>
      <c r="AD150" t="s">
        <v>67</v>
      </c>
      <c r="AE150">
        <v>7</v>
      </c>
    </row>
    <row r="151" spans="1:31" x14ac:dyDescent="0.3">
      <c r="A151" t="s">
        <v>390</v>
      </c>
      <c r="B151">
        <v>40</v>
      </c>
      <c r="C151" t="str" cm="1">
        <f t="array" ref="C151">_xlfn.IFS(B151&lt;=18,"0-18",B151&lt;=29,"19-29",B151&gt;=49,"30-49",B151&gt;=69,"50-69",TRUE,"70+")</f>
        <v>70+</v>
      </c>
      <c r="D151" t="s">
        <v>43</v>
      </c>
      <c r="E151" t="s">
        <v>44</v>
      </c>
      <c r="F151" t="s">
        <v>31</v>
      </c>
      <c r="G151" t="s">
        <v>56</v>
      </c>
      <c r="H151" t="s">
        <v>44</v>
      </c>
      <c r="I151" t="s">
        <v>391</v>
      </c>
      <c r="J151" t="s">
        <v>34</v>
      </c>
      <c r="K151" s="2">
        <v>127.66</v>
      </c>
      <c r="L151">
        <v>11</v>
      </c>
      <c r="M151" t="s">
        <v>78</v>
      </c>
      <c r="N151">
        <v>1</v>
      </c>
      <c r="O151">
        <v>2</v>
      </c>
      <c r="P151">
        <v>2</v>
      </c>
      <c r="Q151" t="s">
        <v>59</v>
      </c>
      <c r="R151" t="s">
        <v>50</v>
      </c>
      <c r="S151">
        <v>2</v>
      </c>
      <c r="T151">
        <v>7</v>
      </c>
      <c r="U151" t="s">
        <v>36</v>
      </c>
      <c r="V151" t="s">
        <v>60</v>
      </c>
      <c r="W151" t="s">
        <v>39</v>
      </c>
      <c r="X151" s="3">
        <v>45443</v>
      </c>
      <c r="Y151" s="1" t="str">
        <f t="shared" si="4"/>
        <v>May</v>
      </c>
      <c r="Z151" s="1" t="str">
        <f t="shared" si="5"/>
        <v>2024</v>
      </c>
      <c r="AA151" t="b">
        <v>0</v>
      </c>
      <c r="AB151" t="b">
        <v>1</v>
      </c>
      <c r="AC151" t="s">
        <v>74</v>
      </c>
      <c r="AD151" t="s">
        <v>53</v>
      </c>
      <c r="AE151">
        <v>7</v>
      </c>
    </row>
    <row r="152" spans="1:31" x14ac:dyDescent="0.3">
      <c r="A152" t="s">
        <v>392</v>
      </c>
      <c r="B152">
        <v>47</v>
      </c>
      <c r="C152" t="str" cm="1">
        <f t="array" ref="C152">_xlfn.IFS(B152&lt;=18,"0-18",B152&lt;=29,"19-29",B152&gt;=49,"30-49",B152&gt;=69,"50-69",TRUE,"70+")</f>
        <v>70+</v>
      </c>
      <c r="D152" t="s">
        <v>148</v>
      </c>
      <c r="E152" t="s">
        <v>30</v>
      </c>
      <c r="F152" t="s">
        <v>55</v>
      </c>
      <c r="G152" t="s">
        <v>32</v>
      </c>
      <c r="H152" t="s">
        <v>30</v>
      </c>
      <c r="I152" t="s">
        <v>393</v>
      </c>
      <c r="J152" t="s">
        <v>120</v>
      </c>
      <c r="K152" s="2">
        <v>227.47</v>
      </c>
      <c r="L152">
        <v>2</v>
      </c>
      <c r="M152" t="s">
        <v>78</v>
      </c>
      <c r="N152">
        <v>2</v>
      </c>
      <c r="O152">
        <v>2</v>
      </c>
      <c r="P152">
        <v>2</v>
      </c>
      <c r="Q152" t="s">
        <v>59</v>
      </c>
      <c r="R152" t="s">
        <v>85</v>
      </c>
      <c r="S152">
        <v>1</v>
      </c>
      <c r="T152">
        <v>4</v>
      </c>
      <c r="U152" t="s">
        <v>44</v>
      </c>
      <c r="V152" t="s">
        <v>38</v>
      </c>
      <c r="W152" t="s">
        <v>66</v>
      </c>
      <c r="X152" s="3">
        <v>45444</v>
      </c>
      <c r="Y152" s="1" t="str">
        <f t="shared" si="4"/>
        <v>Jun</v>
      </c>
      <c r="Z152" s="1" t="str">
        <f t="shared" si="5"/>
        <v>2024</v>
      </c>
      <c r="AA152" t="b">
        <v>1</v>
      </c>
      <c r="AB152" t="b">
        <v>0</v>
      </c>
      <c r="AC152" t="s">
        <v>40</v>
      </c>
      <c r="AD152" t="s">
        <v>67</v>
      </c>
      <c r="AE152">
        <v>9</v>
      </c>
    </row>
    <row r="153" spans="1:31" x14ac:dyDescent="0.3">
      <c r="A153" t="s">
        <v>394</v>
      </c>
      <c r="B153">
        <v>35</v>
      </c>
      <c r="C153" t="str" cm="1">
        <f t="array" ref="C153">_xlfn.IFS(B153&lt;=18,"0-18",B153&lt;=29,"19-29",B153&gt;=49,"30-49",B153&gt;=69,"50-69",TRUE,"70+")</f>
        <v>70+</v>
      </c>
      <c r="D153" t="s">
        <v>43</v>
      </c>
      <c r="E153" t="s">
        <v>44</v>
      </c>
      <c r="F153" t="s">
        <v>69</v>
      </c>
      <c r="G153" t="s">
        <v>32</v>
      </c>
      <c r="H153" t="s">
        <v>44</v>
      </c>
      <c r="I153" t="s">
        <v>395</v>
      </c>
      <c r="J153" t="s">
        <v>142</v>
      </c>
      <c r="K153" s="2">
        <v>342.99</v>
      </c>
      <c r="L153">
        <v>3</v>
      </c>
      <c r="M153" t="s">
        <v>48</v>
      </c>
      <c r="N153">
        <v>4</v>
      </c>
      <c r="O153">
        <v>2</v>
      </c>
      <c r="P153">
        <v>2</v>
      </c>
      <c r="Q153" t="s">
        <v>59</v>
      </c>
      <c r="R153" t="s">
        <v>85</v>
      </c>
      <c r="S153">
        <v>0</v>
      </c>
      <c r="T153">
        <v>6</v>
      </c>
      <c r="U153" t="s">
        <v>49</v>
      </c>
      <c r="V153" t="s">
        <v>60</v>
      </c>
      <c r="W153" t="s">
        <v>66</v>
      </c>
      <c r="X153" s="3">
        <v>45445</v>
      </c>
      <c r="Y153" s="1" t="str">
        <f t="shared" si="4"/>
        <v>Jun</v>
      </c>
      <c r="Z153" s="1" t="str">
        <f t="shared" si="5"/>
        <v>2024</v>
      </c>
      <c r="AA153" t="b">
        <v>0</v>
      </c>
      <c r="AB153" t="b">
        <v>1</v>
      </c>
      <c r="AC153" t="s">
        <v>62</v>
      </c>
      <c r="AD153" t="s">
        <v>67</v>
      </c>
      <c r="AE153">
        <v>6</v>
      </c>
    </row>
    <row r="154" spans="1:31" x14ac:dyDescent="0.3">
      <c r="A154" t="s">
        <v>396</v>
      </c>
      <c r="B154">
        <v>49</v>
      </c>
      <c r="C154" t="str" cm="1">
        <f t="array" ref="C154">_xlfn.IFS(B154&lt;=18,"0-18",B154&lt;=29,"19-29",B154&gt;=49,"30-49",B154&gt;=69,"50-69",TRUE,"70+")</f>
        <v>30-49</v>
      </c>
      <c r="D154" t="s">
        <v>190</v>
      </c>
      <c r="E154" t="s">
        <v>44</v>
      </c>
      <c r="F154" t="s">
        <v>31</v>
      </c>
      <c r="G154" t="s">
        <v>56</v>
      </c>
      <c r="H154" t="s">
        <v>30</v>
      </c>
      <c r="I154" t="s">
        <v>397</v>
      </c>
      <c r="J154" t="s">
        <v>114</v>
      </c>
      <c r="K154" s="2">
        <v>306.48</v>
      </c>
      <c r="L154">
        <v>5</v>
      </c>
      <c r="M154" t="s">
        <v>35</v>
      </c>
      <c r="N154">
        <v>1</v>
      </c>
      <c r="O154">
        <v>3</v>
      </c>
      <c r="P154">
        <v>0</v>
      </c>
      <c r="Q154" t="s">
        <v>49</v>
      </c>
      <c r="R154" t="s">
        <v>85</v>
      </c>
      <c r="S154">
        <v>0</v>
      </c>
      <c r="T154">
        <v>9</v>
      </c>
      <c r="U154" t="s">
        <v>59</v>
      </c>
      <c r="V154" t="s">
        <v>38</v>
      </c>
      <c r="W154" t="s">
        <v>39</v>
      </c>
      <c r="X154" s="3">
        <v>45446</v>
      </c>
      <c r="Y154" s="1" t="str">
        <f t="shared" si="4"/>
        <v>Jun</v>
      </c>
      <c r="Z154" s="1" t="str">
        <f t="shared" si="5"/>
        <v>2024</v>
      </c>
      <c r="AA154" t="b">
        <v>0</v>
      </c>
      <c r="AB154" t="b">
        <v>1</v>
      </c>
      <c r="AC154" t="s">
        <v>40</v>
      </c>
      <c r="AD154" t="s">
        <v>53</v>
      </c>
      <c r="AE154">
        <v>14</v>
      </c>
    </row>
    <row r="155" spans="1:31" x14ac:dyDescent="0.3">
      <c r="A155" t="s">
        <v>398</v>
      </c>
      <c r="B155">
        <v>22</v>
      </c>
      <c r="C155" t="str" cm="1">
        <f t="array" ref="C155">_xlfn.IFS(B155&lt;=18,"0-18",B155&lt;=29,"19-29",B155&gt;=49,"30-49",B155&gt;=69,"50-69",TRUE,"70+")</f>
        <v>19-29</v>
      </c>
      <c r="D155" t="s">
        <v>43</v>
      </c>
      <c r="E155" t="s">
        <v>30</v>
      </c>
      <c r="F155" t="s">
        <v>76</v>
      </c>
      <c r="G155" t="s">
        <v>56</v>
      </c>
      <c r="H155" t="s">
        <v>44</v>
      </c>
      <c r="I155" t="s">
        <v>399</v>
      </c>
      <c r="J155" t="s">
        <v>65</v>
      </c>
      <c r="K155" s="2">
        <v>308.54000000000002</v>
      </c>
      <c r="L155">
        <v>3</v>
      </c>
      <c r="M155" t="s">
        <v>35</v>
      </c>
      <c r="N155">
        <v>1</v>
      </c>
      <c r="O155">
        <v>3</v>
      </c>
      <c r="P155">
        <v>0</v>
      </c>
      <c r="Q155" t="s">
        <v>44</v>
      </c>
      <c r="R155" t="s">
        <v>50</v>
      </c>
      <c r="S155">
        <v>1</v>
      </c>
      <c r="T155">
        <v>5</v>
      </c>
      <c r="U155" t="s">
        <v>44</v>
      </c>
      <c r="V155" t="s">
        <v>79</v>
      </c>
      <c r="W155" t="s">
        <v>39</v>
      </c>
      <c r="X155" s="3">
        <v>45447</v>
      </c>
      <c r="Y155" s="1" t="str">
        <f t="shared" si="4"/>
        <v>Jun</v>
      </c>
      <c r="Z155" s="1" t="str">
        <f t="shared" si="5"/>
        <v>2024</v>
      </c>
      <c r="AA155" t="b">
        <v>0</v>
      </c>
      <c r="AB155" t="b">
        <v>1</v>
      </c>
      <c r="AC155" t="s">
        <v>52</v>
      </c>
      <c r="AD155" t="s">
        <v>53</v>
      </c>
      <c r="AE155">
        <v>7</v>
      </c>
    </row>
    <row r="156" spans="1:31" x14ac:dyDescent="0.3">
      <c r="A156" t="s">
        <v>400</v>
      </c>
      <c r="B156">
        <v>49</v>
      </c>
      <c r="C156" t="str" cm="1">
        <f t="array" ref="C156">_xlfn.IFS(B156&lt;=18,"0-18",B156&lt;=29,"19-29",B156&gt;=49,"30-49",B156&gt;=69,"50-69",TRUE,"70+")</f>
        <v>30-49</v>
      </c>
      <c r="D156" t="s">
        <v>43</v>
      </c>
      <c r="E156" t="s">
        <v>44</v>
      </c>
      <c r="F156" t="s">
        <v>55</v>
      </c>
      <c r="G156" t="s">
        <v>56</v>
      </c>
      <c r="H156" t="s">
        <v>30</v>
      </c>
      <c r="I156" t="s">
        <v>401</v>
      </c>
      <c r="J156" t="s">
        <v>194</v>
      </c>
      <c r="K156" s="2">
        <v>124.17</v>
      </c>
      <c r="L156">
        <v>12</v>
      </c>
      <c r="M156" t="s">
        <v>35</v>
      </c>
      <c r="N156">
        <v>5</v>
      </c>
      <c r="O156">
        <v>2</v>
      </c>
      <c r="P156">
        <v>2</v>
      </c>
      <c r="Q156" t="s">
        <v>44</v>
      </c>
      <c r="R156" t="s">
        <v>85</v>
      </c>
      <c r="S156">
        <v>2</v>
      </c>
      <c r="T156">
        <v>4</v>
      </c>
      <c r="U156" t="s">
        <v>44</v>
      </c>
      <c r="V156" t="s">
        <v>60</v>
      </c>
      <c r="W156" t="s">
        <v>61</v>
      </c>
      <c r="X156" s="3">
        <v>45448</v>
      </c>
      <c r="Y156" s="1" t="str">
        <f t="shared" si="4"/>
        <v>Jun</v>
      </c>
      <c r="Z156" s="1" t="str">
        <f t="shared" si="5"/>
        <v>2024</v>
      </c>
      <c r="AA156" t="b">
        <v>1</v>
      </c>
      <c r="AB156" t="b">
        <v>1</v>
      </c>
      <c r="AC156" t="s">
        <v>74</v>
      </c>
      <c r="AD156" t="s">
        <v>53</v>
      </c>
      <c r="AE156">
        <v>6</v>
      </c>
    </row>
    <row r="157" spans="1:31" x14ac:dyDescent="0.3">
      <c r="A157" t="s">
        <v>402</v>
      </c>
      <c r="B157">
        <v>27</v>
      </c>
      <c r="C157" t="str" cm="1">
        <f t="array" ref="C157">_xlfn.IFS(B157&lt;=18,"0-18",B157&lt;=29,"19-29",B157&gt;=49,"30-49",B157&gt;=69,"50-69",TRUE,"70+")</f>
        <v>19-29</v>
      </c>
      <c r="D157" t="s">
        <v>29</v>
      </c>
      <c r="E157" t="s">
        <v>30</v>
      </c>
      <c r="F157" t="s">
        <v>31</v>
      </c>
      <c r="G157" t="s">
        <v>56</v>
      </c>
      <c r="H157" t="s">
        <v>30</v>
      </c>
      <c r="I157" t="s">
        <v>403</v>
      </c>
      <c r="J157" t="s">
        <v>194</v>
      </c>
      <c r="K157" s="2">
        <v>78</v>
      </c>
      <c r="L157">
        <v>5</v>
      </c>
      <c r="M157" t="s">
        <v>78</v>
      </c>
      <c r="N157">
        <v>1</v>
      </c>
      <c r="O157">
        <v>5</v>
      </c>
      <c r="P157">
        <v>0</v>
      </c>
      <c r="Q157" t="s">
        <v>36</v>
      </c>
      <c r="R157" t="s">
        <v>50</v>
      </c>
      <c r="S157">
        <v>1</v>
      </c>
      <c r="T157">
        <v>1</v>
      </c>
      <c r="U157" t="s">
        <v>59</v>
      </c>
      <c r="V157" t="s">
        <v>79</v>
      </c>
      <c r="W157" t="s">
        <v>61</v>
      </c>
      <c r="X157" s="3">
        <v>45449</v>
      </c>
      <c r="Y157" s="1" t="str">
        <f t="shared" si="4"/>
        <v>Jun</v>
      </c>
      <c r="Z157" s="1" t="str">
        <f t="shared" si="5"/>
        <v>2024</v>
      </c>
      <c r="AA157" t="b">
        <v>1</v>
      </c>
      <c r="AB157" t="b">
        <v>0</v>
      </c>
      <c r="AC157" t="s">
        <v>52</v>
      </c>
      <c r="AD157" t="s">
        <v>41</v>
      </c>
      <c r="AE157">
        <v>11</v>
      </c>
    </row>
    <row r="158" spans="1:31" x14ac:dyDescent="0.3">
      <c r="A158" t="s">
        <v>404</v>
      </c>
      <c r="B158">
        <v>27</v>
      </c>
      <c r="C158" t="str" cm="1">
        <f t="array" ref="C158">_xlfn.IFS(B158&lt;=18,"0-18",B158&lt;=29,"19-29",B158&gt;=49,"30-49",B158&gt;=69,"50-69",TRUE,"70+")</f>
        <v>19-29</v>
      </c>
      <c r="D158" t="s">
        <v>29</v>
      </c>
      <c r="E158" t="s">
        <v>44</v>
      </c>
      <c r="F158" t="s">
        <v>31</v>
      </c>
      <c r="G158" t="s">
        <v>32</v>
      </c>
      <c r="H158" t="s">
        <v>30</v>
      </c>
      <c r="I158" t="s">
        <v>405</v>
      </c>
      <c r="J158" t="s">
        <v>104</v>
      </c>
      <c r="K158" s="2">
        <v>393.03</v>
      </c>
      <c r="L158">
        <v>4</v>
      </c>
      <c r="M158" t="s">
        <v>35</v>
      </c>
      <c r="N158">
        <v>4</v>
      </c>
      <c r="O158">
        <v>4</v>
      </c>
      <c r="P158">
        <v>0</v>
      </c>
      <c r="Q158" t="s">
        <v>44</v>
      </c>
      <c r="R158" t="s">
        <v>37</v>
      </c>
      <c r="S158">
        <v>1</v>
      </c>
      <c r="T158">
        <v>3</v>
      </c>
      <c r="U158" t="s">
        <v>49</v>
      </c>
      <c r="V158" t="s">
        <v>60</v>
      </c>
      <c r="W158" t="s">
        <v>86</v>
      </c>
      <c r="X158" s="3">
        <v>45450</v>
      </c>
      <c r="Y158" s="1" t="str">
        <f t="shared" si="4"/>
        <v>Jun</v>
      </c>
      <c r="Z158" s="1" t="str">
        <f t="shared" si="5"/>
        <v>2024</v>
      </c>
      <c r="AA158" t="b">
        <v>1</v>
      </c>
      <c r="AB158" t="b">
        <v>1</v>
      </c>
      <c r="AC158" t="s">
        <v>74</v>
      </c>
      <c r="AD158" t="s">
        <v>53</v>
      </c>
      <c r="AE158">
        <v>7</v>
      </c>
    </row>
    <row r="159" spans="1:31" x14ac:dyDescent="0.3">
      <c r="A159" t="s">
        <v>406</v>
      </c>
      <c r="B159">
        <v>37</v>
      </c>
      <c r="C159" t="str" cm="1">
        <f t="array" ref="C159">_xlfn.IFS(B159&lt;=18,"0-18",B159&lt;=29,"19-29",B159&gt;=49,"30-49",B159&gt;=69,"50-69",TRUE,"70+")</f>
        <v>70+</v>
      </c>
      <c r="D159" t="s">
        <v>29</v>
      </c>
      <c r="E159" t="s">
        <v>44</v>
      </c>
      <c r="F159" t="s">
        <v>55</v>
      </c>
      <c r="G159" t="s">
        <v>56</v>
      </c>
      <c r="H159" t="s">
        <v>30</v>
      </c>
      <c r="I159" t="s">
        <v>407</v>
      </c>
      <c r="J159" t="s">
        <v>107</v>
      </c>
      <c r="K159" s="2">
        <v>102.09</v>
      </c>
      <c r="L159">
        <v>3</v>
      </c>
      <c r="M159" t="s">
        <v>35</v>
      </c>
      <c r="N159">
        <v>1</v>
      </c>
      <c r="O159">
        <v>4</v>
      </c>
      <c r="P159">
        <v>0</v>
      </c>
      <c r="Q159" t="s">
        <v>36</v>
      </c>
      <c r="R159" t="s">
        <v>85</v>
      </c>
      <c r="S159">
        <v>1</v>
      </c>
      <c r="T159">
        <v>9</v>
      </c>
      <c r="U159" t="s">
        <v>49</v>
      </c>
      <c r="V159" t="s">
        <v>38</v>
      </c>
      <c r="W159" t="s">
        <v>51</v>
      </c>
      <c r="X159" s="3">
        <v>45451</v>
      </c>
      <c r="Y159" s="1" t="str">
        <f t="shared" si="4"/>
        <v>Jun</v>
      </c>
      <c r="Z159" s="1" t="str">
        <f t="shared" si="5"/>
        <v>2024</v>
      </c>
      <c r="AA159" t="b">
        <v>0</v>
      </c>
      <c r="AB159" t="b">
        <v>1</v>
      </c>
      <c r="AC159" t="s">
        <v>40</v>
      </c>
      <c r="AD159" t="s">
        <v>67</v>
      </c>
      <c r="AE159">
        <v>1</v>
      </c>
    </row>
    <row r="160" spans="1:31" x14ac:dyDescent="0.3">
      <c r="A160" t="s">
        <v>408</v>
      </c>
      <c r="B160">
        <v>32</v>
      </c>
      <c r="C160" t="str" cm="1">
        <f t="array" ref="C160">_xlfn.IFS(B160&lt;=18,"0-18",B160&lt;=29,"19-29",B160&gt;=49,"30-49",B160&gt;=69,"50-69",TRUE,"70+")</f>
        <v>70+</v>
      </c>
      <c r="D160" t="s">
        <v>43</v>
      </c>
      <c r="E160" t="s">
        <v>30</v>
      </c>
      <c r="F160" t="s">
        <v>31</v>
      </c>
      <c r="G160" t="s">
        <v>32</v>
      </c>
      <c r="H160" t="s">
        <v>44</v>
      </c>
      <c r="I160" t="s">
        <v>409</v>
      </c>
      <c r="J160" t="s">
        <v>104</v>
      </c>
      <c r="K160" s="2">
        <v>426.21</v>
      </c>
      <c r="L160">
        <v>3</v>
      </c>
      <c r="M160" t="s">
        <v>35</v>
      </c>
      <c r="N160">
        <v>1</v>
      </c>
      <c r="O160">
        <v>4</v>
      </c>
      <c r="P160">
        <v>2</v>
      </c>
      <c r="Q160" t="s">
        <v>44</v>
      </c>
      <c r="R160" t="s">
        <v>37</v>
      </c>
      <c r="S160">
        <v>2</v>
      </c>
      <c r="T160">
        <v>5</v>
      </c>
      <c r="U160" t="s">
        <v>44</v>
      </c>
      <c r="V160" t="s">
        <v>60</v>
      </c>
      <c r="W160" t="s">
        <v>66</v>
      </c>
      <c r="X160" s="3">
        <v>45452</v>
      </c>
      <c r="Y160" s="1" t="str">
        <f t="shared" si="4"/>
        <v>Jun</v>
      </c>
      <c r="Z160" s="1" t="str">
        <f t="shared" si="5"/>
        <v>2024</v>
      </c>
      <c r="AA160" t="b">
        <v>0</v>
      </c>
      <c r="AB160" t="b">
        <v>1</v>
      </c>
      <c r="AC160" t="s">
        <v>52</v>
      </c>
      <c r="AD160" t="s">
        <v>53</v>
      </c>
      <c r="AE160">
        <v>2</v>
      </c>
    </row>
    <row r="161" spans="1:31" x14ac:dyDescent="0.3">
      <c r="A161" t="s">
        <v>410</v>
      </c>
      <c r="B161">
        <v>42</v>
      </c>
      <c r="C161" t="str" cm="1">
        <f t="array" ref="C161">_xlfn.IFS(B161&lt;=18,"0-18",B161&lt;=29,"19-29",B161&gt;=49,"30-49",B161&gt;=69,"50-69",TRUE,"70+")</f>
        <v>70+</v>
      </c>
      <c r="D161" t="s">
        <v>43</v>
      </c>
      <c r="E161" t="s">
        <v>30</v>
      </c>
      <c r="F161" t="s">
        <v>69</v>
      </c>
      <c r="G161" t="s">
        <v>56</v>
      </c>
      <c r="H161" t="s">
        <v>44</v>
      </c>
      <c r="I161" t="s">
        <v>411</v>
      </c>
      <c r="J161" t="s">
        <v>135</v>
      </c>
      <c r="K161" s="2">
        <v>140.31</v>
      </c>
      <c r="L161">
        <v>2</v>
      </c>
      <c r="M161" t="s">
        <v>78</v>
      </c>
      <c r="N161">
        <v>2</v>
      </c>
      <c r="O161">
        <v>4</v>
      </c>
      <c r="P161">
        <v>1</v>
      </c>
      <c r="Q161" t="s">
        <v>59</v>
      </c>
      <c r="R161" t="s">
        <v>85</v>
      </c>
      <c r="S161">
        <v>2</v>
      </c>
      <c r="T161">
        <v>5</v>
      </c>
      <c r="U161" t="s">
        <v>36</v>
      </c>
      <c r="V161" t="s">
        <v>79</v>
      </c>
      <c r="W161" t="s">
        <v>86</v>
      </c>
      <c r="X161" s="3">
        <v>45453</v>
      </c>
      <c r="Y161" s="1" t="str">
        <f t="shared" si="4"/>
        <v>Jun</v>
      </c>
      <c r="Z161" s="1" t="str">
        <f t="shared" si="5"/>
        <v>2024</v>
      </c>
      <c r="AA161" t="b">
        <v>1</v>
      </c>
      <c r="AB161" t="b">
        <v>1</v>
      </c>
      <c r="AC161" t="s">
        <v>62</v>
      </c>
      <c r="AD161" t="s">
        <v>67</v>
      </c>
      <c r="AE161">
        <v>8</v>
      </c>
    </row>
    <row r="162" spans="1:31" x14ac:dyDescent="0.3">
      <c r="A162" t="s">
        <v>412</v>
      </c>
      <c r="B162">
        <v>18</v>
      </c>
      <c r="C162" t="str" cm="1">
        <f t="array" ref="C162">_xlfn.IFS(B162&lt;=18,"0-18",B162&lt;=29,"19-29",B162&gt;=49,"30-49",B162&gt;=69,"50-69",TRUE,"70+")</f>
        <v>0-18</v>
      </c>
      <c r="D162" t="s">
        <v>29</v>
      </c>
      <c r="E162" t="s">
        <v>44</v>
      </c>
      <c r="F162" t="s">
        <v>69</v>
      </c>
      <c r="G162" t="s">
        <v>56</v>
      </c>
      <c r="H162" t="s">
        <v>30</v>
      </c>
      <c r="I162" t="s">
        <v>413</v>
      </c>
      <c r="J162" t="s">
        <v>120</v>
      </c>
      <c r="K162" s="2">
        <v>413.7</v>
      </c>
      <c r="L162">
        <v>8</v>
      </c>
      <c r="M162" t="s">
        <v>35</v>
      </c>
      <c r="N162">
        <v>3</v>
      </c>
      <c r="O162">
        <v>3</v>
      </c>
      <c r="P162">
        <v>0.3</v>
      </c>
      <c r="Q162" t="s">
        <v>59</v>
      </c>
      <c r="R162" t="s">
        <v>85</v>
      </c>
      <c r="S162">
        <v>0</v>
      </c>
      <c r="T162">
        <v>9</v>
      </c>
      <c r="U162" t="s">
        <v>44</v>
      </c>
      <c r="V162" t="s">
        <v>79</v>
      </c>
      <c r="W162" t="s">
        <v>66</v>
      </c>
      <c r="X162" s="3">
        <v>45454</v>
      </c>
      <c r="Y162" s="1" t="str">
        <f t="shared" si="4"/>
        <v>Jun</v>
      </c>
      <c r="Z162" s="1" t="str">
        <f t="shared" si="5"/>
        <v>2024</v>
      </c>
      <c r="AA162" t="b">
        <v>0</v>
      </c>
      <c r="AB162" t="b">
        <v>1</v>
      </c>
      <c r="AC162" t="s">
        <v>40</v>
      </c>
      <c r="AD162" t="s">
        <v>41</v>
      </c>
      <c r="AE162">
        <v>6</v>
      </c>
    </row>
    <row r="163" spans="1:31" x14ac:dyDescent="0.3">
      <c r="A163" t="s">
        <v>414</v>
      </c>
      <c r="B163">
        <v>49</v>
      </c>
      <c r="C163" t="str" cm="1">
        <f t="array" ref="C163">_xlfn.IFS(B163&lt;=18,"0-18",B163&lt;=29,"19-29",B163&gt;=49,"30-49",B163&gt;=69,"50-69",TRUE,"70+")</f>
        <v>30-49</v>
      </c>
      <c r="D163" t="s">
        <v>43</v>
      </c>
      <c r="E163" t="s">
        <v>44</v>
      </c>
      <c r="F163" t="s">
        <v>69</v>
      </c>
      <c r="G163" t="s">
        <v>56</v>
      </c>
      <c r="H163" t="s">
        <v>30</v>
      </c>
      <c r="I163" t="s">
        <v>415</v>
      </c>
      <c r="J163" t="s">
        <v>135</v>
      </c>
      <c r="K163" s="2">
        <v>348.63</v>
      </c>
      <c r="L163">
        <v>4</v>
      </c>
      <c r="M163" t="s">
        <v>78</v>
      </c>
      <c r="N163">
        <v>5</v>
      </c>
      <c r="O163">
        <v>2</v>
      </c>
      <c r="P163">
        <v>0</v>
      </c>
      <c r="Q163" t="s">
        <v>44</v>
      </c>
      <c r="R163" t="s">
        <v>37</v>
      </c>
      <c r="S163">
        <v>0</v>
      </c>
      <c r="T163">
        <v>7</v>
      </c>
      <c r="U163" t="s">
        <v>36</v>
      </c>
      <c r="V163" t="s">
        <v>60</v>
      </c>
      <c r="W163" t="s">
        <v>61</v>
      </c>
      <c r="X163" s="3">
        <v>45455</v>
      </c>
      <c r="Y163" s="1" t="str">
        <f t="shared" si="4"/>
        <v>Jun</v>
      </c>
      <c r="Z163" s="1" t="str">
        <f t="shared" si="5"/>
        <v>2024</v>
      </c>
      <c r="AA163" t="b">
        <v>0</v>
      </c>
      <c r="AB163" t="b">
        <v>0</v>
      </c>
      <c r="AC163" t="s">
        <v>74</v>
      </c>
      <c r="AD163" t="s">
        <v>41</v>
      </c>
      <c r="AE163">
        <v>6</v>
      </c>
    </row>
    <row r="164" spans="1:31" x14ac:dyDescent="0.3">
      <c r="A164" t="s">
        <v>416</v>
      </c>
      <c r="B164">
        <v>23</v>
      </c>
      <c r="C164" t="str" cm="1">
        <f t="array" ref="C164">_xlfn.IFS(B164&lt;=18,"0-18",B164&lt;=29,"19-29",B164&gt;=49,"30-49",B164&gt;=69,"50-69",TRUE,"70+")</f>
        <v>19-29</v>
      </c>
      <c r="D164" t="s">
        <v>29</v>
      </c>
      <c r="E164" t="s">
        <v>30</v>
      </c>
      <c r="F164" t="s">
        <v>69</v>
      </c>
      <c r="G164" t="s">
        <v>45</v>
      </c>
      <c r="H164" t="s">
        <v>30</v>
      </c>
      <c r="I164" t="s">
        <v>417</v>
      </c>
      <c r="J164" t="s">
        <v>101</v>
      </c>
      <c r="K164" s="2">
        <v>91.27</v>
      </c>
      <c r="L164">
        <v>7</v>
      </c>
      <c r="M164" t="s">
        <v>48</v>
      </c>
      <c r="N164">
        <v>5</v>
      </c>
      <c r="O164">
        <v>1</v>
      </c>
      <c r="P164">
        <v>0</v>
      </c>
      <c r="Q164" t="s">
        <v>44</v>
      </c>
      <c r="R164" t="s">
        <v>50</v>
      </c>
      <c r="S164">
        <v>2</v>
      </c>
      <c r="T164">
        <v>6</v>
      </c>
      <c r="U164" t="s">
        <v>36</v>
      </c>
      <c r="V164" t="s">
        <v>38</v>
      </c>
      <c r="W164" t="s">
        <v>86</v>
      </c>
      <c r="X164" s="3">
        <v>45456</v>
      </c>
      <c r="Y164" s="1" t="str">
        <f t="shared" si="4"/>
        <v>Jun</v>
      </c>
      <c r="Z164" s="1" t="str">
        <f t="shared" si="5"/>
        <v>2024</v>
      </c>
      <c r="AA164" t="b">
        <v>1</v>
      </c>
      <c r="AB164" t="b">
        <v>1</v>
      </c>
      <c r="AC164" t="s">
        <v>74</v>
      </c>
      <c r="AD164" t="s">
        <v>67</v>
      </c>
      <c r="AE164">
        <v>13</v>
      </c>
    </row>
    <row r="165" spans="1:31" x14ac:dyDescent="0.3">
      <c r="A165" t="s">
        <v>418</v>
      </c>
      <c r="B165">
        <v>29</v>
      </c>
      <c r="C165" t="str" cm="1">
        <f t="array" ref="C165">_xlfn.IFS(B165&lt;=18,"0-18",B165&lt;=29,"19-29",B165&gt;=49,"30-49",B165&gt;=69,"50-69",TRUE,"70+")</f>
        <v>19-29</v>
      </c>
      <c r="D165" t="s">
        <v>29</v>
      </c>
      <c r="E165" t="s">
        <v>44</v>
      </c>
      <c r="F165" t="s">
        <v>76</v>
      </c>
      <c r="G165" t="s">
        <v>32</v>
      </c>
      <c r="H165" t="s">
        <v>44</v>
      </c>
      <c r="I165" t="s">
        <v>419</v>
      </c>
      <c r="J165" t="s">
        <v>98</v>
      </c>
      <c r="K165" s="2">
        <v>359.94</v>
      </c>
      <c r="L165">
        <v>11</v>
      </c>
      <c r="M165" t="s">
        <v>35</v>
      </c>
      <c r="N165">
        <v>2</v>
      </c>
      <c r="O165">
        <v>5</v>
      </c>
      <c r="P165">
        <v>2</v>
      </c>
      <c r="Q165" t="s">
        <v>36</v>
      </c>
      <c r="R165" t="s">
        <v>85</v>
      </c>
      <c r="S165">
        <v>1</v>
      </c>
      <c r="T165">
        <v>8</v>
      </c>
      <c r="U165" t="s">
        <v>59</v>
      </c>
      <c r="V165" t="s">
        <v>60</v>
      </c>
      <c r="W165" t="s">
        <v>86</v>
      </c>
      <c r="X165" s="3">
        <v>45457</v>
      </c>
      <c r="Y165" s="1" t="str">
        <f t="shared" si="4"/>
        <v>Jun</v>
      </c>
      <c r="Z165" s="1" t="str">
        <f t="shared" si="5"/>
        <v>2024</v>
      </c>
      <c r="AA165" t="b">
        <v>0</v>
      </c>
      <c r="AB165" t="b">
        <v>1</v>
      </c>
      <c r="AC165" t="s">
        <v>52</v>
      </c>
      <c r="AD165" t="s">
        <v>67</v>
      </c>
      <c r="AE165">
        <v>9</v>
      </c>
    </row>
    <row r="166" spans="1:31" x14ac:dyDescent="0.3">
      <c r="A166" t="s">
        <v>420</v>
      </c>
      <c r="B166">
        <v>25</v>
      </c>
      <c r="C166" t="str" cm="1">
        <f t="array" ref="C166">_xlfn.IFS(B166&lt;=18,"0-18",B166&lt;=29,"19-29",B166&gt;=49,"30-49",B166&gt;=69,"50-69",TRUE,"70+")</f>
        <v>19-29</v>
      </c>
      <c r="D166" t="s">
        <v>43</v>
      </c>
      <c r="E166" t="s">
        <v>30</v>
      </c>
      <c r="F166" t="s">
        <v>76</v>
      </c>
      <c r="G166" t="s">
        <v>45</v>
      </c>
      <c r="H166" t="s">
        <v>30</v>
      </c>
      <c r="I166" t="s">
        <v>421</v>
      </c>
      <c r="J166" t="s">
        <v>34</v>
      </c>
      <c r="K166" s="2">
        <v>138.19999999999999</v>
      </c>
      <c r="L166">
        <v>8</v>
      </c>
      <c r="M166" t="s">
        <v>48</v>
      </c>
      <c r="N166">
        <v>1</v>
      </c>
      <c r="O166">
        <v>2</v>
      </c>
      <c r="P166">
        <v>2</v>
      </c>
      <c r="Q166" t="s">
        <v>44</v>
      </c>
      <c r="R166" t="s">
        <v>50</v>
      </c>
      <c r="S166">
        <v>0</v>
      </c>
      <c r="T166">
        <v>6</v>
      </c>
      <c r="U166" t="s">
        <v>59</v>
      </c>
      <c r="V166" t="s">
        <v>79</v>
      </c>
      <c r="W166" t="s">
        <v>61</v>
      </c>
      <c r="X166" s="3">
        <v>45458</v>
      </c>
      <c r="Y166" s="1" t="str">
        <f t="shared" si="4"/>
        <v>Jun</v>
      </c>
      <c r="Z166" s="1" t="str">
        <f t="shared" si="5"/>
        <v>2024</v>
      </c>
      <c r="AA166" t="b">
        <v>0</v>
      </c>
      <c r="AB166" t="b">
        <v>1</v>
      </c>
      <c r="AC166" t="s">
        <v>40</v>
      </c>
      <c r="AD166" t="s">
        <v>41</v>
      </c>
      <c r="AE166">
        <v>12</v>
      </c>
    </row>
    <row r="167" spans="1:31" x14ac:dyDescent="0.3">
      <c r="A167" t="s">
        <v>422</v>
      </c>
      <c r="B167">
        <v>38</v>
      </c>
      <c r="C167" t="str" cm="1">
        <f t="array" ref="C167">_xlfn.IFS(B167&lt;=18,"0-18",B167&lt;=29,"19-29",B167&gt;=49,"30-49",B167&gt;=69,"50-69",TRUE,"70+")</f>
        <v>70+</v>
      </c>
      <c r="D167" t="s">
        <v>274</v>
      </c>
      <c r="E167" t="s">
        <v>44</v>
      </c>
      <c r="F167" t="s">
        <v>76</v>
      </c>
      <c r="G167" t="s">
        <v>45</v>
      </c>
      <c r="H167" t="s">
        <v>44</v>
      </c>
      <c r="I167" t="s">
        <v>423</v>
      </c>
      <c r="J167" t="s">
        <v>65</v>
      </c>
      <c r="K167" s="2">
        <v>196.33</v>
      </c>
      <c r="L167">
        <v>11</v>
      </c>
      <c r="M167" t="s">
        <v>78</v>
      </c>
      <c r="N167">
        <v>4</v>
      </c>
      <c r="O167">
        <v>3</v>
      </c>
      <c r="P167">
        <v>1</v>
      </c>
      <c r="Q167" t="s">
        <v>49</v>
      </c>
      <c r="R167" t="s">
        <v>50</v>
      </c>
      <c r="S167">
        <v>0</v>
      </c>
      <c r="T167">
        <v>5</v>
      </c>
      <c r="U167" t="s">
        <v>36</v>
      </c>
      <c r="V167" t="s">
        <v>79</v>
      </c>
      <c r="W167" t="s">
        <v>61</v>
      </c>
      <c r="X167" s="3">
        <v>45459</v>
      </c>
      <c r="Y167" s="1" t="str">
        <f t="shared" si="4"/>
        <v>Jun</v>
      </c>
      <c r="Z167" s="1" t="str">
        <f t="shared" si="5"/>
        <v>2024</v>
      </c>
      <c r="AA167" t="b">
        <v>1</v>
      </c>
      <c r="AB167" t="b">
        <v>1</v>
      </c>
      <c r="AC167" t="s">
        <v>74</v>
      </c>
      <c r="AD167" t="s">
        <v>53</v>
      </c>
      <c r="AE167">
        <v>11</v>
      </c>
    </row>
    <row r="168" spans="1:31" x14ac:dyDescent="0.3">
      <c r="A168" t="s">
        <v>424</v>
      </c>
      <c r="B168">
        <v>32</v>
      </c>
      <c r="C168" t="str" cm="1">
        <f t="array" ref="C168">_xlfn.IFS(B168&lt;=18,"0-18",B168&lt;=29,"19-29",B168&gt;=49,"30-49",B168&gt;=69,"50-69",TRUE,"70+")</f>
        <v>70+</v>
      </c>
      <c r="D168" t="s">
        <v>29</v>
      </c>
      <c r="E168" t="s">
        <v>30</v>
      </c>
      <c r="F168" t="s">
        <v>69</v>
      </c>
      <c r="G168" t="s">
        <v>32</v>
      </c>
      <c r="H168" t="s">
        <v>30</v>
      </c>
      <c r="I168" t="s">
        <v>311</v>
      </c>
      <c r="J168" t="s">
        <v>114</v>
      </c>
      <c r="K168" s="2">
        <v>249.24</v>
      </c>
      <c r="L168">
        <v>8</v>
      </c>
      <c r="M168" t="s">
        <v>48</v>
      </c>
      <c r="N168">
        <v>4</v>
      </c>
      <c r="O168">
        <v>3</v>
      </c>
      <c r="P168">
        <v>1</v>
      </c>
      <c r="Q168" t="s">
        <v>49</v>
      </c>
      <c r="R168" t="s">
        <v>37</v>
      </c>
      <c r="S168">
        <v>2</v>
      </c>
      <c r="T168">
        <v>3</v>
      </c>
      <c r="U168" t="s">
        <v>44</v>
      </c>
      <c r="V168" t="s">
        <v>60</v>
      </c>
      <c r="W168" t="s">
        <v>86</v>
      </c>
      <c r="X168" s="3">
        <v>45460</v>
      </c>
      <c r="Y168" s="1" t="str">
        <f t="shared" si="4"/>
        <v>Jun</v>
      </c>
      <c r="Z168" s="1" t="str">
        <f t="shared" si="5"/>
        <v>2024</v>
      </c>
      <c r="AA168" t="b">
        <v>0</v>
      </c>
      <c r="AB168" t="b">
        <v>1</v>
      </c>
      <c r="AC168" t="s">
        <v>40</v>
      </c>
      <c r="AD168" t="s">
        <v>53</v>
      </c>
      <c r="AE168">
        <v>7</v>
      </c>
    </row>
    <row r="169" spans="1:31" x14ac:dyDescent="0.3">
      <c r="A169" t="s">
        <v>425</v>
      </c>
      <c r="B169">
        <v>45</v>
      </c>
      <c r="C169" t="str" cm="1">
        <f t="array" ref="C169">_xlfn.IFS(B169&lt;=18,"0-18",B169&lt;=29,"19-29",B169&gt;=49,"30-49",B169&gt;=69,"50-69",TRUE,"70+")</f>
        <v>70+</v>
      </c>
      <c r="D169" t="s">
        <v>43</v>
      </c>
      <c r="E169" t="s">
        <v>44</v>
      </c>
      <c r="F169" t="s">
        <v>76</v>
      </c>
      <c r="G169" t="s">
        <v>45</v>
      </c>
      <c r="H169" t="s">
        <v>44</v>
      </c>
      <c r="I169" t="s">
        <v>426</v>
      </c>
      <c r="J169" t="s">
        <v>71</v>
      </c>
      <c r="K169" s="2">
        <v>129.1</v>
      </c>
      <c r="L169">
        <v>12</v>
      </c>
      <c r="M169" t="s">
        <v>35</v>
      </c>
      <c r="N169">
        <v>5</v>
      </c>
      <c r="O169">
        <v>3</v>
      </c>
      <c r="P169">
        <v>2</v>
      </c>
      <c r="Q169" t="s">
        <v>59</v>
      </c>
      <c r="R169" t="s">
        <v>50</v>
      </c>
      <c r="S169">
        <v>0</v>
      </c>
      <c r="T169">
        <v>8</v>
      </c>
      <c r="U169" t="s">
        <v>44</v>
      </c>
      <c r="V169" t="s">
        <v>79</v>
      </c>
      <c r="W169" t="s">
        <v>39</v>
      </c>
      <c r="X169" s="3">
        <v>45461</v>
      </c>
      <c r="Y169" s="1" t="str">
        <f t="shared" si="4"/>
        <v>Jun</v>
      </c>
      <c r="Z169" s="1" t="str">
        <f t="shared" si="5"/>
        <v>2024</v>
      </c>
      <c r="AA169" t="b">
        <v>1</v>
      </c>
      <c r="AB169" t="b">
        <v>0</v>
      </c>
      <c r="AC169" t="s">
        <v>74</v>
      </c>
      <c r="AD169" t="s">
        <v>41</v>
      </c>
      <c r="AE169">
        <v>7</v>
      </c>
    </row>
    <row r="170" spans="1:31" x14ac:dyDescent="0.3">
      <c r="A170" t="s">
        <v>427</v>
      </c>
      <c r="B170">
        <v>45</v>
      </c>
      <c r="C170" t="str" cm="1">
        <f t="array" ref="C170">_xlfn.IFS(B170&lt;=18,"0-18",B170&lt;=29,"19-29",B170&gt;=49,"30-49",B170&gt;=69,"50-69",TRUE,"70+")</f>
        <v>70+</v>
      </c>
      <c r="D170" t="s">
        <v>29</v>
      </c>
      <c r="E170" t="s">
        <v>44</v>
      </c>
      <c r="F170" t="s">
        <v>31</v>
      </c>
      <c r="G170" t="s">
        <v>56</v>
      </c>
      <c r="H170" t="s">
        <v>44</v>
      </c>
      <c r="I170" t="s">
        <v>428</v>
      </c>
      <c r="J170" t="s">
        <v>123</v>
      </c>
      <c r="K170" s="2">
        <v>112.69</v>
      </c>
      <c r="L170">
        <v>10</v>
      </c>
      <c r="M170" t="s">
        <v>48</v>
      </c>
      <c r="N170">
        <v>1</v>
      </c>
      <c r="O170">
        <v>4</v>
      </c>
      <c r="P170">
        <v>0</v>
      </c>
      <c r="Q170" t="s">
        <v>44</v>
      </c>
      <c r="R170" t="s">
        <v>50</v>
      </c>
      <c r="S170">
        <v>0</v>
      </c>
      <c r="T170">
        <v>7</v>
      </c>
      <c r="U170" t="s">
        <v>49</v>
      </c>
      <c r="V170" t="s">
        <v>60</v>
      </c>
      <c r="W170" t="s">
        <v>61</v>
      </c>
      <c r="X170" s="3">
        <v>45462</v>
      </c>
      <c r="Y170" s="1" t="str">
        <f t="shared" si="4"/>
        <v>Jun</v>
      </c>
      <c r="Z170" s="1" t="str">
        <f t="shared" si="5"/>
        <v>2024</v>
      </c>
      <c r="AA170" t="b">
        <v>0</v>
      </c>
      <c r="AB170" t="b">
        <v>1</v>
      </c>
      <c r="AC170" t="s">
        <v>40</v>
      </c>
      <c r="AD170" t="s">
        <v>53</v>
      </c>
      <c r="AE170">
        <v>1</v>
      </c>
    </row>
    <row r="171" spans="1:31" x14ac:dyDescent="0.3">
      <c r="A171" t="s">
        <v>429</v>
      </c>
      <c r="B171">
        <v>46</v>
      </c>
      <c r="C171" t="str" cm="1">
        <f t="array" ref="C171">_xlfn.IFS(B171&lt;=18,"0-18",B171&lt;=29,"19-29",B171&gt;=49,"30-49",B171&gt;=69,"50-69",TRUE,"70+")</f>
        <v>70+</v>
      </c>
      <c r="D171" t="s">
        <v>43</v>
      </c>
      <c r="E171" t="s">
        <v>30</v>
      </c>
      <c r="F171" t="s">
        <v>69</v>
      </c>
      <c r="G171" t="s">
        <v>32</v>
      </c>
      <c r="H171" t="s">
        <v>44</v>
      </c>
      <c r="I171" t="s">
        <v>430</v>
      </c>
      <c r="J171" t="s">
        <v>188</v>
      </c>
      <c r="K171" s="2">
        <v>267.85000000000002</v>
      </c>
      <c r="L171">
        <v>5</v>
      </c>
      <c r="M171" t="s">
        <v>78</v>
      </c>
      <c r="N171">
        <v>5</v>
      </c>
      <c r="O171">
        <v>2</v>
      </c>
      <c r="P171">
        <v>2</v>
      </c>
      <c r="Q171" t="s">
        <v>49</v>
      </c>
      <c r="R171" t="s">
        <v>37</v>
      </c>
      <c r="S171">
        <v>1</v>
      </c>
      <c r="T171">
        <v>5</v>
      </c>
      <c r="U171" t="s">
        <v>44</v>
      </c>
      <c r="V171" t="s">
        <v>60</v>
      </c>
      <c r="W171" t="s">
        <v>39</v>
      </c>
      <c r="X171" s="3">
        <v>45463</v>
      </c>
      <c r="Y171" s="1" t="str">
        <f t="shared" si="4"/>
        <v>Jun</v>
      </c>
      <c r="Z171" s="1" t="str">
        <f t="shared" si="5"/>
        <v>2024</v>
      </c>
      <c r="AA171" t="b">
        <v>0</v>
      </c>
      <c r="AB171" t="b">
        <v>1</v>
      </c>
      <c r="AC171" t="s">
        <v>40</v>
      </c>
      <c r="AD171" t="s">
        <v>53</v>
      </c>
      <c r="AE171">
        <v>7</v>
      </c>
    </row>
    <row r="172" spans="1:31" x14ac:dyDescent="0.3">
      <c r="A172" t="s">
        <v>431</v>
      </c>
      <c r="B172">
        <v>24</v>
      </c>
      <c r="C172" t="str" cm="1">
        <f t="array" ref="C172">_xlfn.IFS(B172&lt;=18,"0-18",B172&lt;=29,"19-29",B172&gt;=49,"30-49",B172&gt;=69,"50-69",TRUE,"70+")</f>
        <v>19-29</v>
      </c>
      <c r="D172" t="s">
        <v>43</v>
      </c>
      <c r="E172" t="s">
        <v>30</v>
      </c>
      <c r="F172" t="s">
        <v>76</v>
      </c>
      <c r="G172" t="s">
        <v>45</v>
      </c>
      <c r="H172" t="s">
        <v>30</v>
      </c>
      <c r="I172" t="s">
        <v>432</v>
      </c>
      <c r="J172" t="s">
        <v>65</v>
      </c>
      <c r="K172" s="2">
        <v>205.36</v>
      </c>
      <c r="L172">
        <v>12</v>
      </c>
      <c r="M172" t="s">
        <v>78</v>
      </c>
      <c r="N172">
        <v>1</v>
      </c>
      <c r="O172">
        <v>5</v>
      </c>
      <c r="P172">
        <v>2</v>
      </c>
      <c r="Q172" t="s">
        <v>44</v>
      </c>
      <c r="R172" t="s">
        <v>85</v>
      </c>
      <c r="S172">
        <v>0</v>
      </c>
      <c r="T172">
        <v>1</v>
      </c>
      <c r="U172" t="s">
        <v>59</v>
      </c>
      <c r="V172" t="s">
        <v>38</v>
      </c>
      <c r="W172" t="s">
        <v>39</v>
      </c>
      <c r="X172" s="3">
        <v>45464</v>
      </c>
      <c r="Y172" s="1" t="str">
        <f t="shared" si="4"/>
        <v>Jun</v>
      </c>
      <c r="Z172" s="1" t="str">
        <f t="shared" si="5"/>
        <v>2024</v>
      </c>
      <c r="AA172" t="b">
        <v>0</v>
      </c>
      <c r="AB172" t="b">
        <v>0</v>
      </c>
      <c r="AC172" t="s">
        <v>62</v>
      </c>
      <c r="AD172" t="s">
        <v>67</v>
      </c>
      <c r="AE172">
        <v>5</v>
      </c>
    </row>
    <row r="173" spans="1:31" x14ac:dyDescent="0.3">
      <c r="A173" t="s">
        <v>433</v>
      </c>
      <c r="B173">
        <v>48</v>
      </c>
      <c r="C173" t="str" cm="1">
        <f t="array" ref="C173">_xlfn.IFS(B173&lt;=18,"0-18",B173&lt;=29,"19-29",B173&gt;=49,"30-49",B173&gt;=69,"50-69",TRUE,"70+")</f>
        <v>70+</v>
      </c>
      <c r="D173" t="s">
        <v>212</v>
      </c>
      <c r="E173" t="s">
        <v>44</v>
      </c>
      <c r="F173" t="s">
        <v>76</v>
      </c>
      <c r="G173" t="s">
        <v>56</v>
      </c>
      <c r="H173" t="s">
        <v>44</v>
      </c>
      <c r="I173" t="s">
        <v>434</v>
      </c>
      <c r="J173" t="s">
        <v>142</v>
      </c>
      <c r="K173" s="2">
        <v>79.099999999999994</v>
      </c>
      <c r="L173">
        <v>10</v>
      </c>
      <c r="M173" t="s">
        <v>48</v>
      </c>
      <c r="N173">
        <v>5</v>
      </c>
      <c r="O173">
        <v>3</v>
      </c>
      <c r="P173">
        <v>1</v>
      </c>
      <c r="Q173" t="s">
        <v>36</v>
      </c>
      <c r="R173" t="s">
        <v>50</v>
      </c>
      <c r="S173">
        <v>0</v>
      </c>
      <c r="T173">
        <v>9</v>
      </c>
      <c r="U173" t="s">
        <v>49</v>
      </c>
      <c r="V173" t="s">
        <v>38</v>
      </c>
      <c r="W173" t="s">
        <v>61</v>
      </c>
      <c r="X173" s="3">
        <v>45465</v>
      </c>
      <c r="Y173" s="1" t="str">
        <f t="shared" si="4"/>
        <v>Jun</v>
      </c>
      <c r="Z173" s="1" t="str">
        <f t="shared" si="5"/>
        <v>2024</v>
      </c>
      <c r="AA173" t="b">
        <v>1</v>
      </c>
      <c r="AB173" t="b">
        <v>0</v>
      </c>
      <c r="AC173" t="s">
        <v>40</v>
      </c>
      <c r="AD173" t="s">
        <v>67</v>
      </c>
      <c r="AE173">
        <v>4</v>
      </c>
    </row>
    <row r="174" spans="1:31" x14ac:dyDescent="0.3">
      <c r="A174" t="s">
        <v>435</v>
      </c>
      <c r="B174">
        <v>35</v>
      </c>
      <c r="C174" t="str" cm="1">
        <f t="array" ref="C174">_xlfn.IFS(B174&lt;=18,"0-18",B174&lt;=29,"19-29",B174&gt;=49,"30-49",B174&gt;=69,"50-69",TRUE,"70+")</f>
        <v>70+</v>
      </c>
      <c r="D174" t="s">
        <v>43</v>
      </c>
      <c r="E174" t="s">
        <v>44</v>
      </c>
      <c r="F174" t="s">
        <v>69</v>
      </c>
      <c r="G174" t="s">
        <v>45</v>
      </c>
      <c r="H174" t="s">
        <v>30</v>
      </c>
      <c r="I174" t="s">
        <v>436</v>
      </c>
      <c r="J174" t="s">
        <v>104</v>
      </c>
      <c r="K174" s="2">
        <v>256.63</v>
      </c>
      <c r="L174">
        <v>12</v>
      </c>
      <c r="M174" t="s">
        <v>48</v>
      </c>
      <c r="N174">
        <v>1</v>
      </c>
      <c r="O174">
        <v>4</v>
      </c>
      <c r="P174">
        <v>0</v>
      </c>
      <c r="Q174" t="s">
        <v>44</v>
      </c>
      <c r="R174" t="s">
        <v>37</v>
      </c>
      <c r="S174">
        <v>2</v>
      </c>
      <c r="T174">
        <v>2</v>
      </c>
      <c r="U174" t="s">
        <v>36</v>
      </c>
      <c r="V174" t="s">
        <v>60</v>
      </c>
      <c r="W174" t="s">
        <v>61</v>
      </c>
      <c r="X174" s="3">
        <v>45466</v>
      </c>
      <c r="Y174" s="1" t="str">
        <f t="shared" si="4"/>
        <v>Jun</v>
      </c>
      <c r="Z174" s="1" t="str">
        <f t="shared" si="5"/>
        <v>2024</v>
      </c>
      <c r="AA174" t="b">
        <v>1</v>
      </c>
      <c r="AB174" t="b">
        <v>1</v>
      </c>
      <c r="AC174" t="s">
        <v>62</v>
      </c>
      <c r="AD174" t="s">
        <v>53</v>
      </c>
      <c r="AE174">
        <v>10</v>
      </c>
    </row>
    <row r="175" spans="1:31" x14ac:dyDescent="0.3">
      <c r="A175" t="s">
        <v>437</v>
      </c>
      <c r="B175">
        <v>50</v>
      </c>
      <c r="C175" t="str" cm="1">
        <f t="array" ref="C175">_xlfn.IFS(B175&lt;=18,"0-18",B175&lt;=29,"19-29",B175&gt;=49,"30-49",B175&gt;=69,"50-69",TRUE,"70+")</f>
        <v>30-49</v>
      </c>
      <c r="D175" t="s">
        <v>29</v>
      </c>
      <c r="E175" t="s">
        <v>44</v>
      </c>
      <c r="F175" t="s">
        <v>76</v>
      </c>
      <c r="G175" t="s">
        <v>45</v>
      </c>
      <c r="H175" t="s">
        <v>30</v>
      </c>
      <c r="I175" t="s">
        <v>438</v>
      </c>
      <c r="J175" t="s">
        <v>82</v>
      </c>
      <c r="K175" s="2">
        <v>409.98</v>
      </c>
      <c r="L175">
        <v>12</v>
      </c>
      <c r="M175" t="s">
        <v>35</v>
      </c>
      <c r="N175">
        <v>5</v>
      </c>
      <c r="O175">
        <v>4</v>
      </c>
      <c r="P175">
        <v>0</v>
      </c>
      <c r="Q175" t="s">
        <v>36</v>
      </c>
      <c r="R175" t="s">
        <v>50</v>
      </c>
      <c r="S175">
        <v>2</v>
      </c>
      <c r="T175">
        <v>1</v>
      </c>
      <c r="U175" t="s">
        <v>49</v>
      </c>
      <c r="V175" t="s">
        <v>79</v>
      </c>
      <c r="W175" t="s">
        <v>51</v>
      </c>
      <c r="X175" s="3">
        <v>45467</v>
      </c>
      <c r="Y175" s="1" t="str">
        <f t="shared" si="4"/>
        <v>Jun</v>
      </c>
      <c r="Z175" s="1" t="str">
        <f t="shared" si="5"/>
        <v>2024</v>
      </c>
      <c r="AA175" t="b">
        <v>1</v>
      </c>
      <c r="AB175" t="b">
        <v>0</v>
      </c>
      <c r="AC175" t="s">
        <v>52</v>
      </c>
      <c r="AD175" t="s">
        <v>67</v>
      </c>
      <c r="AE175">
        <v>8</v>
      </c>
    </row>
    <row r="176" spans="1:31" x14ac:dyDescent="0.3">
      <c r="A176" t="s">
        <v>439</v>
      </c>
      <c r="B176">
        <v>34</v>
      </c>
      <c r="C176" t="str" cm="1">
        <f t="array" ref="C176">_xlfn.IFS(B176&lt;=18,"0-18",B176&lt;=29,"19-29",B176&gt;=49,"30-49",B176&gt;=69,"50-69",TRUE,"70+")</f>
        <v>70+</v>
      </c>
      <c r="D176" t="s">
        <v>43</v>
      </c>
      <c r="E176" t="s">
        <v>30</v>
      </c>
      <c r="F176" t="s">
        <v>69</v>
      </c>
      <c r="G176" t="s">
        <v>45</v>
      </c>
      <c r="H176" t="s">
        <v>44</v>
      </c>
      <c r="I176" t="s">
        <v>440</v>
      </c>
      <c r="J176" t="s">
        <v>90</v>
      </c>
      <c r="K176" s="2">
        <v>291.60000000000002</v>
      </c>
      <c r="L176">
        <v>2</v>
      </c>
      <c r="M176" t="s">
        <v>48</v>
      </c>
      <c r="N176">
        <v>3</v>
      </c>
      <c r="O176">
        <v>3</v>
      </c>
      <c r="P176">
        <v>2</v>
      </c>
      <c r="Q176" t="s">
        <v>44</v>
      </c>
      <c r="R176" t="s">
        <v>37</v>
      </c>
      <c r="S176">
        <v>0</v>
      </c>
      <c r="T176">
        <v>7</v>
      </c>
      <c r="U176" t="s">
        <v>36</v>
      </c>
      <c r="V176" t="s">
        <v>79</v>
      </c>
      <c r="W176" t="s">
        <v>86</v>
      </c>
      <c r="X176" s="3">
        <v>45468</v>
      </c>
      <c r="Y176" s="1" t="str">
        <f t="shared" si="4"/>
        <v>Jun</v>
      </c>
      <c r="Z176" s="1" t="str">
        <f t="shared" si="5"/>
        <v>2024</v>
      </c>
      <c r="AA176" t="b">
        <v>0</v>
      </c>
      <c r="AB176" t="b">
        <v>1</v>
      </c>
      <c r="AC176" t="s">
        <v>40</v>
      </c>
      <c r="AD176" t="s">
        <v>53</v>
      </c>
      <c r="AE176">
        <v>3</v>
      </c>
    </row>
    <row r="177" spans="1:31" x14ac:dyDescent="0.3">
      <c r="A177" t="s">
        <v>441</v>
      </c>
      <c r="B177">
        <v>50</v>
      </c>
      <c r="C177" t="str" cm="1">
        <f t="array" ref="C177">_xlfn.IFS(B177&lt;=18,"0-18",B177&lt;=29,"19-29",B177&gt;=49,"30-49",B177&gt;=69,"50-69",TRUE,"70+")</f>
        <v>30-49</v>
      </c>
      <c r="D177" t="s">
        <v>29</v>
      </c>
      <c r="E177" t="s">
        <v>30</v>
      </c>
      <c r="F177" t="s">
        <v>55</v>
      </c>
      <c r="G177" t="s">
        <v>32</v>
      </c>
      <c r="H177" t="s">
        <v>30</v>
      </c>
      <c r="I177" t="s">
        <v>442</v>
      </c>
      <c r="J177" t="s">
        <v>65</v>
      </c>
      <c r="K177" s="2">
        <v>101.7</v>
      </c>
      <c r="L177">
        <v>7</v>
      </c>
      <c r="M177" t="s">
        <v>78</v>
      </c>
      <c r="N177">
        <v>3</v>
      </c>
      <c r="O177">
        <v>4</v>
      </c>
      <c r="P177">
        <v>2</v>
      </c>
      <c r="Q177" t="s">
        <v>49</v>
      </c>
      <c r="R177" t="s">
        <v>50</v>
      </c>
      <c r="S177">
        <v>2</v>
      </c>
      <c r="T177">
        <v>2</v>
      </c>
      <c r="U177" t="s">
        <v>36</v>
      </c>
      <c r="V177" t="s">
        <v>38</v>
      </c>
      <c r="W177" t="s">
        <v>61</v>
      </c>
      <c r="X177" s="3">
        <v>45469</v>
      </c>
      <c r="Y177" s="1" t="str">
        <f t="shared" si="4"/>
        <v>Jun</v>
      </c>
      <c r="Z177" s="1" t="str">
        <f t="shared" si="5"/>
        <v>2024</v>
      </c>
      <c r="AA177" t="b">
        <v>0</v>
      </c>
      <c r="AB177" t="b">
        <v>1</v>
      </c>
      <c r="AC177" t="s">
        <v>52</v>
      </c>
      <c r="AD177" t="s">
        <v>53</v>
      </c>
      <c r="AE177">
        <v>4</v>
      </c>
    </row>
    <row r="178" spans="1:31" x14ac:dyDescent="0.3">
      <c r="A178" t="s">
        <v>443</v>
      </c>
      <c r="B178">
        <v>50</v>
      </c>
      <c r="C178" t="str" cm="1">
        <f t="array" ref="C178">_xlfn.IFS(B178&lt;=18,"0-18",B178&lt;=29,"19-29",B178&gt;=49,"30-49",B178&gt;=69,"50-69",TRUE,"70+")</f>
        <v>30-49</v>
      </c>
      <c r="D178" t="s">
        <v>29</v>
      </c>
      <c r="E178" t="s">
        <v>30</v>
      </c>
      <c r="F178" t="s">
        <v>55</v>
      </c>
      <c r="G178" t="s">
        <v>45</v>
      </c>
      <c r="H178" t="s">
        <v>30</v>
      </c>
      <c r="I178" t="s">
        <v>444</v>
      </c>
      <c r="J178" t="s">
        <v>104</v>
      </c>
      <c r="K178" s="2">
        <v>369.73</v>
      </c>
      <c r="L178">
        <v>2</v>
      </c>
      <c r="M178" t="s">
        <v>78</v>
      </c>
      <c r="N178">
        <v>1</v>
      </c>
      <c r="O178">
        <v>2</v>
      </c>
      <c r="P178">
        <v>2</v>
      </c>
      <c r="Q178" t="s">
        <v>36</v>
      </c>
      <c r="R178" t="s">
        <v>50</v>
      </c>
      <c r="S178">
        <v>0</v>
      </c>
      <c r="T178">
        <v>3</v>
      </c>
      <c r="U178" t="s">
        <v>36</v>
      </c>
      <c r="V178" t="s">
        <v>38</v>
      </c>
      <c r="W178" t="s">
        <v>61</v>
      </c>
      <c r="X178" s="3">
        <v>45470</v>
      </c>
      <c r="Y178" s="1" t="str">
        <f t="shared" si="4"/>
        <v>Jun</v>
      </c>
      <c r="Z178" s="1" t="str">
        <f t="shared" si="5"/>
        <v>2024</v>
      </c>
      <c r="AA178" t="b">
        <v>1</v>
      </c>
      <c r="AB178" t="b">
        <v>1</v>
      </c>
      <c r="AC178" t="s">
        <v>52</v>
      </c>
      <c r="AD178" t="s">
        <v>41</v>
      </c>
      <c r="AE178">
        <v>12</v>
      </c>
    </row>
    <row r="179" spans="1:31" x14ac:dyDescent="0.3">
      <c r="A179" t="s">
        <v>445</v>
      </c>
      <c r="B179">
        <v>46</v>
      </c>
      <c r="C179" t="str" cm="1">
        <f t="array" ref="C179">_xlfn.IFS(B179&lt;=18,"0-18",B179&lt;=29,"19-29",B179&gt;=49,"30-49",B179&gt;=69,"50-69",TRUE,"70+")</f>
        <v>70+</v>
      </c>
      <c r="D179" t="s">
        <v>43</v>
      </c>
      <c r="E179" t="s">
        <v>30</v>
      </c>
      <c r="F179" t="s">
        <v>55</v>
      </c>
      <c r="G179" t="s">
        <v>32</v>
      </c>
      <c r="H179" t="s">
        <v>44</v>
      </c>
      <c r="I179" t="s">
        <v>446</v>
      </c>
      <c r="J179" t="s">
        <v>123</v>
      </c>
      <c r="K179" s="2">
        <v>71</v>
      </c>
      <c r="L179">
        <v>12</v>
      </c>
      <c r="M179" t="s">
        <v>78</v>
      </c>
      <c r="N179">
        <v>1</v>
      </c>
      <c r="O179">
        <v>5</v>
      </c>
      <c r="P179">
        <v>2</v>
      </c>
      <c r="Q179" t="s">
        <v>44</v>
      </c>
      <c r="R179" t="s">
        <v>50</v>
      </c>
      <c r="S179">
        <v>2</v>
      </c>
      <c r="T179">
        <v>9</v>
      </c>
      <c r="U179" t="s">
        <v>59</v>
      </c>
      <c r="V179" t="s">
        <v>60</v>
      </c>
      <c r="W179" t="s">
        <v>86</v>
      </c>
      <c r="X179" s="3">
        <v>45471</v>
      </c>
      <c r="Y179" s="1" t="str">
        <f t="shared" si="4"/>
        <v>Jun</v>
      </c>
      <c r="Z179" s="1" t="str">
        <f t="shared" si="5"/>
        <v>2024</v>
      </c>
      <c r="AA179" t="b">
        <v>0</v>
      </c>
      <c r="AB179" t="b">
        <v>0</v>
      </c>
      <c r="AC179" t="s">
        <v>52</v>
      </c>
      <c r="AD179" t="s">
        <v>41</v>
      </c>
      <c r="AE179">
        <v>13</v>
      </c>
    </row>
    <row r="180" spans="1:31" x14ac:dyDescent="0.3">
      <c r="A180" t="s">
        <v>447</v>
      </c>
      <c r="B180">
        <v>47</v>
      </c>
      <c r="C180" t="str" cm="1">
        <f t="array" ref="C180">_xlfn.IFS(B180&lt;=18,"0-18",B180&lt;=29,"19-29",B180&gt;=49,"30-49",B180&gt;=69,"50-69",TRUE,"70+")</f>
        <v>70+</v>
      </c>
      <c r="D180" t="s">
        <v>43</v>
      </c>
      <c r="E180" t="s">
        <v>30</v>
      </c>
      <c r="F180" t="s">
        <v>55</v>
      </c>
      <c r="G180" t="s">
        <v>56</v>
      </c>
      <c r="H180" t="s">
        <v>30</v>
      </c>
      <c r="I180" t="s">
        <v>448</v>
      </c>
      <c r="J180" t="s">
        <v>114</v>
      </c>
      <c r="K180" s="2">
        <v>280.05</v>
      </c>
      <c r="L180">
        <v>10</v>
      </c>
      <c r="M180" t="s">
        <v>48</v>
      </c>
      <c r="N180">
        <v>4</v>
      </c>
      <c r="O180">
        <v>1</v>
      </c>
      <c r="P180">
        <v>2</v>
      </c>
      <c r="Q180" t="s">
        <v>49</v>
      </c>
      <c r="R180" t="s">
        <v>85</v>
      </c>
      <c r="S180">
        <v>1</v>
      </c>
      <c r="T180">
        <v>2</v>
      </c>
      <c r="U180" t="s">
        <v>44</v>
      </c>
      <c r="V180" t="s">
        <v>60</v>
      </c>
      <c r="W180" t="s">
        <v>39</v>
      </c>
      <c r="X180" s="3">
        <v>45472</v>
      </c>
      <c r="Y180" s="1" t="str">
        <f t="shared" si="4"/>
        <v>Jun</v>
      </c>
      <c r="Z180" s="1" t="str">
        <f t="shared" si="5"/>
        <v>2024</v>
      </c>
      <c r="AA180" t="b">
        <v>1</v>
      </c>
      <c r="AB180" t="b">
        <v>0</v>
      </c>
      <c r="AC180" t="s">
        <v>52</v>
      </c>
      <c r="AD180" t="s">
        <v>41</v>
      </c>
      <c r="AE180">
        <v>11</v>
      </c>
    </row>
    <row r="181" spans="1:31" x14ac:dyDescent="0.3">
      <c r="A181" t="s">
        <v>449</v>
      </c>
      <c r="B181">
        <v>35</v>
      </c>
      <c r="C181" t="str" cm="1">
        <f t="array" ref="C181">_xlfn.IFS(B181&lt;=18,"0-18",B181&lt;=29,"19-29",B181&gt;=49,"30-49",B181&gt;=69,"50-69",TRUE,"70+")</f>
        <v>70+</v>
      </c>
      <c r="D181" t="s">
        <v>43</v>
      </c>
      <c r="E181" t="s">
        <v>44</v>
      </c>
      <c r="F181" t="s">
        <v>69</v>
      </c>
      <c r="G181" t="s">
        <v>56</v>
      </c>
      <c r="H181" t="s">
        <v>30</v>
      </c>
      <c r="I181" t="s">
        <v>450</v>
      </c>
      <c r="J181" t="s">
        <v>246</v>
      </c>
      <c r="K181" s="2">
        <v>54.71</v>
      </c>
      <c r="L181">
        <v>4</v>
      </c>
      <c r="M181" t="s">
        <v>35</v>
      </c>
      <c r="N181">
        <v>5</v>
      </c>
      <c r="O181">
        <v>2</v>
      </c>
      <c r="P181">
        <v>1</v>
      </c>
      <c r="Q181" t="s">
        <v>59</v>
      </c>
      <c r="R181" t="s">
        <v>85</v>
      </c>
      <c r="S181">
        <v>1</v>
      </c>
      <c r="T181">
        <v>3</v>
      </c>
      <c r="U181" t="s">
        <v>36</v>
      </c>
      <c r="V181" t="s">
        <v>79</v>
      </c>
      <c r="W181" t="s">
        <v>51</v>
      </c>
      <c r="X181" s="3">
        <v>45473</v>
      </c>
      <c r="Y181" s="1" t="str">
        <f t="shared" si="4"/>
        <v>Jun</v>
      </c>
      <c r="Z181" s="1" t="str">
        <f t="shared" si="5"/>
        <v>2024</v>
      </c>
      <c r="AA181" t="b">
        <v>1</v>
      </c>
      <c r="AB181" t="b">
        <v>1</v>
      </c>
      <c r="AC181" t="s">
        <v>40</v>
      </c>
      <c r="AD181" t="s">
        <v>67</v>
      </c>
      <c r="AE181">
        <v>3</v>
      </c>
    </row>
    <row r="182" spans="1:31" x14ac:dyDescent="0.3">
      <c r="A182" t="s">
        <v>451</v>
      </c>
      <c r="B182">
        <v>27</v>
      </c>
      <c r="C182" t="str" cm="1">
        <f t="array" ref="C182">_xlfn.IFS(B182&lt;=18,"0-18",B182&lt;=29,"19-29",B182&gt;=49,"30-49",B182&gt;=69,"50-69",TRUE,"70+")</f>
        <v>19-29</v>
      </c>
      <c r="D182" t="s">
        <v>43</v>
      </c>
      <c r="E182" t="s">
        <v>44</v>
      </c>
      <c r="F182" t="s">
        <v>69</v>
      </c>
      <c r="G182" t="s">
        <v>32</v>
      </c>
      <c r="H182" t="s">
        <v>30</v>
      </c>
      <c r="I182" t="s">
        <v>452</v>
      </c>
      <c r="J182" t="s">
        <v>114</v>
      </c>
      <c r="K182" s="2">
        <v>119.51</v>
      </c>
      <c r="L182">
        <v>11</v>
      </c>
      <c r="M182" t="s">
        <v>35</v>
      </c>
      <c r="N182">
        <v>5</v>
      </c>
      <c r="O182">
        <v>5</v>
      </c>
      <c r="P182">
        <v>2</v>
      </c>
      <c r="Q182" t="s">
        <v>59</v>
      </c>
      <c r="R182" t="s">
        <v>85</v>
      </c>
      <c r="S182">
        <v>2</v>
      </c>
      <c r="T182">
        <v>8</v>
      </c>
      <c r="U182" t="s">
        <v>59</v>
      </c>
      <c r="V182" t="s">
        <v>79</v>
      </c>
      <c r="W182" t="s">
        <v>51</v>
      </c>
      <c r="X182" s="3">
        <v>45474</v>
      </c>
      <c r="Y182" s="1" t="str">
        <f t="shared" si="4"/>
        <v>Jul</v>
      </c>
      <c r="Z182" s="1" t="str">
        <f t="shared" si="5"/>
        <v>2024</v>
      </c>
      <c r="AA182" t="b">
        <v>0</v>
      </c>
      <c r="AB182" t="b">
        <v>0</v>
      </c>
      <c r="AC182" t="s">
        <v>74</v>
      </c>
      <c r="AD182" t="s">
        <v>41</v>
      </c>
      <c r="AE182">
        <v>1</v>
      </c>
    </row>
    <row r="183" spans="1:31" x14ac:dyDescent="0.3">
      <c r="A183" t="s">
        <v>453</v>
      </c>
      <c r="B183">
        <v>37</v>
      </c>
      <c r="C183" t="str" cm="1">
        <f t="array" ref="C183">_xlfn.IFS(B183&lt;=18,"0-18",B183&lt;=29,"19-29",B183&gt;=49,"30-49",B183&gt;=69,"50-69",TRUE,"70+")</f>
        <v>70+</v>
      </c>
      <c r="D183" t="s">
        <v>29</v>
      </c>
      <c r="E183" t="s">
        <v>44</v>
      </c>
      <c r="F183" t="s">
        <v>55</v>
      </c>
      <c r="G183" t="s">
        <v>56</v>
      </c>
      <c r="H183" t="s">
        <v>44</v>
      </c>
      <c r="I183" t="s">
        <v>454</v>
      </c>
      <c r="J183" t="s">
        <v>135</v>
      </c>
      <c r="K183" s="2">
        <v>57.5</v>
      </c>
      <c r="L183">
        <v>12</v>
      </c>
      <c r="M183" t="s">
        <v>78</v>
      </c>
      <c r="N183">
        <v>5</v>
      </c>
      <c r="O183">
        <v>1</v>
      </c>
      <c r="P183">
        <v>1</v>
      </c>
      <c r="Q183" t="s">
        <v>36</v>
      </c>
      <c r="R183" t="s">
        <v>50</v>
      </c>
      <c r="S183">
        <v>0</v>
      </c>
      <c r="T183">
        <v>3</v>
      </c>
      <c r="U183" t="s">
        <v>36</v>
      </c>
      <c r="V183" t="s">
        <v>79</v>
      </c>
      <c r="W183" t="s">
        <v>86</v>
      </c>
      <c r="X183" s="3">
        <v>45475</v>
      </c>
      <c r="Y183" s="1" t="str">
        <f t="shared" si="4"/>
        <v>Jul</v>
      </c>
      <c r="Z183" s="1" t="str">
        <f t="shared" si="5"/>
        <v>2024</v>
      </c>
      <c r="AA183" t="b">
        <v>1</v>
      </c>
      <c r="AB183" t="b">
        <v>1</v>
      </c>
      <c r="AC183" t="s">
        <v>62</v>
      </c>
      <c r="AD183" t="s">
        <v>41</v>
      </c>
      <c r="AE183">
        <v>13</v>
      </c>
    </row>
    <row r="184" spans="1:31" x14ac:dyDescent="0.3">
      <c r="A184" t="s">
        <v>455</v>
      </c>
      <c r="B184">
        <v>38</v>
      </c>
      <c r="C184" t="str" cm="1">
        <f t="array" ref="C184">_xlfn.IFS(B184&lt;=18,"0-18",B184&lt;=29,"19-29",B184&gt;=49,"30-49",B184&gt;=69,"50-69",TRUE,"70+")</f>
        <v>70+</v>
      </c>
      <c r="D184" t="s">
        <v>29</v>
      </c>
      <c r="E184" t="s">
        <v>44</v>
      </c>
      <c r="F184" t="s">
        <v>31</v>
      </c>
      <c r="G184" t="s">
        <v>32</v>
      </c>
      <c r="H184" t="s">
        <v>44</v>
      </c>
      <c r="I184" t="s">
        <v>456</v>
      </c>
      <c r="J184" t="s">
        <v>82</v>
      </c>
      <c r="K184" s="2">
        <v>225.05</v>
      </c>
      <c r="L184">
        <v>5</v>
      </c>
      <c r="M184" t="s">
        <v>35</v>
      </c>
      <c r="N184">
        <v>2</v>
      </c>
      <c r="O184">
        <v>1</v>
      </c>
      <c r="P184">
        <v>1</v>
      </c>
      <c r="Q184" t="s">
        <v>44</v>
      </c>
      <c r="R184" t="s">
        <v>37</v>
      </c>
      <c r="S184">
        <v>1</v>
      </c>
      <c r="T184">
        <v>1</v>
      </c>
      <c r="U184" t="s">
        <v>59</v>
      </c>
      <c r="V184" t="s">
        <v>79</v>
      </c>
      <c r="W184" t="s">
        <v>39</v>
      </c>
      <c r="X184" s="3">
        <v>45476</v>
      </c>
      <c r="Y184" s="1" t="str">
        <f t="shared" si="4"/>
        <v>Jul</v>
      </c>
      <c r="Z184" s="1" t="str">
        <f t="shared" si="5"/>
        <v>2024</v>
      </c>
      <c r="AA184" t="b">
        <v>0</v>
      </c>
      <c r="AB184" t="b">
        <v>0</v>
      </c>
      <c r="AC184" t="s">
        <v>40</v>
      </c>
      <c r="AD184" t="s">
        <v>41</v>
      </c>
      <c r="AE184">
        <v>10</v>
      </c>
    </row>
    <row r="185" spans="1:31" x14ac:dyDescent="0.3">
      <c r="A185" t="s">
        <v>457</v>
      </c>
      <c r="B185">
        <v>41</v>
      </c>
      <c r="C185" t="str" cm="1">
        <f t="array" ref="C185">_xlfn.IFS(B185&lt;=18,"0-18",B185&lt;=29,"19-29",B185&gt;=49,"30-49",B185&gt;=69,"50-69",TRUE,"70+")</f>
        <v>70+</v>
      </c>
      <c r="D185" t="s">
        <v>29</v>
      </c>
      <c r="E185" t="s">
        <v>44</v>
      </c>
      <c r="F185" t="s">
        <v>76</v>
      </c>
      <c r="G185" t="s">
        <v>45</v>
      </c>
      <c r="H185" t="s">
        <v>44</v>
      </c>
      <c r="I185" t="s">
        <v>458</v>
      </c>
      <c r="J185" t="s">
        <v>47</v>
      </c>
      <c r="K185" s="2">
        <v>441.15</v>
      </c>
      <c r="L185">
        <v>7</v>
      </c>
      <c r="M185" t="s">
        <v>78</v>
      </c>
      <c r="N185">
        <v>3</v>
      </c>
      <c r="O185">
        <v>1</v>
      </c>
      <c r="P185">
        <v>1</v>
      </c>
      <c r="Q185" t="s">
        <v>59</v>
      </c>
      <c r="R185" t="s">
        <v>37</v>
      </c>
      <c r="S185">
        <v>1</v>
      </c>
      <c r="T185">
        <v>1</v>
      </c>
      <c r="U185" t="s">
        <v>36</v>
      </c>
      <c r="V185" t="s">
        <v>60</v>
      </c>
      <c r="W185" t="s">
        <v>61</v>
      </c>
      <c r="X185" s="3">
        <v>45477</v>
      </c>
      <c r="Y185" s="1" t="str">
        <f t="shared" si="4"/>
        <v>Jul</v>
      </c>
      <c r="Z185" s="1" t="str">
        <f t="shared" si="5"/>
        <v>2024</v>
      </c>
      <c r="AA185" t="b">
        <v>0</v>
      </c>
      <c r="AB185" t="b">
        <v>0</v>
      </c>
      <c r="AC185" t="s">
        <v>40</v>
      </c>
      <c r="AD185" t="s">
        <v>41</v>
      </c>
      <c r="AE185">
        <v>8</v>
      </c>
    </row>
    <row r="186" spans="1:31" x14ac:dyDescent="0.3">
      <c r="A186" t="s">
        <v>459</v>
      </c>
      <c r="B186">
        <v>48</v>
      </c>
      <c r="C186" t="str" cm="1">
        <f t="array" ref="C186">_xlfn.IFS(B186&lt;=18,"0-18",B186&lt;=29,"19-29",B186&gt;=49,"30-49",B186&gt;=69,"50-69",TRUE,"70+")</f>
        <v>70+</v>
      </c>
      <c r="D186" t="s">
        <v>43</v>
      </c>
      <c r="E186" t="s">
        <v>30</v>
      </c>
      <c r="F186" t="s">
        <v>76</v>
      </c>
      <c r="G186" t="s">
        <v>45</v>
      </c>
      <c r="H186" t="s">
        <v>30</v>
      </c>
      <c r="I186" t="s">
        <v>460</v>
      </c>
      <c r="J186" t="s">
        <v>101</v>
      </c>
      <c r="K186" s="2">
        <v>481.21</v>
      </c>
      <c r="L186">
        <v>3</v>
      </c>
      <c r="M186" t="s">
        <v>35</v>
      </c>
      <c r="N186">
        <v>1</v>
      </c>
      <c r="O186">
        <v>2</v>
      </c>
      <c r="P186">
        <v>1</v>
      </c>
      <c r="Q186" t="s">
        <v>44</v>
      </c>
      <c r="R186" t="s">
        <v>50</v>
      </c>
      <c r="S186">
        <v>0</v>
      </c>
      <c r="T186">
        <v>1</v>
      </c>
      <c r="U186" t="s">
        <v>36</v>
      </c>
      <c r="V186" t="s">
        <v>79</v>
      </c>
      <c r="W186" t="s">
        <v>39</v>
      </c>
      <c r="X186" s="3">
        <v>45478</v>
      </c>
      <c r="Y186" s="1" t="str">
        <f t="shared" si="4"/>
        <v>Jul</v>
      </c>
      <c r="Z186" s="1" t="str">
        <f t="shared" si="5"/>
        <v>2024</v>
      </c>
      <c r="AA186" t="b">
        <v>0</v>
      </c>
      <c r="AB186" t="b">
        <v>0</v>
      </c>
      <c r="AC186" t="s">
        <v>52</v>
      </c>
      <c r="AD186" t="s">
        <v>41</v>
      </c>
      <c r="AE186">
        <v>11</v>
      </c>
    </row>
    <row r="187" spans="1:31" x14ac:dyDescent="0.3">
      <c r="A187" t="s">
        <v>461</v>
      </c>
      <c r="B187">
        <v>48</v>
      </c>
      <c r="C187" t="str" cm="1">
        <f t="array" ref="C187">_xlfn.IFS(B187&lt;=18,"0-18",B187&lt;=29,"19-29",B187&gt;=49,"30-49",B187&gt;=69,"50-69",TRUE,"70+")</f>
        <v>70+</v>
      </c>
      <c r="D187" t="s">
        <v>29</v>
      </c>
      <c r="E187" t="s">
        <v>44</v>
      </c>
      <c r="F187" t="s">
        <v>31</v>
      </c>
      <c r="G187" t="s">
        <v>32</v>
      </c>
      <c r="H187" t="s">
        <v>30</v>
      </c>
      <c r="I187" t="s">
        <v>462</v>
      </c>
      <c r="J187" t="s">
        <v>135</v>
      </c>
      <c r="K187" s="2">
        <v>102.96</v>
      </c>
      <c r="L187">
        <v>3</v>
      </c>
      <c r="M187" t="s">
        <v>35</v>
      </c>
      <c r="N187">
        <v>1</v>
      </c>
      <c r="O187">
        <v>1</v>
      </c>
      <c r="P187">
        <v>1</v>
      </c>
      <c r="Q187" t="s">
        <v>59</v>
      </c>
      <c r="R187" t="s">
        <v>85</v>
      </c>
      <c r="S187">
        <v>0</v>
      </c>
      <c r="T187">
        <v>7</v>
      </c>
      <c r="U187" t="s">
        <v>59</v>
      </c>
      <c r="V187" t="s">
        <v>79</v>
      </c>
      <c r="W187" t="s">
        <v>51</v>
      </c>
      <c r="X187" s="3">
        <v>45479</v>
      </c>
      <c r="Y187" s="1" t="str">
        <f t="shared" si="4"/>
        <v>Jul</v>
      </c>
      <c r="Z187" s="1" t="str">
        <f t="shared" si="5"/>
        <v>2024</v>
      </c>
      <c r="AA187" t="b">
        <v>0</v>
      </c>
      <c r="AB187" t="b">
        <v>1</v>
      </c>
      <c r="AC187" t="s">
        <v>52</v>
      </c>
      <c r="AD187" t="s">
        <v>53</v>
      </c>
      <c r="AE187">
        <v>4</v>
      </c>
    </row>
    <row r="188" spans="1:31" x14ac:dyDescent="0.3">
      <c r="A188" t="s">
        <v>463</v>
      </c>
      <c r="B188">
        <v>45</v>
      </c>
      <c r="C188" t="str" cm="1">
        <f t="array" ref="C188">_xlfn.IFS(B188&lt;=18,"0-18",B188&lt;=29,"19-29",B188&gt;=49,"30-49",B188&gt;=69,"50-69",TRUE,"70+")</f>
        <v>70+</v>
      </c>
      <c r="D188" t="s">
        <v>29</v>
      </c>
      <c r="E188" t="s">
        <v>44</v>
      </c>
      <c r="F188" t="s">
        <v>76</v>
      </c>
      <c r="G188" t="s">
        <v>32</v>
      </c>
      <c r="H188" t="s">
        <v>44</v>
      </c>
      <c r="I188" t="s">
        <v>464</v>
      </c>
      <c r="J188" t="s">
        <v>117</v>
      </c>
      <c r="K188" s="2">
        <v>331.57</v>
      </c>
      <c r="L188">
        <v>11</v>
      </c>
      <c r="M188" t="s">
        <v>35</v>
      </c>
      <c r="N188">
        <v>3</v>
      </c>
      <c r="O188">
        <v>1</v>
      </c>
      <c r="P188">
        <v>0</v>
      </c>
      <c r="Q188" t="s">
        <v>59</v>
      </c>
      <c r="R188" t="s">
        <v>37</v>
      </c>
      <c r="S188">
        <v>1</v>
      </c>
      <c r="T188">
        <v>6</v>
      </c>
      <c r="U188" t="s">
        <v>49</v>
      </c>
      <c r="V188" t="s">
        <v>79</v>
      </c>
      <c r="W188" t="s">
        <v>61</v>
      </c>
      <c r="X188" s="3">
        <v>45480</v>
      </c>
      <c r="Y188" s="1" t="str">
        <f t="shared" si="4"/>
        <v>Jul</v>
      </c>
      <c r="Z188" s="1" t="str">
        <f t="shared" si="5"/>
        <v>2024</v>
      </c>
      <c r="AA188" t="b">
        <v>0</v>
      </c>
      <c r="AB188" t="b">
        <v>0</v>
      </c>
      <c r="AC188" t="s">
        <v>62</v>
      </c>
      <c r="AD188" t="s">
        <v>67</v>
      </c>
      <c r="AE188">
        <v>14</v>
      </c>
    </row>
    <row r="189" spans="1:31" x14ac:dyDescent="0.3">
      <c r="A189" t="s">
        <v>465</v>
      </c>
      <c r="B189">
        <v>26</v>
      </c>
      <c r="C189" t="str" cm="1">
        <f t="array" ref="C189">_xlfn.IFS(B189&lt;=18,"0-18",B189&lt;=29,"19-29",B189&gt;=49,"30-49",B189&gt;=69,"50-69",TRUE,"70+")</f>
        <v>19-29</v>
      </c>
      <c r="D189" t="s">
        <v>190</v>
      </c>
      <c r="E189" t="s">
        <v>30</v>
      </c>
      <c r="F189" t="s">
        <v>69</v>
      </c>
      <c r="G189" t="s">
        <v>45</v>
      </c>
      <c r="H189" t="s">
        <v>30</v>
      </c>
      <c r="I189" t="s">
        <v>466</v>
      </c>
      <c r="J189" t="s">
        <v>117</v>
      </c>
      <c r="K189" s="2">
        <v>101.29</v>
      </c>
      <c r="L189">
        <v>11</v>
      </c>
      <c r="M189" t="s">
        <v>48</v>
      </c>
      <c r="N189">
        <v>1</v>
      </c>
      <c r="O189">
        <v>1</v>
      </c>
      <c r="P189">
        <v>2</v>
      </c>
      <c r="Q189" t="s">
        <v>49</v>
      </c>
      <c r="R189" t="s">
        <v>50</v>
      </c>
      <c r="S189">
        <v>2</v>
      </c>
      <c r="T189">
        <v>7</v>
      </c>
      <c r="U189" t="s">
        <v>49</v>
      </c>
      <c r="V189" t="s">
        <v>60</v>
      </c>
      <c r="W189" t="s">
        <v>86</v>
      </c>
      <c r="X189" s="3">
        <v>45481</v>
      </c>
      <c r="Y189" s="1" t="str">
        <f t="shared" si="4"/>
        <v>Jul</v>
      </c>
      <c r="Z189" s="1" t="str">
        <f t="shared" si="5"/>
        <v>2024</v>
      </c>
      <c r="AA189" t="b">
        <v>0</v>
      </c>
      <c r="AB189" t="b">
        <v>1</v>
      </c>
      <c r="AC189" t="s">
        <v>40</v>
      </c>
      <c r="AD189" t="s">
        <v>41</v>
      </c>
      <c r="AE189">
        <v>4</v>
      </c>
    </row>
    <row r="190" spans="1:31" x14ac:dyDescent="0.3">
      <c r="A190" t="s">
        <v>467</v>
      </c>
      <c r="B190">
        <v>50</v>
      </c>
      <c r="C190" t="str" cm="1">
        <f t="array" ref="C190">_xlfn.IFS(B190&lt;=18,"0-18",B190&lt;=29,"19-29",B190&gt;=49,"30-49",B190&gt;=69,"50-69",TRUE,"70+")</f>
        <v>30-49</v>
      </c>
      <c r="D190" t="s">
        <v>29</v>
      </c>
      <c r="E190" t="s">
        <v>30</v>
      </c>
      <c r="F190" t="s">
        <v>55</v>
      </c>
      <c r="G190" t="s">
        <v>56</v>
      </c>
      <c r="H190" t="s">
        <v>44</v>
      </c>
      <c r="I190" t="s">
        <v>468</v>
      </c>
      <c r="J190" t="s">
        <v>114</v>
      </c>
      <c r="K190" s="2">
        <v>143.52000000000001</v>
      </c>
      <c r="L190">
        <v>9</v>
      </c>
      <c r="M190" t="s">
        <v>48</v>
      </c>
      <c r="N190">
        <v>2</v>
      </c>
      <c r="O190">
        <v>5</v>
      </c>
      <c r="P190">
        <v>1</v>
      </c>
      <c r="Q190" t="s">
        <v>49</v>
      </c>
      <c r="R190" t="s">
        <v>37</v>
      </c>
      <c r="S190">
        <v>2</v>
      </c>
      <c r="T190">
        <v>3</v>
      </c>
      <c r="U190" t="s">
        <v>36</v>
      </c>
      <c r="V190" t="s">
        <v>38</v>
      </c>
      <c r="W190" t="s">
        <v>39</v>
      </c>
      <c r="X190" s="3">
        <v>45482</v>
      </c>
      <c r="Y190" s="1" t="str">
        <f t="shared" si="4"/>
        <v>Jul</v>
      </c>
      <c r="Z190" s="1" t="str">
        <f t="shared" si="5"/>
        <v>2024</v>
      </c>
      <c r="AA190" t="b">
        <v>1</v>
      </c>
      <c r="AB190" t="b">
        <v>0</v>
      </c>
      <c r="AC190" t="s">
        <v>62</v>
      </c>
      <c r="AD190" t="s">
        <v>67</v>
      </c>
      <c r="AE190">
        <v>12</v>
      </c>
    </row>
    <row r="191" spans="1:31" x14ac:dyDescent="0.3">
      <c r="A191" t="s">
        <v>469</v>
      </c>
      <c r="B191">
        <v>39</v>
      </c>
      <c r="C191" t="str" cm="1">
        <f t="array" ref="C191">_xlfn.IFS(B191&lt;=18,"0-18",B191&lt;=29,"19-29",B191&gt;=49,"30-49",B191&gt;=69,"50-69",TRUE,"70+")</f>
        <v>70+</v>
      </c>
      <c r="D191" t="s">
        <v>43</v>
      </c>
      <c r="E191" t="s">
        <v>30</v>
      </c>
      <c r="F191" t="s">
        <v>69</v>
      </c>
      <c r="G191" t="s">
        <v>32</v>
      </c>
      <c r="H191" t="s">
        <v>30</v>
      </c>
      <c r="I191" t="s">
        <v>470</v>
      </c>
      <c r="J191" t="s">
        <v>90</v>
      </c>
      <c r="K191" s="2">
        <v>276.48</v>
      </c>
      <c r="L191">
        <v>3</v>
      </c>
      <c r="M191" t="s">
        <v>35</v>
      </c>
      <c r="N191">
        <v>1</v>
      </c>
      <c r="O191">
        <v>2</v>
      </c>
      <c r="P191">
        <v>1</v>
      </c>
      <c r="Q191" t="s">
        <v>36</v>
      </c>
      <c r="R191" t="s">
        <v>37</v>
      </c>
      <c r="S191">
        <v>0</v>
      </c>
      <c r="T191">
        <v>4</v>
      </c>
      <c r="U191" t="s">
        <v>59</v>
      </c>
      <c r="V191" t="s">
        <v>79</v>
      </c>
      <c r="W191" t="s">
        <v>86</v>
      </c>
      <c r="X191" s="3">
        <v>45483</v>
      </c>
      <c r="Y191" s="1" t="str">
        <f t="shared" si="4"/>
        <v>Jul</v>
      </c>
      <c r="Z191" s="1" t="str">
        <f t="shared" si="5"/>
        <v>2024</v>
      </c>
      <c r="AA191" t="b">
        <v>0</v>
      </c>
      <c r="AB191" t="b">
        <v>0</v>
      </c>
      <c r="AC191" t="s">
        <v>40</v>
      </c>
      <c r="AD191" t="s">
        <v>67</v>
      </c>
      <c r="AE191">
        <v>7</v>
      </c>
    </row>
    <row r="192" spans="1:31" x14ac:dyDescent="0.3">
      <c r="A192" t="s">
        <v>471</v>
      </c>
      <c r="B192">
        <v>20</v>
      </c>
      <c r="C192" t="str" cm="1">
        <f t="array" ref="C192">_xlfn.IFS(B192&lt;=18,"0-18",B192&lt;=29,"19-29",B192&gt;=49,"30-49",B192&gt;=69,"50-69",TRUE,"70+")</f>
        <v>19-29</v>
      </c>
      <c r="D192" t="s">
        <v>43</v>
      </c>
      <c r="E192" t="s">
        <v>44</v>
      </c>
      <c r="F192" t="s">
        <v>69</v>
      </c>
      <c r="G192" t="s">
        <v>45</v>
      </c>
      <c r="H192" t="s">
        <v>44</v>
      </c>
      <c r="I192" t="s">
        <v>472</v>
      </c>
      <c r="J192" t="s">
        <v>126</v>
      </c>
      <c r="K192" s="2">
        <v>352.87</v>
      </c>
      <c r="L192">
        <v>11</v>
      </c>
      <c r="M192" t="s">
        <v>48</v>
      </c>
      <c r="N192">
        <v>5</v>
      </c>
      <c r="O192">
        <v>3</v>
      </c>
      <c r="P192">
        <v>0</v>
      </c>
      <c r="Q192" t="s">
        <v>44</v>
      </c>
      <c r="R192" t="s">
        <v>50</v>
      </c>
      <c r="S192">
        <v>0</v>
      </c>
      <c r="T192">
        <v>6</v>
      </c>
      <c r="U192" t="s">
        <v>44</v>
      </c>
      <c r="V192" t="s">
        <v>38</v>
      </c>
      <c r="W192" t="s">
        <v>51</v>
      </c>
      <c r="X192" s="3">
        <v>45484</v>
      </c>
      <c r="Y192" s="1" t="str">
        <f t="shared" si="4"/>
        <v>Jul</v>
      </c>
      <c r="Z192" s="1" t="str">
        <f t="shared" si="5"/>
        <v>2024</v>
      </c>
      <c r="AA192" t="b">
        <v>0</v>
      </c>
      <c r="AB192" t="b">
        <v>0</v>
      </c>
      <c r="AC192" t="s">
        <v>52</v>
      </c>
      <c r="AD192" t="s">
        <v>53</v>
      </c>
      <c r="AE192">
        <v>12</v>
      </c>
    </row>
    <row r="193" spans="1:31" x14ac:dyDescent="0.3">
      <c r="A193" t="s">
        <v>473</v>
      </c>
      <c r="B193">
        <v>48</v>
      </c>
      <c r="C193" t="str" cm="1">
        <f t="array" ref="C193">_xlfn.IFS(B193&lt;=18,"0-18",B193&lt;=29,"19-29",B193&gt;=49,"30-49",B193&gt;=69,"50-69",TRUE,"70+")</f>
        <v>70+</v>
      </c>
      <c r="D193" t="s">
        <v>43</v>
      </c>
      <c r="E193" t="s">
        <v>30</v>
      </c>
      <c r="F193" t="s">
        <v>31</v>
      </c>
      <c r="G193" t="s">
        <v>56</v>
      </c>
      <c r="H193" t="s">
        <v>30</v>
      </c>
      <c r="I193" t="s">
        <v>474</v>
      </c>
      <c r="J193" t="s">
        <v>93</v>
      </c>
      <c r="K193" s="2">
        <v>228.68</v>
      </c>
      <c r="L193">
        <v>3</v>
      </c>
      <c r="M193" t="s">
        <v>35</v>
      </c>
      <c r="N193">
        <v>2</v>
      </c>
      <c r="O193">
        <v>1</v>
      </c>
      <c r="P193">
        <v>2</v>
      </c>
      <c r="Q193" t="s">
        <v>59</v>
      </c>
      <c r="R193" t="s">
        <v>85</v>
      </c>
      <c r="S193">
        <v>1</v>
      </c>
      <c r="T193">
        <v>4</v>
      </c>
      <c r="U193" t="s">
        <v>36</v>
      </c>
      <c r="V193" t="s">
        <v>38</v>
      </c>
      <c r="W193" t="s">
        <v>61</v>
      </c>
      <c r="X193" s="3">
        <v>45485</v>
      </c>
      <c r="Y193" s="1" t="str">
        <f t="shared" si="4"/>
        <v>Jul</v>
      </c>
      <c r="Z193" s="1" t="str">
        <f t="shared" si="5"/>
        <v>2024</v>
      </c>
      <c r="AA193" t="b">
        <v>1</v>
      </c>
      <c r="AB193" t="b">
        <v>0</v>
      </c>
      <c r="AC193" t="s">
        <v>74</v>
      </c>
      <c r="AD193" t="s">
        <v>53</v>
      </c>
      <c r="AE193">
        <v>4</v>
      </c>
    </row>
    <row r="194" spans="1:31" x14ac:dyDescent="0.3">
      <c r="A194" t="s">
        <v>475</v>
      </c>
      <c r="B194">
        <v>31</v>
      </c>
      <c r="C194" t="str" cm="1">
        <f t="array" ref="C194">_xlfn.IFS(B194&lt;=18,"0-18",B194&lt;=29,"19-29",B194&gt;=49,"30-49",B194&gt;=69,"50-69",TRUE,"70+")</f>
        <v>70+</v>
      </c>
      <c r="D194" t="s">
        <v>29</v>
      </c>
      <c r="E194" t="s">
        <v>30</v>
      </c>
      <c r="F194" t="s">
        <v>76</v>
      </c>
      <c r="G194" t="s">
        <v>56</v>
      </c>
      <c r="H194" t="s">
        <v>44</v>
      </c>
      <c r="I194" t="s">
        <v>476</v>
      </c>
      <c r="J194" t="s">
        <v>47</v>
      </c>
      <c r="K194" s="2">
        <v>301.39</v>
      </c>
      <c r="L194">
        <v>6</v>
      </c>
      <c r="M194" t="s">
        <v>78</v>
      </c>
      <c r="N194">
        <v>2</v>
      </c>
      <c r="O194">
        <v>1</v>
      </c>
      <c r="P194">
        <v>0</v>
      </c>
      <c r="Q194" t="s">
        <v>36</v>
      </c>
      <c r="R194" t="s">
        <v>85</v>
      </c>
      <c r="S194">
        <v>1</v>
      </c>
      <c r="T194">
        <v>4</v>
      </c>
      <c r="U194" t="s">
        <v>59</v>
      </c>
      <c r="V194" t="s">
        <v>79</v>
      </c>
      <c r="W194" t="s">
        <v>61</v>
      </c>
      <c r="X194" s="3">
        <v>45486</v>
      </c>
      <c r="Y194" s="1" t="str">
        <f t="shared" si="4"/>
        <v>Jul</v>
      </c>
      <c r="Z194" s="1" t="str">
        <f t="shared" si="5"/>
        <v>2024</v>
      </c>
      <c r="AA194" t="b">
        <v>0</v>
      </c>
      <c r="AB194" t="b">
        <v>0</v>
      </c>
      <c r="AC194" t="s">
        <v>40</v>
      </c>
      <c r="AD194" t="s">
        <v>41</v>
      </c>
      <c r="AE194">
        <v>11</v>
      </c>
    </row>
    <row r="195" spans="1:31" x14ac:dyDescent="0.3">
      <c r="A195" t="s">
        <v>477</v>
      </c>
      <c r="B195">
        <v>25</v>
      </c>
      <c r="C195" t="str" cm="1">
        <f t="array" ref="C195">_xlfn.IFS(B195&lt;=18,"0-18",B195&lt;=29,"19-29",B195&gt;=49,"30-49",B195&gt;=69,"50-69",TRUE,"70+")</f>
        <v>19-29</v>
      </c>
      <c r="D195" t="s">
        <v>29</v>
      </c>
      <c r="E195" t="s">
        <v>30</v>
      </c>
      <c r="F195" t="s">
        <v>31</v>
      </c>
      <c r="G195" t="s">
        <v>32</v>
      </c>
      <c r="H195" t="s">
        <v>44</v>
      </c>
      <c r="I195" t="s">
        <v>478</v>
      </c>
      <c r="J195" t="s">
        <v>82</v>
      </c>
      <c r="K195" s="2">
        <v>473.5</v>
      </c>
      <c r="L195">
        <v>11</v>
      </c>
      <c r="M195" t="s">
        <v>35</v>
      </c>
      <c r="N195">
        <v>2</v>
      </c>
      <c r="O195">
        <v>4</v>
      </c>
      <c r="P195">
        <v>1</v>
      </c>
      <c r="Q195" t="s">
        <v>59</v>
      </c>
      <c r="R195" t="s">
        <v>37</v>
      </c>
      <c r="S195">
        <v>2</v>
      </c>
      <c r="T195">
        <v>3</v>
      </c>
      <c r="U195" t="s">
        <v>44</v>
      </c>
      <c r="V195" t="s">
        <v>38</v>
      </c>
      <c r="W195" t="s">
        <v>66</v>
      </c>
      <c r="X195" s="3">
        <v>45487</v>
      </c>
      <c r="Y195" s="1" t="str">
        <f t="shared" ref="Y195:Y258" si="6">TEXT(X195,"mmm")</f>
        <v>Jul</v>
      </c>
      <c r="Z195" s="1" t="str">
        <f t="shared" ref="Z195:Z258" si="7">TEXT(X195,"yyyy")</f>
        <v>2024</v>
      </c>
      <c r="AA195" t="b">
        <v>0</v>
      </c>
      <c r="AB195" t="b">
        <v>1</v>
      </c>
      <c r="AC195" t="s">
        <v>62</v>
      </c>
      <c r="AD195" t="s">
        <v>67</v>
      </c>
      <c r="AE195">
        <v>10</v>
      </c>
    </row>
    <row r="196" spans="1:31" x14ac:dyDescent="0.3">
      <c r="A196" t="s">
        <v>479</v>
      </c>
      <c r="B196">
        <v>18</v>
      </c>
      <c r="C196" t="str" cm="1">
        <f t="array" ref="C196">_xlfn.IFS(B196&lt;=18,"0-18",B196&lt;=29,"19-29",B196&gt;=49,"30-49",B196&gt;=69,"50-69",TRUE,"70+")</f>
        <v>0-18</v>
      </c>
      <c r="D196" t="s">
        <v>274</v>
      </c>
      <c r="E196" t="s">
        <v>30</v>
      </c>
      <c r="F196" t="s">
        <v>55</v>
      </c>
      <c r="G196" t="s">
        <v>32</v>
      </c>
      <c r="H196" t="s">
        <v>44</v>
      </c>
      <c r="I196" t="s">
        <v>480</v>
      </c>
      <c r="J196" t="s">
        <v>65</v>
      </c>
      <c r="K196" s="2">
        <v>72.8</v>
      </c>
      <c r="L196">
        <v>11</v>
      </c>
      <c r="M196" t="s">
        <v>48</v>
      </c>
      <c r="N196">
        <v>2</v>
      </c>
      <c r="O196">
        <v>4</v>
      </c>
      <c r="P196">
        <v>1</v>
      </c>
      <c r="Q196" t="s">
        <v>44</v>
      </c>
      <c r="R196" t="s">
        <v>37</v>
      </c>
      <c r="S196">
        <v>2</v>
      </c>
      <c r="T196">
        <v>10</v>
      </c>
      <c r="U196" t="s">
        <v>44</v>
      </c>
      <c r="V196" t="s">
        <v>79</v>
      </c>
      <c r="W196" t="s">
        <v>51</v>
      </c>
      <c r="X196" s="3">
        <v>45488</v>
      </c>
      <c r="Y196" s="1" t="str">
        <f t="shared" si="6"/>
        <v>Jul</v>
      </c>
      <c r="Z196" s="1" t="str">
        <f t="shared" si="7"/>
        <v>2024</v>
      </c>
      <c r="AA196" t="b">
        <v>1</v>
      </c>
      <c r="AB196" t="b">
        <v>0</v>
      </c>
      <c r="AC196" t="s">
        <v>40</v>
      </c>
      <c r="AD196" t="s">
        <v>67</v>
      </c>
      <c r="AE196">
        <v>3</v>
      </c>
    </row>
    <row r="197" spans="1:31" x14ac:dyDescent="0.3">
      <c r="A197" t="s">
        <v>481</v>
      </c>
      <c r="B197">
        <v>18</v>
      </c>
      <c r="C197" t="str" cm="1">
        <f t="array" ref="C197">_xlfn.IFS(B197&lt;=18,"0-18",B197&lt;=29,"19-29",B197&gt;=49,"30-49",B197&gt;=69,"50-69",TRUE,"70+")</f>
        <v>0-18</v>
      </c>
      <c r="D197" t="s">
        <v>43</v>
      </c>
      <c r="E197" t="s">
        <v>30</v>
      </c>
      <c r="F197" t="s">
        <v>76</v>
      </c>
      <c r="G197" t="s">
        <v>32</v>
      </c>
      <c r="H197" t="s">
        <v>44</v>
      </c>
      <c r="I197" t="s">
        <v>482</v>
      </c>
      <c r="J197" t="s">
        <v>114</v>
      </c>
      <c r="K197" s="2">
        <v>171.72</v>
      </c>
      <c r="L197">
        <v>3</v>
      </c>
      <c r="M197" t="s">
        <v>78</v>
      </c>
      <c r="N197">
        <v>5</v>
      </c>
      <c r="O197">
        <v>3</v>
      </c>
      <c r="P197">
        <v>1</v>
      </c>
      <c r="Q197" t="s">
        <v>59</v>
      </c>
      <c r="R197" t="s">
        <v>85</v>
      </c>
      <c r="S197">
        <v>1</v>
      </c>
      <c r="T197">
        <v>2</v>
      </c>
      <c r="U197" t="s">
        <v>36</v>
      </c>
      <c r="V197" t="s">
        <v>79</v>
      </c>
      <c r="W197" t="s">
        <v>51</v>
      </c>
      <c r="X197" s="3">
        <v>45489</v>
      </c>
      <c r="Y197" s="1" t="str">
        <f t="shared" si="6"/>
        <v>Jul</v>
      </c>
      <c r="Z197" s="1" t="str">
        <f t="shared" si="7"/>
        <v>2024</v>
      </c>
      <c r="AA197" t="b">
        <v>0</v>
      </c>
      <c r="AB197" t="b">
        <v>1</v>
      </c>
      <c r="AC197" t="s">
        <v>62</v>
      </c>
      <c r="AD197" t="s">
        <v>53</v>
      </c>
      <c r="AE197">
        <v>12</v>
      </c>
    </row>
    <row r="198" spans="1:31" x14ac:dyDescent="0.3">
      <c r="A198" t="s">
        <v>483</v>
      </c>
      <c r="B198">
        <v>31</v>
      </c>
      <c r="C198" t="str" cm="1">
        <f t="array" ref="C198">_xlfn.IFS(B198&lt;=18,"0-18",B198&lt;=29,"19-29",B198&gt;=49,"30-49",B198&gt;=69,"50-69",TRUE,"70+")</f>
        <v>70+</v>
      </c>
      <c r="D198" t="s">
        <v>43</v>
      </c>
      <c r="E198" t="s">
        <v>30</v>
      </c>
      <c r="F198" t="s">
        <v>69</v>
      </c>
      <c r="G198" t="s">
        <v>45</v>
      </c>
      <c r="H198" t="s">
        <v>30</v>
      </c>
      <c r="I198" t="s">
        <v>484</v>
      </c>
      <c r="J198" t="s">
        <v>120</v>
      </c>
      <c r="K198" s="2">
        <v>467.5</v>
      </c>
      <c r="L198">
        <v>6</v>
      </c>
      <c r="M198" t="s">
        <v>48</v>
      </c>
      <c r="N198">
        <v>2</v>
      </c>
      <c r="O198">
        <v>1</v>
      </c>
      <c r="P198">
        <v>0</v>
      </c>
      <c r="Q198" t="s">
        <v>36</v>
      </c>
      <c r="R198" t="s">
        <v>37</v>
      </c>
      <c r="S198">
        <v>1</v>
      </c>
      <c r="T198">
        <v>1</v>
      </c>
      <c r="U198" t="s">
        <v>44</v>
      </c>
      <c r="V198" t="s">
        <v>79</v>
      </c>
      <c r="W198" t="s">
        <v>51</v>
      </c>
      <c r="X198" s="3">
        <v>45490</v>
      </c>
      <c r="Y198" s="1" t="str">
        <f t="shared" si="6"/>
        <v>Jul</v>
      </c>
      <c r="Z198" s="1" t="str">
        <f t="shared" si="7"/>
        <v>2024</v>
      </c>
      <c r="AA198" t="b">
        <v>0</v>
      </c>
      <c r="AB198" t="b">
        <v>0</v>
      </c>
      <c r="AC198" t="s">
        <v>74</v>
      </c>
      <c r="AD198" t="s">
        <v>41</v>
      </c>
      <c r="AE198">
        <v>6</v>
      </c>
    </row>
    <row r="199" spans="1:31" x14ac:dyDescent="0.3">
      <c r="A199" t="s">
        <v>485</v>
      </c>
      <c r="B199">
        <v>43</v>
      </c>
      <c r="C199" t="str" cm="1">
        <f t="array" ref="C199">_xlfn.IFS(B199&lt;=18,"0-18",B199&lt;=29,"19-29",B199&gt;=49,"30-49",B199&gt;=69,"50-69",TRUE,"70+")</f>
        <v>70+</v>
      </c>
      <c r="D199" t="s">
        <v>352</v>
      </c>
      <c r="E199" t="s">
        <v>44</v>
      </c>
      <c r="F199" t="s">
        <v>31</v>
      </c>
      <c r="G199" t="s">
        <v>32</v>
      </c>
      <c r="H199" t="s">
        <v>44</v>
      </c>
      <c r="I199" t="s">
        <v>486</v>
      </c>
      <c r="J199" t="s">
        <v>71</v>
      </c>
      <c r="K199" s="2">
        <v>209.79</v>
      </c>
      <c r="L199">
        <v>6</v>
      </c>
      <c r="M199" t="s">
        <v>35</v>
      </c>
      <c r="N199">
        <v>5</v>
      </c>
      <c r="O199">
        <v>1</v>
      </c>
      <c r="P199">
        <v>2</v>
      </c>
      <c r="Q199" t="s">
        <v>44</v>
      </c>
      <c r="R199" t="s">
        <v>50</v>
      </c>
      <c r="S199">
        <v>1</v>
      </c>
      <c r="T199">
        <v>9</v>
      </c>
      <c r="U199" t="s">
        <v>59</v>
      </c>
      <c r="V199" t="s">
        <v>38</v>
      </c>
      <c r="W199" t="s">
        <v>66</v>
      </c>
      <c r="X199" s="3">
        <v>45491</v>
      </c>
      <c r="Y199" s="1" t="str">
        <f t="shared" si="6"/>
        <v>Jul</v>
      </c>
      <c r="Z199" s="1" t="str">
        <f t="shared" si="7"/>
        <v>2024</v>
      </c>
      <c r="AA199" t="b">
        <v>1</v>
      </c>
      <c r="AB199" t="b">
        <v>1</v>
      </c>
      <c r="AC199" t="s">
        <v>40</v>
      </c>
      <c r="AD199" t="s">
        <v>53</v>
      </c>
      <c r="AE199">
        <v>10</v>
      </c>
    </row>
    <row r="200" spans="1:31" x14ac:dyDescent="0.3">
      <c r="A200" t="s">
        <v>487</v>
      </c>
      <c r="B200">
        <v>23</v>
      </c>
      <c r="C200" t="str" cm="1">
        <f t="array" ref="C200">_xlfn.IFS(B200&lt;=18,"0-18",B200&lt;=29,"19-29",B200&gt;=49,"30-49",B200&gt;=69,"50-69",TRUE,"70+")</f>
        <v>19-29</v>
      </c>
      <c r="D200" t="s">
        <v>43</v>
      </c>
      <c r="E200" t="s">
        <v>30</v>
      </c>
      <c r="F200" t="s">
        <v>55</v>
      </c>
      <c r="G200" t="s">
        <v>45</v>
      </c>
      <c r="H200" t="s">
        <v>30</v>
      </c>
      <c r="I200" t="s">
        <v>488</v>
      </c>
      <c r="J200" t="s">
        <v>58</v>
      </c>
      <c r="K200" s="2">
        <v>150.33000000000001</v>
      </c>
      <c r="L200">
        <v>9</v>
      </c>
      <c r="M200" t="s">
        <v>48</v>
      </c>
      <c r="N200">
        <v>4</v>
      </c>
      <c r="O200">
        <v>4</v>
      </c>
      <c r="P200">
        <v>2</v>
      </c>
      <c r="Q200" t="s">
        <v>36</v>
      </c>
      <c r="R200" t="s">
        <v>37</v>
      </c>
      <c r="S200">
        <v>2</v>
      </c>
      <c r="T200">
        <v>9</v>
      </c>
      <c r="U200" t="s">
        <v>49</v>
      </c>
      <c r="V200" t="s">
        <v>79</v>
      </c>
      <c r="W200" t="s">
        <v>61</v>
      </c>
      <c r="X200" s="3">
        <v>45492</v>
      </c>
      <c r="Y200" s="1" t="str">
        <f t="shared" si="6"/>
        <v>Jul</v>
      </c>
      <c r="Z200" s="1" t="str">
        <f t="shared" si="7"/>
        <v>2024</v>
      </c>
      <c r="AA200" t="b">
        <v>1</v>
      </c>
      <c r="AB200" t="b">
        <v>0</v>
      </c>
      <c r="AC200" t="s">
        <v>52</v>
      </c>
      <c r="AD200" t="s">
        <v>67</v>
      </c>
      <c r="AE200">
        <v>6</v>
      </c>
    </row>
    <row r="201" spans="1:31" x14ac:dyDescent="0.3">
      <c r="A201" t="s">
        <v>489</v>
      </c>
      <c r="B201">
        <v>29</v>
      </c>
      <c r="C201" t="str" cm="1">
        <f t="array" ref="C201">_xlfn.IFS(B201&lt;=18,"0-18",B201&lt;=29,"19-29",B201&gt;=49,"30-49",B201&gt;=69,"50-69",TRUE,"70+")</f>
        <v>19-29</v>
      </c>
      <c r="D201" t="s">
        <v>43</v>
      </c>
      <c r="E201" t="s">
        <v>44</v>
      </c>
      <c r="F201" t="s">
        <v>31</v>
      </c>
      <c r="G201" t="s">
        <v>32</v>
      </c>
      <c r="H201" t="s">
        <v>44</v>
      </c>
      <c r="I201" t="s">
        <v>490</v>
      </c>
      <c r="J201" t="s">
        <v>98</v>
      </c>
      <c r="K201" s="2">
        <v>98.63</v>
      </c>
      <c r="L201">
        <v>7</v>
      </c>
      <c r="M201" t="s">
        <v>78</v>
      </c>
      <c r="N201">
        <v>4</v>
      </c>
      <c r="O201">
        <v>5</v>
      </c>
      <c r="P201">
        <v>2</v>
      </c>
      <c r="Q201" t="s">
        <v>44</v>
      </c>
      <c r="R201" t="s">
        <v>37</v>
      </c>
      <c r="S201">
        <v>1</v>
      </c>
      <c r="T201">
        <v>3</v>
      </c>
      <c r="U201" t="s">
        <v>59</v>
      </c>
      <c r="V201" t="s">
        <v>38</v>
      </c>
      <c r="W201" t="s">
        <v>66</v>
      </c>
      <c r="X201" s="3">
        <v>45493</v>
      </c>
      <c r="Y201" s="1" t="str">
        <f t="shared" si="6"/>
        <v>Jul</v>
      </c>
      <c r="Z201" s="1" t="str">
        <f t="shared" si="7"/>
        <v>2024</v>
      </c>
      <c r="AA201" t="b">
        <v>0</v>
      </c>
      <c r="AB201" t="b">
        <v>1</v>
      </c>
      <c r="AC201" t="s">
        <v>74</v>
      </c>
      <c r="AD201" t="s">
        <v>53</v>
      </c>
      <c r="AE201">
        <v>6</v>
      </c>
    </row>
    <row r="202" spans="1:31" x14ac:dyDescent="0.3">
      <c r="A202" t="s">
        <v>491</v>
      </c>
      <c r="B202">
        <v>21</v>
      </c>
      <c r="C202" t="str" cm="1">
        <f t="array" ref="C202">_xlfn.IFS(B202&lt;=18,"0-18",B202&lt;=29,"19-29",B202&gt;=49,"30-49",B202&gt;=69,"50-69",TRUE,"70+")</f>
        <v>19-29</v>
      </c>
      <c r="D202" t="s">
        <v>29</v>
      </c>
      <c r="E202" t="s">
        <v>30</v>
      </c>
      <c r="F202" t="s">
        <v>76</v>
      </c>
      <c r="G202" t="s">
        <v>56</v>
      </c>
      <c r="H202" t="s">
        <v>30</v>
      </c>
      <c r="I202" t="s">
        <v>492</v>
      </c>
      <c r="J202" t="s">
        <v>188</v>
      </c>
      <c r="K202" s="2">
        <v>193.3</v>
      </c>
      <c r="L202">
        <v>11</v>
      </c>
      <c r="M202" t="s">
        <v>35</v>
      </c>
      <c r="N202">
        <v>4</v>
      </c>
      <c r="O202">
        <v>2</v>
      </c>
      <c r="P202">
        <v>2</v>
      </c>
      <c r="Q202" t="s">
        <v>36</v>
      </c>
      <c r="R202" t="s">
        <v>85</v>
      </c>
      <c r="S202">
        <v>2</v>
      </c>
      <c r="T202">
        <v>1</v>
      </c>
      <c r="U202" t="s">
        <v>49</v>
      </c>
      <c r="V202" t="s">
        <v>38</v>
      </c>
      <c r="W202" t="s">
        <v>66</v>
      </c>
      <c r="X202" s="3">
        <v>45494</v>
      </c>
      <c r="Y202" s="1" t="str">
        <f t="shared" si="6"/>
        <v>Jul</v>
      </c>
      <c r="Z202" s="1" t="str">
        <f t="shared" si="7"/>
        <v>2024</v>
      </c>
      <c r="AA202" t="b">
        <v>1</v>
      </c>
      <c r="AB202" t="b">
        <v>1</v>
      </c>
      <c r="AC202" t="s">
        <v>74</v>
      </c>
      <c r="AD202" t="s">
        <v>41</v>
      </c>
      <c r="AE202">
        <v>12</v>
      </c>
    </row>
    <row r="203" spans="1:31" x14ac:dyDescent="0.3">
      <c r="A203" t="s">
        <v>493</v>
      </c>
      <c r="B203">
        <v>49</v>
      </c>
      <c r="C203" t="str" cm="1">
        <f t="array" ref="C203">_xlfn.IFS(B203&lt;=18,"0-18",B203&lt;=29,"19-29",B203&gt;=49,"30-49",B203&gt;=69,"50-69",TRUE,"70+")</f>
        <v>30-49</v>
      </c>
      <c r="D203" t="s">
        <v>29</v>
      </c>
      <c r="E203" t="s">
        <v>30</v>
      </c>
      <c r="F203" t="s">
        <v>55</v>
      </c>
      <c r="G203" t="s">
        <v>45</v>
      </c>
      <c r="H203" t="s">
        <v>30</v>
      </c>
      <c r="I203" t="s">
        <v>494</v>
      </c>
      <c r="J203" t="s">
        <v>98</v>
      </c>
      <c r="K203" s="2">
        <v>145.02000000000001</v>
      </c>
      <c r="L203">
        <v>7</v>
      </c>
      <c r="M203" t="s">
        <v>48</v>
      </c>
      <c r="N203">
        <v>3</v>
      </c>
      <c r="O203">
        <v>2</v>
      </c>
      <c r="P203">
        <v>0</v>
      </c>
      <c r="Q203" t="s">
        <v>44</v>
      </c>
      <c r="R203" t="s">
        <v>85</v>
      </c>
      <c r="S203">
        <v>1</v>
      </c>
      <c r="T203">
        <v>1</v>
      </c>
      <c r="U203" t="s">
        <v>49</v>
      </c>
      <c r="V203" t="s">
        <v>79</v>
      </c>
      <c r="W203" t="s">
        <v>39</v>
      </c>
      <c r="X203" s="3">
        <v>45495</v>
      </c>
      <c r="Y203" s="1" t="str">
        <f t="shared" si="6"/>
        <v>Jul</v>
      </c>
      <c r="Z203" s="1" t="str">
        <f t="shared" si="7"/>
        <v>2024</v>
      </c>
      <c r="AA203" t="b">
        <v>1</v>
      </c>
      <c r="AB203" t="b">
        <v>1</v>
      </c>
      <c r="AC203" t="s">
        <v>52</v>
      </c>
      <c r="AD203" t="s">
        <v>67</v>
      </c>
      <c r="AE203">
        <v>9</v>
      </c>
    </row>
    <row r="204" spans="1:31" x14ac:dyDescent="0.3">
      <c r="A204" t="s">
        <v>495</v>
      </c>
      <c r="B204">
        <v>30</v>
      </c>
      <c r="C204" t="str" cm="1">
        <f t="array" ref="C204">_xlfn.IFS(B204&lt;=18,"0-18",B204&lt;=29,"19-29",B204&gt;=49,"30-49",B204&gt;=69,"50-69",TRUE,"70+")</f>
        <v>70+</v>
      </c>
      <c r="D204" t="s">
        <v>29</v>
      </c>
      <c r="E204" t="s">
        <v>30</v>
      </c>
      <c r="F204" t="s">
        <v>76</v>
      </c>
      <c r="G204" t="s">
        <v>56</v>
      </c>
      <c r="H204" t="s">
        <v>30</v>
      </c>
      <c r="I204" t="s">
        <v>496</v>
      </c>
      <c r="J204" t="s">
        <v>142</v>
      </c>
      <c r="K204" s="2">
        <v>294.99</v>
      </c>
      <c r="L204">
        <v>4</v>
      </c>
      <c r="M204" t="s">
        <v>78</v>
      </c>
      <c r="N204">
        <v>3</v>
      </c>
      <c r="O204">
        <v>5</v>
      </c>
      <c r="P204">
        <v>2</v>
      </c>
      <c r="Q204" t="s">
        <v>59</v>
      </c>
      <c r="R204" t="s">
        <v>37</v>
      </c>
      <c r="S204">
        <v>1</v>
      </c>
      <c r="T204">
        <v>4</v>
      </c>
      <c r="U204" t="s">
        <v>44</v>
      </c>
      <c r="V204" t="s">
        <v>79</v>
      </c>
      <c r="W204" t="s">
        <v>51</v>
      </c>
      <c r="X204" s="3">
        <v>45496</v>
      </c>
      <c r="Y204" s="1" t="str">
        <f t="shared" si="6"/>
        <v>Jul</v>
      </c>
      <c r="Z204" s="1" t="str">
        <f t="shared" si="7"/>
        <v>2024</v>
      </c>
      <c r="AA204" t="b">
        <v>0</v>
      </c>
      <c r="AB204" t="b">
        <v>0</v>
      </c>
      <c r="AC204" t="s">
        <v>40</v>
      </c>
      <c r="AD204" t="s">
        <v>53</v>
      </c>
      <c r="AE204">
        <v>5</v>
      </c>
    </row>
    <row r="205" spans="1:31" x14ac:dyDescent="0.3">
      <c r="A205" t="s">
        <v>497</v>
      </c>
      <c r="B205">
        <v>31</v>
      </c>
      <c r="C205" t="str" cm="1">
        <f t="array" ref="C205">_xlfn.IFS(B205&lt;=18,"0-18",B205&lt;=29,"19-29",B205&gt;=49,"30-49",B205&gt;=69,"50-69",TRUE,"70+")</f>
        <v>70+</v>
      </c>
      <c r="D205" t="s">
        <v>212</v>
      </c>
      <c r="E205" t="s">
        <v>30</v>
      </c>
      <c r="F205" t="s">
        <v>76</v>
      </c>
      <c r="G205" t="s">
        <v>45</v>
      </c>
      <c r="H205" t="s">
        <v>30</v>
      </c>
      <c r="I205" t="s">
        <v>498</v>
      </c>
      <c r="J205" t="s">
        <v>58</v>
      </c>
      <c r="K205" s="2">
        <v>305.45</v>
      </c>
      <c r="L205">
        <v>2</v>
      </c>
      <c r="M205" t="s">
        <v>35</v>
      </c>
      <c r="N205">
        <v>5</v>
      </c>
      <c r="O205">
        <v>5</v>
      </c>
      <c r="P205">
        <v>1</v>
      </c>
      <c r="Q205" t="s">
        <v>36</v>
      </c>
      <c r="R205" t="s">
        <v>85</v>
      </c>
      <c r="S205">
        <v>1</v>
      </c>
      <c r="T205">
        <v>1</v>
      </c>
      <c r="U205" t="s">
        <v>44</v>
      </c>
      <c r="V205" t="s">
        <v>60</v>
      </c>
      <c r="W205" t="s">
        <v>51</v>
      </c>
      <c r="X205" s="3">
        <v>45497</v>
      </c>
      <c r="Y205" s="1" t="str">
        <f t="shared" si="6"/>
        <v>Jul</v>
      </c>
      <c r="Z205" s="1" t="str">
        <f t="shared" si="7"/>
        <v>2024</v>
      </c>
      <c r="AA205" t="b">
        <v>0</v>
      </c>
      <c r="AB205" t="b">
        <v>1</v>
      </c>
      <c r="AC205" t="s">
        <v>62</v>
      </c>
      <c r="AD205" t="s">
        <v>67</v>
      </c>
      <c r="AE205">
        <v>9</v>
      </c>
    </row>
    <row r="206" spans="1:31" x14ac:dyDescent="0.3">
      <c r="A206" t="s">
        <v>499</v>
      </c>
      <c r="B206">
        <v>50</v>
      </c>
      <c r="C206" t="str" cm="1">
        <f t="array" ref="C206">_xlfn.IFS(B206&lt;=18,"0-18",B206&lt;=29,"19-29",B206&gt;=49,"30-49",B206&gt;=69,"50-69",TRUE,"70+")</f>
        <v>30-49</v>
      </c>
      <c r="D206" t="s">
        <v>29</v>
      </c>
      <c r="E206" t="s">
        <v>30</v>
      </c>
      <c r="F206" t="s">
        <v>69</v>
      </c>
      <c r="G206" t="s">
        <v>45</v>
      </c>
      <c r="H206" t="s">
        <v>30</v>
      </c>
      <c r="I206" t="s">
        <v>500</v>
      </c>
      <c r="J206" t="s">
        <v>126</v>
      </c>
      <c r="K206" s="2">
        <v>432.42</v>
      </c>
      <c r="L206">
        <v>2</v>
      </c>
      <c r="M206" t="s">
        <v>48</v>
      </c>
      <c r="N206">
        <v>4</v>
      </c>
      <c r="O206">
        <v>4</v>
      </c>
      <c r="P206">
        <v>0</v>
      </c>
      <c r="Q206" t="s">
        <v>49</v>
      </c>
      <c r="R206" t="s">
        <v>50</v>
      </c>
      <c r="S206">
        <v>0</v>
      </c>
      <c r="T206">
        <v>8</v>
      </c>
      <c r="U206" t="s">
        <v>36</v>
      </c>
      <c r="V206" t="s">
        <v>38</v>
      </c>
      <c r="W206" t="s">
        <v>51</v>
      </c>
      <c r="X206" s="3">
        <v>45498</v>
      </c>
      <c r="Y206" s="1" t="str">
        <f t="shared" si="6"/>
        <v>Jul</v>
      </c>
      <c r="Z206" s="1" t="str">
        <f t="shared" si="7"/>
        <v>2024</v>
      </c>
      <c r="AA206" t="b">
        <v>0</v>
      </c>
      <c r="AB206" t="b">
        <v>1</v>
      </c>
      <c r="AC206" t="s">
        <v>40</v>
      </c>
      <c r="AD206" t="s">
        <v>67</v>
      </c>
      <c r="AE206">
        <v>13</v>
      </c>
    </row>
    <row r="207" spans="1:31" x14ac:dyDescent="0.3">
      <c r="A207" t="s">
        <v>501</v>
      </c>
      <c r="B207">
        <v>35</v>
      </c>
      <c r="C207" t="str" cm="1">
        <f t="array" ref="C207">_xlfn.IFS(B207&lt;=18,"0-18",B207&lt;=29,"19-29",B207&gt;=49,"30-49",B207&gt;=69,"50-69",TRUE,"70+")</f>
        <v>70+</v>
      </c>
      <c r="D207" t="s">
        <v>29</v>
      </c>
      <c r="E207" t="s">
        <v>30</v>
      </c>
      <c r="F207" t="s">
        <v>55</v>
      </c>
      <c r="G207" t="s">
        <v>32</v>
      </c>
      <c r="H207" t="s">
        <v>44</v>
      </c>
      <c r="I207" t="s">
        <v>502</v>
      </c>
      <c r="J207" t="s">
        <v>34</v>
      </c>
      <c r="K207" s="2">
        <v>227.58</v>
      </c>
      <c r="L207">
        <v>11</v>
      </c>
      <c r="M207" t="s">
        <v>35</v>
      </c>
      <c r="N207">
        <v>3</v>
      </c>
      <c r="O207">
        <v>1</v>
      </c>
      <c r="P207">
        <v>1</v>
      </c>
      <c r="Q207" t="s">
        <v>36</v>
      </c>
      <c r="R207" t="s">
        <v>50</v>
      </c>
      <c r="S207">
        <v>1</v>
      </c>
      <c r="T207">
        <v>8</v>
      </c>
      <c r="U207" t="s">
        <v>44</v>
      </c>
      <c r="V207" t="s">
        <v>60</v>
      </c>
      <c r="W207" t="s">
        <v>39</v>
      </c>
      <c r="X207" s="3">
        <v>45499</v>
      </c>
      <c r="Y207" s="1" t="str">
        <f t="shared" si="6"/>
        <v>Jul</v>
      </c>
      <c r="Z207" s="1" t="str">
        <f t="shared" si="7"/>
        <v>2024</v>
      </c>
      <c r="AA207" t="b">
        <v>0</v>
      </c>
      <c r="AB207" t="b">
        <v>1</v>
      </c>
      <c r="AC207" t="s">
        <v>40</v>
      </c>
      <c r="AD207" t="s">
        <v>67</v>
      </c>
      <c r="AE207">
        <v>6</v>
      </c>
    </row>
    <row r="208" spans="1:31" x14ac:dyDescent="0.3">
      <c r="A208" t="s">
        <v>503</v>
      </c>
      <c r="B208">
        <v>36</v>
      </c>
      <c r="C208" t="str" cm="1">
        <f t="array" ref="C208">_xlfn.IFS(B208&lt;=18,"0-18",B208&lt;=29,"19-29",B208&gt;=49,"30-49",B208&gt;=69,"50-69",TRUE,"70+")</f>
        <v>70+</v>
      </c>
      <c r="D208" t="s">
        <v>43</v>
      </c>
      <c r="E208" t="s">
        <v>30</v>
      </c>
      <c r="F208" t="s">
        <v>55</v>
      </c>
      <c r="G208" t="s">
        <v>45</v>
      </c>
      <c r="H208" t="s">
        <v>44</v>
      </c>
      <c r="I208" t="s">
        <v>311</v>
      </c>
      <c r="J208" t="s">
        <v>126</v>
      </c>
      <c r="K208" s="2">
        <v>160.88999999999999</v>
      </c>
      <c r="L208">
        <v>10</v>
      </c>
      <c r="M208" t="s">
        <v>78</v>
      </c>
      <c r="N208">
        <v>5</v>
      </c>
      <c r="O208">
        <v>5</v>
      </c>
      <c r="P208">
        <v>2</v>
      </c>
      <c r="Q208" t="s">
        <v>36</v>
      </c>
      <c r="R208" t="s">
        <v>37</v>
      </c>
      <c r="S208">
        <v>2</v>
      </c>
      <c r="T208">
        <v>6</v>
      </c>
      <c r="U208" t="s">
        <v>49</v>
      </c>
      <c r="V208" t="s">
        <v>79</v>
      </c>
      <c r="W208" t="s">
        <v>51</v>
      </c>
      <c r="X208" s="3">
        <v>45500</v>
      </c>
      <c r="Y208" s="1" t="str">
        <f t="shared" si="6"/>
        <v>Jul</v>
      </c>
      <c r="Z208" s="1" t="str">
        <f t="shared" si="7"/>
        <v>2024</v>
      </c>
      <c r="AA208" t="b">
        <v>1</v>
      </c>
      <c r="AB208" t="b">
        <v>1</v>
      </c>
      <c r="AC208" t="s">
        <v>74</v>
      </c>
      <c r="AD208" t="s">
        <v>41</v>
      </c>
      <c r="AE208">
        <v>13</v>
      </c>
    </row>
    <row r="209" spans="1:31" x14ac:dyDescent="0.3">
      <c r="A209" t="s">
        <v>504</v>
      </c>
      <c r="B209">
        <v>24</v>
      </c>
      <c r="C209" t="str" cm="1">
        <f t="array" ref="C209">_xlfn.IFS(B209&lt;=18,"0-18",B209&lt;=29,"19-29",B209&gt;=49,"30-49",B209&gt;=69,"50-69",TRUE,"70+")</f>
        <v>19-29</v>
      </c>
      <c r="D209" t="s">
        <v>29</v>
      </c>
      <c r="E209" t="s">
        <v>30</v>
      </c>
      <c r="F209" t="s">
        <v>31</v>
      </c>
      <c r="G209" t="s">
        <v>56</v>
      </c>
      <c r="H209" t="s">
        <v>44</v>
      </c>
      <c r="I209" t="s">
        <v>505</v>
      </c>
      <c r="J209" t="s">
        <v>98</v>
      </c>
      <c r="K209" s="2">
        <v>139.1</v>
      </c>
      <c r="L209">
        <v>7</v>
      </c>
      <c r="M209" t="s">
        <v>78</v>
      </c>
      <c r="N209">
        <v>2</v>
      </c>
      <c r="O209">
        <v>5</v>
      </c>
      <c r="P209">
        <v>0</v>
      </c>
      <c r="Q209" t="s">
        <v>59</v>
      </c>
      <c r="R209" t="s">
        <v>37</v>
      </c>
      <c r="S209">
        <v>2</v>
      </c>
      <c r="T209">
        <v>3</v>
      </c>
      <c r="U209" t="s">
        <v>49</v>
      </c>
      <c r="V209" t="s">
        <v>79</v>
      </c>
      <c r="W209" t="s">
        <v>51</v>
      </c>
      <c r="X209" s="3">
        <v>45501</v>
      </c>
      <c r="Y209" s="1" t="str">
        <f t="shared" si="6"/>
        <v>Jul</v>
      </c>
      <c r="Z209" s="1" t="str">
        <f t="shared" si="7"/>
        <v>2024</v>
      </c>
      <c r="AA209" t="b">
        <v>0</v>
      </c>
      <c r="AB209" t="b">
        <v>0</v>
      </c>
      <c r="AC209" t="s">
        <v>62</v>
      </c>
      <c r="AD209" t="s">
        <v>41</v>
      </c>
      <c r="AE209">
        <v>8</v>
      </c>
    </row>
    <row r="210" spans="1:31" x14ac:dyDescent="0.3">
      <c r="A210" t="s">
        <v>506</v>
      </c>
      <c r="B210">
        <v>36</v>
      </c>
      <c r="C210" t="str" cm="1">
        <f t="array" ref="C210">_xlfn.IFS(B210&lt;=18,"0-18",B210&lt;=29,"19-29",B210&gt;=49,"30-49",B210&gt;=69,"50-69",TRUE,"70+")</f>
        <v>70+</v>
      </c>
      <c r="D210" t="s">
        <v>148</v>
      </c>
      <c r="E210" t="s">
        <v>44</v>
      </c>
      <c r="F210" t="s">
        <v>31</v>
      </c>
      <c r="G210" t="s">
        <v>56</v>
      </c>
      <c r="H210" t="s">
        <v>30</v>
      </c>
      <c r="I210" t="s">
        <v>507</v>
      </c>
      <c r="J210" t="s">
        <v>71</v>
      </c>
      <c r="K210" s="2">
        <v>268.27999999999997</v>
      </c>
      <c r="L210">
        <v>9</v>
      </c>
      <c r="M210" t="s">
        <v>35</v>
      </c>
      <c r="N210">
        <v>5</v>
      </c>
      <c r="O210">
        <v>2</v>
      </c>
      <c r="P210">
        <v>2</v>
      </c>
      <c r="Q210" t="s">
        <v>44</v>
      </c>
      <c r="R210" t="s">
        <v>85</v>
      </c>
      <c r="S210">
        <v>2</v>
      </c>
      <c r="T210">
        <v>2</v>
      </c>
      <c r="U210" t="s">
        <v>44</v>
      </c>
      <c r="V210" t="s">
        <v>60</v>
      </c>
      <c r="W210" t="s">
        <v>39</v>
      </c>
      <c r="X210" s="3">
        <v>45502</v>
      </c>
      <c r="Y210" s="1" t="str">
        <f t="shared" si="6"/>
        <v>Jul</v>
      </c>
      <c r="Z210" s="1" t="str">
        <f t="shared" si="7"/>
        <v>2024</v>
      </c>
      <c r="AA210" t="b">
        <v>0</v>
      </c>
      <c r="AB210" t="b">
        <v>1</v>
      </c>
      <c r="AC210" t="s">
        <v>40</v>
      </c>
      <c r="AD210" t="s">
        <v>53</v>
      </c>
      <c r="AE210">
        <v>8</v>
      </c>
    </row>
    <row r="211" spans="1:31" x14ac:dyDescent="0.3">
      <c r="A211" t="s">
        <v>508</v>
      </c>
      <c r="B211">
        <v>45</v>
      </c>
      <c r="C211" t="str" cm="1">
        <f t="array" ref="C211">_xlfn.IFS(B211&lt;=18,"0-18",B211&lt;=29,"19-29",B211&gt;=49,"30-49",B211&gt;=69,"50-69",TRUE,"70+")</f>
        <v>70+</v>
      </c>
      <c r="D211" t="s">
        <v>29</v>
      </c>
      <c r="E211" t="s">
        <v>30</v>
      </c>
      <c r="F211" t="s">
        <v>55</v>
      </c>
      <c r="G211" t="s">
        <v>56</v>
      </c>
      <c r="H211" t="s">
        <v>44</v>
      </c>
      <c r="I211" t="s">
        <v>509</v>
      </c>
      <c r="J211" t="s">
        <v>90</v>
      </c>
      <c r="K211" s="2">
        <v>64.489999999999995</v>
      </c>
      <c r="L211">
        <v>6</v>
      </c>
      <c r="M211" t="s">
        <v>78</v>
      </c>
      <c r="N211">
        <v>2</v>
      </c>
      <c r="O211">
        <v>1</v>
      </c>
      <c r="P211">
        <v>0</v>
      </c>
      <c r="Q211" t="s">
        <v>36</v>
      </c>
      <c r="R211" t="s">
        <v>85</v>
      </c>
      <c r="S211">
        <v>1</v>
      </c>
      <c r="T211">
        <v>10</v>
      </c>
      <c r="U211" t="s">
        <v>36</v>
      </c>
      <c r="V211" t="s">
        <v>38</v>
      </c>
      <c r="W211" t="s">
        <v>66</v>
      </c>
      <c r="X211" s="3">
        <v>45503</v>
      </c>
      <c r="Y211" s="1" t="str">
        <f t="shared" si="6"/>
        <v>Jul</v>
      </c>
      <c r="Z211" s="1" t="str">
        <f t="shared" si="7"/>
        <v>2024</v>
      </c>
      <c r="AA211" t="b">
        <v>0</v>
      </c>
      <c r="AB211" t="b">
        <v>0</v>
      </c>
      <c r="AC211" t="s">
        <v>74</v>
      </c>
      <c r="AD211" t="s">
        <v>67</v>
      </c>
      <c r="AE211">
        <v>7</v>
      </c>
    </row>
    <row r="212" spans="1:31" x14ac:dyDescent="0.3">
      <c r="A212" t="s">
        <v>510</v>
      </c>
      <c r="B212">
        <v>44</v>
      </c>
      <c r="C212" t="str" cm="1">
        <f t="array" ref="C212">_xlfn.IFS(B212&lt;=18,"0-18",B212&lt;=29,"19-29",B212&gt;=49,"30-49",B212&gt;=69,"50-69",TRUE,"70+")</f>
        <v>70+</v>
      </c>
      <c r="D212" t="s">
        <v>43</v>
      </c>
      <c r="E212" t="s">
        <v>30</v>
      </c>
      <c r="F212" t="s">
        <v>69</v>
      </c>
      <c r="G212" t="s">
        <v>45</v>
      </c>
      <c r="H212" t="s">
        <v>30</v>
      </c>
      <c r="I212" t="s">
        <v>151</v>
      </c>
      <c r="J212" t="s">
        <v>135</v>
      </c>
      <c r="K212" s="2">
        <v>80.17</v>
      </c>
      <c r="L212">
        <v>10</v>
      </c>
      <c r="M212" t="s">
        <v>78</v>
      </c>
      <c r="N212">
        <v>1</v>
      </c>
      <c r="O212">
        <v>1</v>
      </c>
      <c r="P212">
        <v>1</v>
      </c>
      <c r="Q212" t="s">
        <v>44</v>
      </c>
      <c r="R212" t="s">
        <v>50</v>
      </c>
      <c r="S212">
        <v>1</v>
      </c>
      <c r="T212">
        <v>8</v>
      </c>
      <c r="U212" t="s">
        <v>36</v>
      </c>
      <c r="V212" t="s">
        <v>38</v>
      </c>
      <c r="W212" t="s">
        <v>39</v>
      </c>
      <c r="X212" s="3">
        <v>45504</v>
      </c>
      <c r="Y212" s="1" t="str">
        <f t="shared" si="6"/>
        <v>Jul</v>
      </c>
      <c r="Z212" s="1" t="str">
        <f t="shared" si="7"/>
        <v>2024</v>
      </c>
      <c r="AA212" t="b">
        <v>1</v>
      </c>
      <c r="AB212" t="b">
        <v>1</v>
      </c>
      <c r="AC212" t="s">
        <v>74</v>
      </c>
      <c r="AD212" t="s">
        <v>41</v>
      </c>
      <c r="AE212">
        <v>6</v>
      </c>
    </row>
    <row r="213" spans="1:31" x14ac:dyDescent="0.3">
      <c r="A213" t="s">
        <v>511</v>
      </c>
      <c r="B213">
        <v>28</v>
      </c>
      <c r="C213" t="str" cm="1">
        <f t="array" ref="C213">_xlfn.IFS(B213&lt;=18,"0-18",B213&lt;=29,"19-29",B213&gt;=49,"30-49",B213&gt;=69,"50-69",TRUE,"70+")</f>
        <v>19-29</v>
      </c>
      <c r="D213" t="s">
        <v>43</v>
      </c>
      <c r="E213" t="s">
        <v>44</v>
      </c>
      <c r="F213" t="s">
        <v>31</v>
      </c>
      <c r="G213" t="s">
        <v>56</v>
      </c>
      <c r="H213" t="s">
        <v>44</v>
      </c>
      <c r="I213" t="s">
        <v>512</v>
      </c>
      <c r="J213" t="s">
        <v>158</v>
      </c>
      <c r="K213" s="2">
        <v>277.52</v>
      </c>
      <c r="L213">
        <v>11</v>
      </c>
      <c r="M213" t="s">
        <v>48</v>
      </c>
      <c r="N213">
        <v>4</v>
      </c>
      <c r="O213">
        <v>1</v>
      </c>
      <c r="P213">
        <v>0</v>
      </c>
      <c r="Q213" t="s">
        <v>36</v>
      </c>
      <c r="R213" t="s">
        <v>50</v>
      </c>
      <c r="S213">
        <v>1</v>
      </c>
      <c r="T213">
        <v>7</v>
      </c>
      <c r="U213" t="s">
        <v>49</v>
      </c>
      <c r="V213" t="s">
        <v>60</v>
      </c>
      <c r="W213" t="s">
        <v>51</v>
      </c>
      <c r="X213" s="3">
        <v>45505</v>
      </c>
      <c r="Y213" s="1" t="str">
        <f t="shared" si="6"/>
        <v>Aug</v>
      </c>
      <c r="Z213" s="1" t="str">
        <f t="shared" si="7"/>
        <v>2024</v>
      </c>
      <c r="AA213" t="b">
        <v>1</v>
      </c>
      <c r="AB213" t="b">
        <v>0</v>
      </c>
      <c r="AC213" t="s">
        <v>40</v>
      </c>
      <c r="AD213" t="s">
        <v>53</v>
      </c>
      <c r="AE213">
        <v>11</v>
      </c>
    </row>
    <row r="214" spans="1:31" x14ac:dyDescent="0.3">
      <c r="A214" t="s">
        <v>513</v>
      </c>
      <c r="B214">
        <v>40</v>
      </c>
      <c r="C214" t="str" cm="1">
        <f t="array" ref="C214">_xlfn.IFS(B214&lt;=18,"0-18",B214&lt;=29,"19-29",B214&gt;=49,"30-49",B214&gt;=69,"50-69",TRUE,"70+")</f>
        <v>70+</v>
      </c>
      <c r="D214" t="s">
        <v>43</v>
      </c>
      <c r="E214" t="s">
        <v>44</v>
      </c>
      <c r="F214" t="s">
        <v>69</v>
      </c>
      <c r="G214" t="s">
        <v>56</v>
      </c>
      <c r="H214" t="s">
        <v>30</v>
      </c>
      <c r="I214" t="s">
        <v>514</v>
      </c>
      <c r="J214" t="s">
        <v>142</v>
      </c>
      <c r="K214" s="2">
        <v>53.67</v>
      </c>
      <c r="L214">
        <v>7</v>
      </c>
      <c r="M214" t="s">
        <v>78</v>
      </c>
      <c r="N214">
        <v>3</v>
      </c>
      <c r="O214">
        <v>5</v>
      </c>
      <c r="P214">
        <v>1</v>
      </c>
      <c r="Q214" t="s">
        <v>44</v>
      </c>
      <c r="R214" t="s">
        <v>50</v>
      </c>
      <c r="S214">
        <v>0</v>
      </c>
      <c r="T214">
        <v>2</v>
      </c>
      <c r="U214" t="s">
        <v>44</v>
      </c>
      <c r="V214" t="s">
        <v>79</v>
      </c>
      <c r="W214" t="s">
        <v>51</v>
      </c>
      <c r="X214" s="3">
        <v>45506</v>
      </c>
      <c r="Y214" s="1" t="str">
        <f t="shared" si="6"/>
        <v>Aug</v>
      </c>
      <c r="Z214" s="1" t="str">
        <f t="shared" si="7"/>
        <v>2024</v>
      </c>
      <c r="AA214" t="b">
        <v>0</v>
      </c>
      <c r="AB214" t="b">
        <v>0</v>
      </c>
      <c r="AC214" t="s">
        <v>74</v>
      </c>
      <c r="AD214" t="s">
        <v>67</v>
      </c>
      <c r="AE214">
        <v>11</v>
      </c>
    </row>
    <row r="215" spans="1:31" x14ac:dyDescent="0.3">
      <c r="A215" t="s">
        <v>515</v>
      </c>
      <c r="B215">
        <v>49</v>
      </c>
      <c r="C215" t="str" cm="1">
        <f t="array" ref="C215">_xlfn.IFS(B215&lt;=18,"0-18",B215&lt;=29,"19-29",B215&gt;=49,"30-49",B215&gt;=69,"50-69",TRUE,"70+")</f>
        <v>30-49</v>
      </c>
      <c r="D215" t="s">
        <v>29</v>
      </c>
      <c r="E215" t="s">
        <v>30</v>
      </c>
      <c r="F215" t="s">
        <v>69</v>
      </c>
      <c r="G215" t="s">
        <v>32</v>
      </c>
      <c r="H215" t="s">
        <v>44</v>
      </c>
      <c r="I215" t="s">
        <v>516</v>
      </c>
      <c r="J215" t="s">
        <v>58</v>
      </c>
      <c r="K215" s="2">
        <v>323.39</v>
      </c>
      <c r="L215">
        <v>10</v>
      </c>
      <c r="M215" t="s">
        <v>48</v>
      </c>
      <c r="N215">
        <v>2</v>
      </c>
      <c r="O215">
        <v>3</v>
      </c>
      <c r="P215">
        <v>2</v>
      </c>
      <c r="Q215" t="s">
        <v>36</v>
      </c>
      <c r="R215" t="s">
        <v>85</v>
      </c>
      <c r="S215">
        <v>0</v>
      </c>
      <c r="T215">
        <v>7</v>
      </c>
      <c r="U215" t="s">
        <v>44</v>
      </c>
      <c r="V215" t="s">
        <v>38</v>
      </c>
      <c r="W215" t="s">
        <v>86</v>
      </c>
      <c r="X215" s="3">
        <v>45507</v>
      </c>
      <c r="Y215" s="1" t="str">
        <f t="shared" si="6"/>
        <v>Aug</v>
      </c>
      <c r="Z215" s="1" t="str">
        <f t="shared" si="7"/>
        <v>2024</v>
      </c>
      <c r="AA215" t="b">
        <v>1</v>
      </c>
      <c r="AB215" t="b">
        <v>1</v>
      </c>
      <c r="AC215" t="s">
        <v>40</v>
      </c>
      <c r="AD215" t="s">
        <v>41</v>
      </c>
      <c r="AE215">
        <v>11</v>
      </c>
    </row>
    <row r="216" spans="1:31" x14ac:dyDescent="0.3">
      <c r="A216" t="s">
        <v>517</v>
      </c>
      <c r="B216">
        <v>50</v>
      </c>
      <c r="C216" t="str" cm="1">
        <f t="array" ref="C216">_xlfn.IFS(B216&lt;=18,"0-18",B216&lt;=29,"19-29",B216&gt;=49,"30-49",B216&gt;=69,"50-69",TRUE,"70+")</f>
        <v>30-49</v>
      </c>
      <c r="D216" t="s">
        <v>29</v>
      </c>
      <c r="E216" t="s">
        <v>44</v>
      </c>
      <c r="F216" t="s">
        <v>55</v>
      </c>
      <c r="G216" t="s">
        <v>32</v>
      </c>
      <c r="H216" t="s">
        <v>44</v>
      </c>
      <c r="I216" t="s">
        <v>518</v>
      </c>
      <c r="J216" t="s">
        <v>90</v>
      </c>
      <c r="K216" s="2">
        <v>98.02</v>
      </c>
      <c r="L216">
        <v>5</v>
      </c>
      <c r="M216" t="s">
        <v>48</v>
      </c>
      <c r="N216">
        <v>3</v>
      </c>
      <c r="O216">
        <v>3</v>
      </c>
      <c r="P216">
        <v>1</v>
      </c>
      <c r="Q216" t="s">
        <v>59</v>
      </c>
      <c r="R216" t="s">
        <v>50</v>
      </c>
      <c r="S216">
        <v>0</v>
      </c>
      <c r="T216">
        <v>3</v>
      </c>
      <c r="U216" t="s">
        <v>44</v>
      </c>
      <c r="V216" t="s">
        <v>79</v>
      </c>
      <c r="W216" t="s">
        <v>61</v>
      </c>
      <c r="X216" s="3">
        <v>45508</v>
      </c>
      <c r="Y216" s="1" t="str">
        <f t="shared" si="6"/>
        <v>Aug</v>
      </c>
      <c r="Z216" s="1" t="str">
        <f t="shared" si="7"/>
        <v>2024</v>
      </c>
      <c r="AA216" t="b">
        <v>1</v>
      </c>
      <c r="AB216" t="b">
        <v>0</v>
      </c>
      <c r="AC216" t="s">
        <v>74</v>
      </c>
      <c r="AD216" t="s">
        <v>41</v>
      </c>
      <c r="AE216">
        <v>10</v>
      </c>
    </row>
    <row r="217" spans="1:31" x14ac:dyDescent="0.3">
      <c r="A217" t="s">
        <v>519</v>
      </c>
      <c r="B217">
        <v>24</v>
      </c>
      <c r="C217" t="str" cm="1">
        <f t="array" ref="C217">_xlfn.IFS(B217&lt;=18,"0-18",B217&lt;=29,"19-29",B217&gt;=49,"30-49",B217&gt;=69,"50-69",TRUE,"70+")</f>
        <v>19-29</v>
      </c>
      <c r="D217" t="s">
        <v>43</v>
      </c>
      <c r="E217" t="s">
        <v>44</v>
      </c>
      <c r="F217" t="s">
        <v>76</v>
      </c>
      <c r="G217" t="s">
        <v>32</v>
      </c>
      <c r="H217" t="s">
        <v>44</v>
      </c>
      <c r="I217" t="s">
        <v>520</v>
      </c>
      <c r="J217" t="s">
        <v>194</v>
      </c>
      <c r="K217" s="2">
        <v>231.26</v>
      </c>
      <c r="L217">
        <v>10</v>
      </c>
      <c r="M217" t="s">
        <v>48</v>
      </c>
      <c r="N217">
        <v>5</v>
      </c>
      <c r="O217">
        <v>1</v>
      </c>
      <c r="P217">
        <v>2</v>
      </c>
      <c r="Q217" t="s">
        <v>59</v>
      </c>
      <c r="R217" t="s">
        <v>85</v>
      </c>
      <c r="S217">
        <v>2</v>
      </c>
      <c r="T217">
        <v>5</v>
      </c>
      <c r="U217" t="s">
        <v>59</v>
      </c>
      <c r="V217" t="s">
        <v>79</v>
      </c>
      <c r="W217" t="s">
        <v>86</v>
      </c>
      <c r="X217" s="3">
        <v>45509</v>
      </c>
      <c r="Y217" s="1" t="str">
        <f t="shared" si="6"/>
        <v>Aug</v>
      </c>
      <c r="Z217" s="1" t="str">
        <f t="shared" si="7"/>
        <v>2024</v>
      </c>
      <c r="AA217" t="b">
        <v>0</v>
      </c>
      <c r="AB217" t="b">
        <v>1</v>
      </c>
      <c r="AC217" t="s">
        <v>62</v>
      </c>
      <c r="AD217" t="s">
        <v>41</v>
      </c>
      <c r="AE217">
        <v>10</v>
      </c>
    </row>
    <row r="218" spans="1:31" x14ac:dyDescent="0.3">
      <c r="A218" t="s">
        <v>521</v>
      </c>
      <c r="B218">
        <v>26</v>
      </c>
      <c r="C218" t="str" cm="1">
        <f t="array" ref="C218">_xlfn.IFS(B218&lt;=18,"0-18",B218&lt;=29,"19-29",B218&gt;=49,"30-49",B218&gt;=69,"50-69",TRUE,"70+")</f>
        <v>19-29</v>
      </c>
      <c r="D218" t="s">
        <v>43</v>
      </c>
      <c r="E218" t="s">
        <v>44</v>
      </c>
      <c r="F218" t="s">
        <v>55</v>
      </c>
      <c r="G218" t="s">
        <v>56</v>
      </c>
      <c r="H218" t="s">
        <v>30</v>
      </c>
      <c r="I218" t="s">
        <v>522</v>
      </c>
      <c r="J218" t="s">
        <v>47</v>
      </c>
      <c r="K218" s="2">
        <v>382.49</v>
      </c>
      <c r="L218">
        <v>6</v>
      </c>
      <c r="M218" t="s">
        <v>48</v>
      </c>
      <c r="N218">
        <v>4</v>
      </c>
      <c r="O218">
        <v>2</v>
      </c>
      <c r="P218">
        <v>2</v>
      </c>
      <c r="Q218" t="s">
        <v>36</v>
      </c>
      <c r="R218" t="s">
        <v>85</v>
      </c>
      <c r="S218">
        <v>2</v>
      </c>
      <c r="T218">
        <v>3</v>
      </c>
      <c r="U218" t="s">
        <v>49</v>
      </c>
      <c r="V218" t="s">
        <v>38</v>
      </c>
      <c r="W218" t="s">
        <v>61</v>
      </c>
      <c r="X218" s="3">
        <v>45510</v>
      </c>
      <c r="Y218" s="1" t="str">
        <f t="shared" si="6"/>
        <v>Aug</v>
      </c>
      <c r="Z218" s="1" t="str">
        <f t="shared" si="7"/>
        <v>2024</v>
      </c>
      <c r="AA218" t="b">
        <v>1</v>
      </c>
      <c r="AB218" t="b">
        <v>0</v>
      </c>
      <c r="AC218" t="s">
        <v>62</v>
      </c>
      <c r="AD218" t="s">
        <v>41</v>
      </c>
      <c r="AE218">
        <v>1</v>
      </c>
    </row>
    <row r="219" spans="1:31" x14ac:dyDescent="0.3">
      <c r="A219" t="s">
        <v>523</v>
      </c>
      <c r="B219">
        <v>28</v>
      </c>
      <c r="C219" t="str" cm="1">
        <f t="array" ref="C219">_xlfn.IFS(B219&lt;=18,"0-18",B219&lt;=29,"19-29",B219&gt;=49,"30-49",B219&gt;=69,"50-69",TRUE,"70+")</f>
        <v>19-29</v>
      </c>
      <c r="D219" t="s">
        <v>43</v>
      </c>
      <c r="E219" t="s">
        <v>30</v>
      </c>
      <c r="F219" t="s">
        <v>76</v>
      </c>
      <c r="G219" t="s">
        <v>56</v>
      </c>
      <c r="H219" t="s">
        <v>44</v>
      </c>
      <c r="I219" t="s">
        <v>524</v>
      </c>
      <c r="J219" t="s">
        <v>194</v>
      </c>
      <c r="K219" s="2">
        <v>255.42</v>
      </c>
      <c r="L219">
        <v>9</v>
      </c>
      <c r="M219" t="s">
        <v>35</v>
      </c>
      <c r="N219">
        <v>5</v>
      </c>
      <c r="O219">
        <v>5</v>
      </c>
      <c r="P219">
        <v>2</v>
      </c>
      <c r="Q219" t="s">
        <v>36</v>
      </c>
      <c r="R219" t="s">
        <v>37</v>
      </c>
      <c r="S219">
        <v>1</v>
      </c>
      <c r="T219">
        <v>9</v>
      </c>
      <c r="U219" t="s">
        <v>36</v>
      </c>
      <c r="V219" t="s">
        <v>38</v>
      </c>
      <c r="W219" t="s">
        <v>51</v>
      </c>
      <c r="X219" s="3">
        <v>45511</v>
      </c>
      <c r="Y219" s="1" t="str">
        <f t="shared" si="6"/>
        <v>Aug</v>
      </c>
      <c r="Z219" s="1" t="str">
        <f t="shared" si="7"/>
        <v>2024</v>
      </c>
      <c r="AA219" t="b">
        <v>1</v>
      </c>
      <c r="AB219" t="b">
        <v>1</v>
      </c>
      <c r="AC219" t="s">
        <v>62</v>
      </c>
      <c r="AD219" t="s">
        <v>53</v>
      </c>
      <c r="AE219">
        <v>11</v>
      </c>
    </row>
    <row r="220" spans="1:31" x14ac:dyDescent="0.3">
      <c r="A220" t="s">
        <v>525</v>
      </c>
      <c r="B220">
        <v>48</v>
      </c>
      <c r="C220" t="str" cm="1">
        <f t="array" ref="C220">_xlfn.IFS(B220&lt;=18,"0-18",B220&lt;=29,"19-29",B220&gt;=49,"30-49",B220&gt;=69,"50-69",TRUE,"70+")</f>
        <v>70+</v>
      </c>
      <c r="D220" t="s">
        <v>29</v>
      </c>
      <c r="E220" t="s">
        <v>30</v>
      </c>
      <c r="F220" t="s">
        <v>55</v>
      </c>
      <c r="G220" t="s">
        <v>45</v>
      </c>
      <c r="H220" t="s">
        <v>44</v>
      </c>
      <c r="I220" t="s">
        <v>526</v>
      </c>
      <c r="J220" t="s">
        <v>126</v>
      </c>
      <c r="K220" s="2">
        <v>423.23</v>
      </c>
      <c r="L220">
        <v>12</v>
      </c>
      <c r="M220" t="s">
        <v>48</v>
      </c>
      <c r="N220">
        <v>3</v>
      </c>
      <c r="O220">
        <v>3</v>
      </c>
      <c r="P220">
        <v>2</v>
      </c>
      <c r="Q220" t="s">
        <v>44</v>
      </c>
      <c r="R220" t="s">
        <v>37</v>
      </c>
      <c r="S220">
        <v>0</v>
      </c>
      <c r="T220">
        <v>7</v>
      </c>
      <c r="U220" t="s">
        <v>59</v>
      </c>
      <c r="V220" t="s">
        <v>38</v>
      </c>
      <c r="W220" t="s">
        <v>61</v>
      </c>
      <c r="X220" s="3">
        <v>45512</v>
      </c>
      <c r="Y220" s="1" t="str">
        <f t="shared" si="6"/>
        <v>Aug</v>
      </c>
      <c r="Z220" s="1" t="str">
        <f t="shared" si="7"/>
        <v>2024</v>
      </c>
      <c r="AA220" t="b">
        <v>0</v>
      </c>
      <c r="AB220" t="b">
        <v>0</v>
      </c>
      <c r="AC220" t="s">
        <v>74</v>
      </c>
      <c r="AD220" t="s">
        <v>53</v>
      </c>
      <c r="AE220">
        <v>6</v>
      </c>
    </row>
    <row r="221" spans="1:31" x14ac:dyDescent="0.3">
      <c r="A221" t="s">
        <v>527</v>
      </c>
      <c r="B221">
        <v>47</v>
      </c>
      <c r="C221" t="str" cm="1">
        <f t="array" ref="C221">_xlfn.IFS(B221&lt;=18,"0-18",B221&lt;=29,"19-29",B221&gt;=49,"30-49",B221&gt;=69,"50-69",TRUE,"70+")</f>
        <v>70+</v>
      </c>
      <c r="D221" t="s">
        <v>43</v>
      </c>
      <c r="E221" t="s">
        <v>30</v>
      </c>
      <c r="F221" t="s">
        <v>55</v>
      </c>
      <c r="G221" t="s">
        <v>45</v>
      </c>
      <c r="H221" t="s">
        <v>44</v>
      </c>
      <c r="I221" t="s">
        <v>528</v>
      </c>
      <c r="J221" t="s">
        <v>188</v>
      </c>
      <c r="K221" s="2">
        <v>276.08</v>
      </c>
      <c r="L221">
        <v>4</v>
      </c>
      <c r="M221" t="s">
        <v>35</v>
      </c>
      <c r="N221">
        <v>4</v>
      </c>
      <c r="O221">
        <v>5</v>
      </c>
      <c r="P221">
        <v>0.3</v>
      </c>
      <c r="Q221" t="s">
        <v>44</v>
      </c>
      <c r="R221" t="s">
        <v>37</v>
      </c>
      <c r="S221">
        <v>2</v>
      </c>
      <c r="T221">
        <v>10</v>
      </c>
      <c r="U221" t="s">
        <v>59</v>
      </c>
      <c r="V221" t="s">
        <v>60</v>
      </c>
      <c r="W221" t="s">
        <v>39</v>
      </c>
      <c r="X221" s="3">
        <v>45513</v>
      </c>
      <c r="Y221" s="1" t="str">
        <f t="shared" si="6"/>
        <v>Aug</v>
      </c>
      <c r="Z221" s="1" t="str">
        <f t="shared" si="7"/>
        <v>2024</v>
      </c>
      <c r="AA221" t="b">
        <v>0</v>
      </c>
      <c r="AB221" t="b">
        <v>1</v>
      </c>
      <c r="AC221" t="s">
        <v>40</v>
      </c>
      <c r="AD221" t="s">
        <v>41</v>
      </c>
      <c r="AE221">
        <v>10</v>
      </c>
    </row>
    <row r="222" spans="1:31" x14ac:dyDescent="0.3">
      <c r="A222" t="s">
        <v>529</v>
      </c>
      <c r="B222">
        <v>25</v>
      </c>
      <c r="C222" t="str" cm="1">
        <f t="array" ref="C222">_xlfn.IFS(B222&lt;=18,"0-18",B222&lt;=29,"19-29",B222&gt;=49,"30-49",B222&gt;=69,"50-69",TRUE,"70+")</f>
        <v>19-29</v>
      </c>
      <c r="D222" t="s">
        <v>43</v>
      </c>
      <c r="E222" t="s">
        <v>30</v>
      </c>
      <c r="F222" t="s">
        <v>69</v>
      </c>
      <c r="G222" t="s">
        <v>32</v>
      </c>
      <c r="H222" t="s">
        <v>30</v>
      </c>
      <c r="I222" t="s">
        <v>530</v>
      </c>
      <c r="J222" t="s">
        <v>82</v>
      </c>
      <c r="K222" s="2">
        <v>333.56</v>
      </c>
      <c r="L222">
        <v>3</v>
      </c>
      <c r="M222" t="s">
        <v>35</v>
      </c>
      <c r="N222">
        <v>4</v>
      </c>
      <c r="O222">
        <v>5</v>
      </c>
      <c r="P222">
        <v>1</v>
      </c>
      <c r="Q222" t="s">
        <v>59</v>
      </c>
      <c r="R222" t="s">
        <v>50</v>
      </c>
      <c r="S222">
        <v>2</v>
      </c>
      <c r="T222">
        <v>2</v>
      </c>
      <c r="U222" t="s">
        <v>44</v>
      </c>
      <c r="V222" t="s">
        <v>60</v>
      </c>
      <c r="W222" t="s">
        <v>66</v>
      </c>
      <c r="X222" s="3">
        <v>45514</v>
      </c>
      <c r="Y222" s="1" t="str">
        <f t="shared" si="6"/>
        <v>Aug</v>
      </c>
      <c r="Z222" s="1" t="str">
        <f t="shared" si="7"/>
        <v>2024</v>
      </c>
      <c r="AA222" t="b">
        <v>1</v>
      </c>
      <c r="AB222" t="b">
        <v>1</v>
      </c>
      <c r="AC222" t="s">
        <v>62</v>
      </c>
      <c r="AD222" t="s">
        <v>41</v>
      </c>
      <c r="AE222">
        <v>14</v>
      </c>
    </row>
    <row r="223" spans="1:31" x14ac:dyDescent="0.3">
      <c r="A223" t="s">
        <v>531</v>
      </c>
      <c r="B223">
        <v>39</v>
      </c>
      <c r="C223" t="str" cm="1">
        <f t="array" ref="C223">_xlfn.IFS(B223&lt;=18,"0-18",B223&lt;=29,"19-29",B223&gt;=49,"30-49",B223&gt;=69,"50-69",TRUE,"70+")</f>
        <v>70+</v>
      </c>
      <c r="D223" t="s">
        <v>43</v>
      </c>
      <c r="E223" t="s">
        <v>44</v>
      </c>
      <c r="F223" t="s">
        <v>76</v>
      </c>
      <c r="G223" t="s">
        <v>32</v>
      </c>
      <c r="H223" t="s">
        <v>30</v>
      </c>
      <c r="I223" t="s">
        <v>532</v>
      </c>
      <c r="J223" t="s">
        <v>158</v>
      </c>
      <c r="K223" s="2">
        <v>129.82</v>
      </c>
      <c r="L223">
        <v>12</v>
      </c>
      <c r="M223" t="s">
        <v>35</v>
      </c>
      <c r="N223">
        <v>1</v>
      </c>
      <c r="O223">
        <v>2</v>
      </c>
      <c r="P223">
        <v>0</v>
      </c>
      <c r="Q223" t="s">
        <v>44</v>
      </c>
      <c r="R223" t="s">
        <v>50</v>
      </c>
      <c r="S223">
        <v>2</v>
      </c>
      <c r="T223">
        <v>1</v>
      </c>
      <c r="U223" t="s">
        <v>44</v>
      </c>
      <c r="V223" t="s">
        <v>38</v>
      </c>
      <c r="W223" t="s">
        <v>86</v>
      </c>
      <c r="X223" s="3">
        <v>45515</v>
      </c>
      <c r="Y223" s="1" t="str">
        <f t="shared" si="6"/>
        <v>Aug</v>
      </c>
      <c r="Z223" s="1" t="str">
        <f t="shared" si="7"/>
        <v>2024</v>
      </c>
      <c r="AA223" t="b">
        <v>0</v>
      </c>
      <c r="AB223" t="b">
        <v>0</v>
      </c>
      <c r="AC223" t="s">
        <v>62</v>
      </c>
      <c r="AD223" t="s">
        <v>53</v>
      </c>
      <c r="AE223">
        <v>8</v>
      </c>
    </row>
    <row r="224" spans="1:31" x14ac:dyDescent="0.3">
      <c r="A224" t="s">
        <v>533</v>
      </c>
      <c r="B224">
        <v>41</v>
      </c>
      <c r="C224" t="str" cm="1">
        <f t="array" ref="C224">_xlfn.IFS(B224&lt;=18,"0-18",B224&lt;=29,"19-29",B224&gt;=49,"30-49",B224&gt;=69,"50-69",TRUE,"70+")</f>
        <v>70+</v>
      </c>
      <c r="D224" t="s">
        <v>29</v>
      </c>
      <c r="E224" t="s">
        <v>44</v>
      </c>
      <c r="F224" t="s">
        <v>69</v>
      </c>
      <c r="G224" t="s">
        <v>45</v>
      </c>
      <c r="H224" t="s">
        <v>44</v>
      </c>
      <c r="I224" t="s">
        <v>534</v>
      </c>
      <c r="J224" t="s">
        <v>183</v>
      </c>
      <c r="K224" s="2">
        <v>278.77999999999997</v>
      </c>
      <c r="L224">
        <v>3</v>
      </c>
      <c r="M224" t="s">
        <v>35</v>
      </c>
      <c r="N224">
        <v>5</v>
      </c>
      <c r="O224">
        <v>2</v>
      </c>
      <c r="P224">
        <v>0</v>
      </c>
      <c r="Q224" t="s">
        <v>49</v>
      </c>
      <c r="R224" t="s">
        <v>50</v>
      </c>
      <c r="S224">
        <v>0</v>
      </c>
      <c r="T224">
        <v>1</v>
      </c>
      <c r="U224" t="s">
        <v>59</v>
      </c>
      <c r="V224" t="s">
        <v>79</v>
      </c>
      <c r="W224" t="s">
        <v>39</v>
      </c>
      <c r="X224" s="3">
        <v>45516</v>
      </c>
      <c r="Y224" s="1" t="str">
        <f t="shared" si="6"/>
        <v>Aug</v>
      </c>
      <c r="Z224" s="1" t="str">
        <f t="shared" si="7"/>
        <v>2024</v>
      </c>
      <c r="AA224" t="b">
        <v>1</v>
      </c>
      <c r="AB224" t="b">
        <v>0</v>
      </c>
      <c r="AC224" t="s">
        <v>52</v>
      </c>
      <c r="AD224" t="s">
        <v>53</v>
      </c>
      <c r="AE224">
        <v>2</v>
      </c>
    </row>
    <row r="225" spans="1:31" x14ac:dyDescent="0.3">
      <c r="A225" t="s">
        <v>535</v>
      </c>
      <c r="B225">
        <v>37</v>
      </c>
      <c r="C225" t="str" cm="1">
        <f t="array" ref="C225">_xlfn.IFS(B225&lt;=18,"0-18",B225&lt;=29,"19-29",B225&gt;=49,"30-49",B225&gt;=69,"50-69",TRUE,"70+")</f>
        <v>70+</v>
      </c>
      <c r="D225" t="s">
        <v>43</v>
      </c>
      <c r="E225" t="s">
        <v>30</v>
      </c>
      <c r="F225" t="s">
        <v>31</v>
      </c>
      <c r="G225" t="s">
        <v>32</v>
      </c>
      <c r="H225" t="s">
        <v>44</v>
      </c>
      <c r="I225" t="s">
        <v>536</v>
      </c>
      <c r="J225" t="s">
        <v>34</v>
      </c>
      <c r="K225" s="2">
        <v>112.55</v>
      </c>
      <c r="L225">
        <v>5</v>
      </c>
      <c r="M225" t="s">
        <v>48</v>
      </c>
      <c r="N225">
        <v>1</v>
      </c>
      <c r="O225">
        <v>4</v>
      </c>
      <c r="P225">
        <v>2</v>
      </c>
      <c r="Q225" t="s">
        <v>36</v>
      </c>
      <c r="R225" t="s">
        <v>85</v>
      </c>
      <c r="S225">
        <v>2</v>
      </c>
      <c r="T225">
        <v>1</v>
      </c>
      <c r="U225" t="s">
        <v>59</v>
      </c>
      <c r="V225" t="s">
        <v>79</v>
      </c>
      <c r="W225" t="s">
        <v>39</v>
      </c>
      <c r="X225" s="3">
        <v>45517</v>
      </c>
      <c r="Y225" s="1" t="str">
        <f t="shared" si="6"/>
        <v>Aug</v>
      </c>
      <c r="Z225" s="1" t="str">
        <f t="shared" si="7"/>
        <v>2024</v>
      </c>
      <c r="AA225" t="b">
        <v>1</v>
      </c>
      <c r="AB225" t="b">
        <v>0</v>
      </c>
      <c r="AC225" t="s">
        <v>74</v>
      </c>
      <c r="AD225" t="s">
        <v>53</v>
      </c>
      <c r="AE225">
        <v>2</v>
      </c>
    </row>
    <row r="226" spans="1:31" x14ac:dyDescent="0.3">
      <c r="A226" t="s">
        <v>537</v>
      </c>
      <c r="B226">
        <v>50</v>
      </c>
      <c r="C226" t="str" cm="1">
        <f t="array" ref="C226">_xlfn.IFS(B226&lt;=18,"0-18",B226&lt;=29,"19-29",B226&gt;=49,"30-49",B226&gt;=69,"50-69",TRUE,"70+")</f>
        <v>30-49</v>
      </c>
      <c r="D226" t="s">
        <v>29</v>
      </c>
      <c r="E226" t="s">
        <v>30</v>
      </c>
      <c r="F226" t="s">
        <v>76</v>
      </c>
      <c r="G226" t="s">
        <v>32</v>
      </c>
      <c r="H226" t="s">
        <v>44</v>
      </c>
      <c r="I226" t="s">
        <v>538</v>
      </c>
      <c r="J226" t="s">
        <v>126</v>
      </c>
      <c r="K226" s="2">
        <v>142.02000000000001</v>
      </c>
      <c r="L226">
        <v>7</v>
      </c>
      <c r="M226" t="s">
        <v>48</v>
      </c>
      <c r="N226">
        <v>1</v>
      </c>
      <c r="O226">
        <v>5</v>
      </c>
      <c r="P226">
        <v>0</v>
      </c>
      <c r="Q226" t="s">
        <v>59</v>
      </c>
      <c r="R226" t="s">
        <v>85</v>
      </c>
      <c r="S226">
        <v>1</v>
      </c>
      <c r="T226">
        <v>9</v>
      </c>
      <c r="U226" t="s">
        <v>49</v>
      </c>
      <c r="V226" t="s">
        <v>79</v>
      </c>
      <c r="W226" t="s">
        <v>86</v>
      </c>
      <c r="X226" s="3">
        <v>45518</v>
      </c>
      <c r="Y226" s="1" t="str">
        <f t="shared" si="6"/>
        <v>Aug</v>
      </c>
      <c r="Z226" s="1" t="str">
        <f t="shared" si="7"/>
        <v>2024</v>
      </c>
      <c r="AA226" t="b">
        <v>1</v>
      </c>
      <c r="AB226" t="b">
        <v>0</v>
      </c>
      <c r="AC226" t="s">
        <v>62</v>
      </c>
      <c r="AD226" t="s">
        <v>53</v>
      </c>
      <c r="AE226">
        <v>3</v>
      </c>
    </row>
    <row r="227" spans="1:31" x14ac:dyDescent="0.3">
      <c r="A227" t="s">
        <v>539</v>
      </c>
      <c r="B227">
        <v>33</v>
      </c>
      <c r="C227" t="str" cm="1">
        <f t="array" ref="C227">_xlfn.IFS(B227&lt;=18,"0-18",B227&lt;=29,"19-29",B227&gt;=49,"30-49",B227&gt;=69,"50-69",TRUE,"70+")</f>
        <v>70+</v>
      </c>
      <c r="D227" t="s">
        <v>29</v>
      </c>
      <c r="E227" t="s">
        <v>44</v>
      </c>
      <c r="F227" t="s">
        <v>69</v>
      </c>
      <c r="G227" t="s">
        <v>45</v>
      </c>
      <c r="H227" t="s">
        <v>44</v>
      </c>
      <c r="I227" t="s">
        <v>540</v>
      </c>
      <c r="J227" t="s">
        <v>114</v>
      </c>
      <c r="K227" s="2">
        <v>481.84</v>
      </c>
      <c r="L227">
        <v>10</v>
      </c>
      <c r="M227" t="s">
        <v>48</v>
      </c>
      <c r="N227">
        <v>1</v>
      </c>
      <c r="O227">
        <v>4</v>
      </c>
      <c r="P227">
        <v>2</v>
      </c>
      <c r="Q227" t="s">
        <v>44</v>
      </c>
      <c r="R227" t="s">
        <v>37</v>
      </c>
      <c r="S227">
        <v>1</v>
      </c>
      <c r="T227">
        <v>1</v>
      </c>
      <c r="U227" t="s">
        <v>49</v>
      </c>
      <c r="V227" t="s">
        <v>38</v>
      </c>
      <c r="W227" t="s">
        <v>86</v>
      </c>
      <c r="X227" s="3">
        <v>45519</v>
      </c>
      <c r="Y227" s="1" t="str">
        <f t="shared" si="6"/>
        <v>Aug</v>
      </c>
      <c r="Z227" s="1" t="str">
        <f t="shared" si="7"/>
        <v>2024</v>
      </c>
      <c r="AA227" t="b">
        <v>0</v>
      </c>
      <c r="AB227" t="b">
        <v>0</v>
      </c>
      <c r="AC227" t="s">
        <v>52</v>
      </c>
      <c r="AD227" t="s">
        <v>67</v>
      </c>
      <c r="AE227">
        <v>9</v>
      </c>
    </row>
    <row r="228" spans="1:31" x14ac:dyDescent="0.3">
      <c r="A228" t="s">
        <v>541</v>
      </c>
      <c r="B228">
        <v>50</v>
      </c>
      <c r="C228" t="str" cm="1">
        <f t="array" ref="C228">_xlfn.IFS(B228&lt;=18,"0-18",B228&lt;=29,"19-29",B228&gt;=49,"30-49",B228&gt;=69,"50-69",TRUE,"70+")</f>
        <v>30-49</v>
      </c>
      <c r="D228" t="s">
        <v>274</v>
      </c>
      <c r="E228" t="s">
        <v>44</v>
      </c>
      <c r="F228" t="s">
        <v>76</v>
      </c>
      <c r="G228" t="s">
        <v>56</v>
      </c>
      <c r="H228" t="s">
        <v>30</v>
      </c>
      <c r="I228" t="s">
        <v>542</v>
      </c>
      <c r="J228" t="s">
        <v>114</v>
      </c>
      <c r="K228" s="2">
        <v>165.01</v>
      </c>
      <c r="L228">
        <v>10</v>
      </c>
      <c r="M228" t="s">
        <v>35</v>
      </c>
      <c r="N228">
        <v>1</v>
      </c>
      <c r="O228">
        <v>2</v>
      </c>
      <c r="P228">
        <v>1</v>
      </c>
      <c r="Q228" t="s">
        <v>49</v>
      </c>
      <c r="R228" t="s">
        <v>37</v>
      </c>
      <c r="S228">
        <v>1</v>
      </c>
      <c r="T228">
        <v>5</v>
      </c>
      <c r="U228" t="s">
        <v>49</v>
      </c>
      <c r="V228" t="s">
        <v>79</v>
      </c>
      <c r="W228" t="s">
        <v>51</v>
      </c>
      <c r="X228" s="3">
        <v>45520</v>
      </c>
      <c r="Y228" s="1" t="str">
        <f t="shared" si="6"/>
        <v>Aug</v>
      </c>
      <c r="Z228" s="1" t="str">
        <f t="shared" si="7"/>
        <v>2024</v>
      </c>
      <c r="AA228" t="b">
        <v>1</v>
      </c>
      <c r="AB228" t="b">
        <v>0</v>
      </c>
      <c r="AC228" t="s">
        <v>62</v>
      </c>
      <c r="AD228" t="s">
        <v>41</v>
      </c>
      <c r="AE228">
        <v>10</v>
      </c>
    </row>
    <row r="229" spans="1:31" x14ac:dyDescent="0.3">
      <c r="A229" t="s">
        <v>543</v>
      </c>
      <c r="B229">
        <v>25</v>
      </c>
      <c r="C229" t="str" cm="1">
        <f t="array" ref="C229">_xlfn.IFS(B229&lt;=18,"0-18",B229&lt;=29,"19-29",B229&gt;=49,"30-49",B229&gt;=69,"50-69",TRUE,"70+")</f>
        <v>19-29</v>
      </c>
      <c r="D229" t="s">
        <v>43</v>
      </c>
      <c r="E229" t="s">
        <v>30</v>
      </c>
      <c r="F229" t="s">
        <v>76</v>
      </c>
      <c r="G229" t="s">
        <v>45</v>
      </c>
      <c r="H229" t="s">
        <v>30</v>
      </c>
      <c r="I229" t="s">
        <v>544</v>
      </c>
      <c r="J229" t="s">
        <v>123</v>
      </c>
      <c r="K229" s="2">
        <v>56.85</v>
      </c>
      <c r="L229">
        <v>5</v>
      </c>
      <c r="M229" t="s">
        <v>78</v>
      </c>
      <c r="N229">
        <v>2</v>
      </c>
      <c r="O229">
        <v>1</v>
      </c>
      <c r="P229">
        <v>2</v>
      </c>
      <c r="Q229" t="s">
        <v>36</v>
      </c>
      <c r="R229" t="s">
        <v>85</v>
      </c>
      <c r="S229">
        <v>0</v>
      </c>
      <c r="T229">
        <v>1</v>
      </c>
      <c r="U229" t="s">
        <v>44</v>
      </c>
      <c r="V229" t="s">
        <v>60</v>
      </c>
      <c r="W229" t="s">
        <v>86</v>
      </c>
      <c r="X229" s="3">
        <v>45521</v>
      </c>
      <c r="Y229" s="1" t="str">
        <f t="shared" si="6"/>
        <v>Aug</v>
      </c>
      <c r="Z229" s="1" t="str">
        <f t="shared" si="7"/>
        <v>2024</v>
      </c>
      <c r="AA229" t="b">
        <v>1</v>
      </c>
      <c r="AB229" t="b">
        <v>0</v>
      </c>
      <c r="AC229" t="s">
        <v>52</v>
      </c>
      <c r="AD229" t="s">
        <v>53</v>
      </c>
      <c r="AE229">
        <v>14</v>
      </c>
    </row>
    <row r="230" spans="1:31" x14ac:dyDescent="0.3">
      <c r="A230" t="s">
        <v>545</v>
      </c>
      <c r="B230">
        <v>34</v>
      </c>
      <c r="C230" t="str" cm="1">
        <f t="array" ref="C230">_xlfn.IFS(B230&lt;=18,"0-18",B230&lt;=29,"19-29",B230&gt;=49,"30-49",B230&gt;=69,"50-69",TRUE,"70+")</f>
        <v>70+</v>
      </c>
      <c r="D230" t="s">
        <v>274</v>
      </c>
      <c r="E230" t="s">
        <v>44</v>
      </c>
      <c r="F230" t="s">
        <v>55</v>
      </c>
      <c r="G230" t="s">
        <v>32</v>
      </c>
      <c r="H230" t="s">
        <v>44</v>
      </c>
      <c r="I230" t="s">
        <v>546</v>
      </c>
      <c r="J230" t="s">
        <v>107</v>
      </c>
      <c r="K230" s="2">
        <v>182.89</v>
      </c>
      <c r="L230">
        <v>2</v>
      </c>
      <c r="M230" t="s">
        <v>35</v>
      </c>
      <c r="N230">
        <v>5</v>
      </c>
      <c r="O230">
        <v>3</v>
      </c>
      <c r="P230">
        <v>1</v>
      </c>
      <c r="Q230" t="s">
        <v>59</v>
      </c>
      <c r="R230" t="s">
        <v>50</v>
      </c>
      <c r="S230">
        <v>1</v>
      </c>
      <c r="T230">
        <v>9</v>
      </c>
      <c r="U230" t="s">
        <v>59</v>
      </c>
      <c r="V230" t="s">
        <v>60</v>
      </c>
      <c r="W230" t="s">
        <v>51</v>
      </c>
      <c r="X230" s="3">
        <v>45522</v>
      </c>
      <c r="Y230" s="1" t="str">
        <f t="shared" si="6"/>
        <v>Aug</v>
      </c>
      <c r="Z230" s="1" t="str">
        <f t="shared" si="7"/>
        <v>2024</v>
      </c>
      <c r="AA230" t="b">
        <v>0</v>
      </c>
      <c r="AB230" t="b">
        <v>0</v>
      </c>
      <c r="AC230" t="s">
        <v>52</v>
      </c>
      <c r="AD230" t="s">
        <v>67</v>
      </c>
      <c r="AE230">
        <v>5</v>
      </c>
    </row>
    <row r="231" spans="1:31" x14ac:dyDescent="0.3">
      <c r="A231" t="s">
        <v>547</v>
      </c>
      <c r="B231">
        <v>39</v>
      </c>
      <c r="C231" t="str" cm="1">
        <f t="array" ref="C231">_xlfn.IFS(B231&lt;=18,"0-18",B231&lt;=29,"19-29",B231&gt;=49,"30-49",B231&gt;=69,"50-69",TRUE,"70+")</f>
        <v>70+</v>
      </c>
      <c r="D231" t="s">
        <v>43</v>
      </c>
      <c r="E231" t="s">
        <v>44</v>
      </c>
      <c r="F231" t="s">
        <v>69</v>
      </c>
      <c r="G231" t="s">
        <v>45</v>
      </c>
      <c r="H231" t="s">
        <v>44</v>
      </c>
      <c r="I231" t="s">
        <v>548</v>
      </c>
      <c r="J231" t="s">
        <v>82</v>
      </c>
      <c r="K231" s="2">
        <v>373.01</v>
      </c>
      <c r="L231">
        <v>5</v>
      </c>
      <c r="M231" t="s">
        <v>48</v>
      </c>
      <c r="N231">
        <v>5</v>
      </c>
      <c r="O231">
        <v>5</v>
      </c>
      <c r="P231">
        <v>1</v>
      </c>
      <c r="Q231" t="s">
        <v>59</v>
      </c>
      <c r="R231" t="s">
        <v>37</v>
      </c>
      <c r="S231">
        <v>1</v>
      </c>
      <c r="T231">
        <v>4</v>
      </c>
      <c r="U231" t="s">
        <v>49</v>
      </c>
      <c r="V231" t="s">
        <v>60</v>
      </c>
      <c r="W231" t="s">
        <v>51</v>
      </c>
      <c r="X231" s="3">
        <v>45523</v>
      </c>
      <c r="Y231" s="1" t="str">
        <f t="shared" si="6"/>
        <v>Aug</v>
      </c>
      <c r="Z231" s="1" t="str">
        <f t="shared" si="7"/>
        <v>2024</v>
      </c>
      <c r="AA231" t="b">
        <v>0</v>
      </c>
      <c r="AB231" t="b">
        <v>1</v>
      </c>
      <c r="AC231" t="s">
        <v>62</v>
      </c>
      <c r="AD231" t="s">
        <v>67</v>
      </c>
      <c r="AE231">
        <v>8</v>
      </c>
    </row>
    <row r="232" spans="1:31" x14ac:dyDescent="0.3">
      <c r="A232" t="s">
        <v>549</v>
      </c>
      <c r="B232">
        <v>41</v>
      </c>
      <c r="C232" t="str" cm="1">
        <f t="array" ref="C232">_xlfn.IFS(B232&lt;=18,"0-18",B232&lt;=29,"19-29",B232&gt;=49,"30-49",B232&gt;=69,"50-69",TRUE,"70+")</f>
        <v>70+</v>
      </c>
      <c r="D232" t="s">
        <v>43</v>
      </c>
      <c r="E232" t="s">
        <v>30</v>
      </c>
      <c r="F232" t="s">
        <v>55</v>
      </c>
      <c r="G232" t="s">
        <v>56</v>
      </c>
      <c r="H232" t="s">
        <v>30</v>
      </c>
      <c r="I232" t="s">
        <v>550</v>
      </c>
      <c r="J232" t="s">
        <v>65</v>
      </c>
      <c r="K232" s="2">
        <v>220.77</v>
      </c>
      <c r="L232">
        <v>7</v>
      </c>
      <c r="M232" t="s">
        <v>78</v>
      </c>
      <c r="N232">
        <v>4</v>
      </c>
      <c r="O232">
        <v>2</v>
      </c>
      <c r="P232">
        <v>2</v>
      </c>
      <c r="Q232" t="s">
        <v>59</v>
      </c>
      <c r="R232" t="s">
        <v>50</v>
      </c>
      <c r="S232">
        <v>2</v>
      </c>
      <c r="T232">
        <v>1</v>
      </c>
      <c r="U232" t="s">
        <v>36</v>
      </c>
      <c r="V232" t="s">
        <v>60</v>
      </c>
      <c r="W232" t="s">
        <v>61</v>
      </c>
      <c r="X232" s="3">
        <v>45524</v>
      </c>
      <c r="Y232" s="1" t="str">
        <f t="shared" si="6"/>
        <v>Aug</v>
      </c>
      <c r="Z232" s="1" t="str">
        <f t="shared" si="7"/>
        <v>2024</v>
      </c>
      <c r="AA232" t="b">
        <v>1</v>
      </c>
      <c r="AB232" t="b">
        <v>1</v>
      </c>
      <c r="AC232" t="s">
        <v>40</v>
      </c>
      <c r="AD232" t="s">
        <v>53</v>
      </c>
      <c r="AE232">
        <v>11</v>
      </c>
    </row>
    <row r="233" spans="1:31" x14ac:dyDescent="0.3">
      <c r="A233" t="s">
        <v>551</v>
      </c>
      <c r="B233">
        <v>27</v>
      </c>
      <c r="C233" t="str" cm="1">
        <f t="array" ref="C233">_xlfn.IFS(B233&lt;=18,"0-18",B233&lt;=29,"19-29",B233&gt;=49,"30-49",B233&gt;=69,"50-69",TRUE,"70+")</f>
        <v>19-29</v>
      </c>
      <c r="D233" t="s">
        <v>43</v>
      </c>
      <c r="E233" t="s">
        <v>30</v>
      </c>
      <c r="F233" t="s">
        <v>31</v>
      </c>
      <c r="G233" t="s">
        <v>56</v>
      </c>
      <c r="H233" t="s">
        <v>44</v>
      </c>
      <c r="I233" t="s">
        <v>552</v>
      </c>
      <c r="J233" t="s">
        <v>107</v>
      </c>
      <c r="K233" s="2">
        <v>291.08999999999997</v>
      </c>
      <c r="L233">
        <v>11</v>
      </c>
      <c r="M233" t="s">
        <v>78</v>
      </c>
      <c r="N233">
        <v>2</v>
      </c>
      <c r="O233">
        <v>2</v>
      </c>
      <c r="P233">
        <v>2</v>
      </c>
      <c r="Q233" t="s">
        <v>36</v>
      </c>
      <c r="R233" t="s">
        <v>37</v>
      </c>
      <c r="S233">
        <v>0</v>
      </c>
      <c r="T233">
        <v>9</v>
      </c>
      <c r="U233" t="s">
        <v>44</v>
      </c>
      <c r="V233" t="s">
        <v>60</v>
      </c>
      <c r="W233" t="s">
        <v>51</v>
      </c>
      <c r="X233" s="3">
        <v>45525</v>
      </c>
      <c r="Y233" s="1" t="str">
        <f t="shared" si="6"/>
        <v>Aug</v>
      </c>
      <c r="Z233" s="1" t="str">
        <f t="shared" si="7"/>
        <v>2024</v>
      </c>
      <c r="AA233" t="b">
        <v>1</v>
      </c>
      <c r="AB233" t="b">
        <v>0</v>
      </c>
      <c r="AC233" t="s">
        <v>40</v>
      </c>
      <c r="AD233" t="s">
        <v>41</v>
      </c>
      <c r="AE233">
        <v>1</v>
      </c>
    </row>
    <row r="234" spans="1:31" x14ac:dyDescent="0.3">
      <c r="A234" t="s">
        <v>553</v>
      </c>
      <c r="B234">
        <v>23</v>
      </c>
      <c r="C234" t="str" cm="1">
        <f t="array" ref="C234">_xlfn.IFS(B234&lt;=18,"0-18",B234&lt;=29,"19-29",B234&gt;=49,"30-49",B234&gt;=69,"50-69",TRUE,"70+")</f>
        <v>19-29</v>
      </c>
      <c r="D234" t="s">
        <v>274</v>
      </c>
      <c r="E234" t="s">
        <v>44</v>
      </c>
      <c r="F234" t="s">
        <v>31</v>
      </c>
      <c r="G234" t="s">
        <v>32</v>
      </c>
      <c r="H234" t="s">
        <v>30</v>
      </c>
      <c r="I234" t="s">
        <v>554</v>
      </c>
      <c r="J234" t="s">
        <v>120</v>
      </c>
      <c r="K234" s="2">
        <v>414.06</v>
      </c>
      <c r="L234">
        <v>9</v>
      </c>
      <c r="M234" t="s">
        <v>35</v>
      </c>
      <c r="N234">
        <v>1</v>
      </c>
      <c r="O234">
        <v>4</v>
      </c>
      <c r="P234">
        <v>2</v>
      </c>
      <c r="Q234" t="s">
        <v>49</v>
      </c>
      <c r="R234" t="s">
        <v>37</v>
      </c>
      <c r="S234">
        <v>2</v>
      </c>
      <c r="T234">
        <v>4</v>
      </c>
      <c r="U234" t="s">
        <v>44</v>
      </c>
      <c r="V234" t="s">
        <v>79</v>
      </c>
      <c r="W234" t="s">
        <v>51</v>
      </c>
      <c r="X234" s="3">
        <v>45526</v>
      </c>
      <c r="Y234" s="1" t="str">
        <f t="shared" si="6"/>
        <v>Aug</v>
      </c>
      <c r="Z234" s="1" t="str">
        <f t="shared" si="7"/>
        <v>2024</v>
      </c>
      <c r="AA234" t="b">
        <v>1</v>
      </c>
      <c r="AB234" t="b">
        <v>0</v>
      </c>
      <c r="AC234" t="s">
        <v>74</v>
      </c>
      <c r="AD234" t="s">
        <v>67</v>
      </c>
      <c r="AE234">
        <v>2</v>
      </c>
    </row>
    <row r="235" spans="1:31" x14ac:dyDescent="0.3">
      <c r="A235" t="s">
        <v>555</v>
      </c>
      <c r="B235">
        <v>37</v>
      </c>
      <c r="C235" t="str" cm="1">
        <f t="array" ref="C235">_xlfn.IFS(B235&lt;=18,"0-18",B235&lt;=29,"19-29",B235&gt;=49,"30-49",B235&gt;=69,"50-69",TRUE,"70+")</f>
        <v>70+</v>
      </c>
      <c r="D235" t="s">
        <v>43</v>
      </c>
      <c r="E235" t="s">
        <v>30</v>
      </c>
      <c r="F235" t="s">
        <v>69</v>
      </c>
      <c r="G235" t="s">
        <v>32</v>
      </c>
      <c r="H235" t="s">
        <v>30</v>
      </c>
      <c r="I235" t="s">
        <v>556</v>
      </c>
      <c r="J235" t="s">
        <v>101</v>
      </c>
      <c r="K235" s="2">
        <v>408.51</v>
      </c>
      <c r="L235">
        <v>9</v>
      </c>
      <c r="M235" t="s">
        <v>78</v>
      </c>
      <c r="N235">
        <v>2</v>
      </c>
      <c r="O235">
        <v>1</v>
      </c>
      <c r="P235">
        <v>2</v>
      </c>
      <c r="Q235" t="s">
        <v>44</v>
      </c>
      <c r="R235" t="s">
        <v>85</v>
      </c>
      <c r="S235">
        <v>0</v>
      </c>
      <c r="T235">
        <v>7</v>
      </c>
      <c r="U235" t="s">
        <v>49</v>
      </c>
      <c r="V235" t="s">
        <v>60</v>
      </c>
      <c r="W235" t="s">
        <v>39</v>
      </c>
      <c r="X235" s="3">
        <v>45527</v>
      </c>
      <c r="Y235" s="1" t="str">
        <f t="shared" si="6"/>
        <v>Aug</v>
      </c>
      <c r="Z235" s="1" t="str">
        <f t="shared" si="7"/>
        <v>2024</v>
      </c>
      <c r="AA235" t="b">
        <v>1</v>
      </c>
      <c r="AB235" t="b">
        <v>0</v>
      </c>
      <c r="AC235" t="s">
        <v>52</v>
      </c>
      <c r="AD235" t="s">
        <v>67</v>
      </c>
      <c r="AE235">
        <v>1</v>
      </c>
    </row>
    <row r="236" spans="1:31" x14ac:dyDescent="0.3">
      <c r="A236" t="s">
        <v>557</v>
      </c>
      <c r="B236">
        <v>21</v>
      </c>
      <c r="C236" t="str" cm="1">
        <f t="array" ref="C236">_xlfn.IFS(B236&lt;=18,"0-18",B236&lt;=29,"19-29",B236&gt;=49,"30-49",B236&gt;=69,"50-69",TRUE,"70+")</f>
        <v>19-29</v>
      </c>
      <c r="D236" t="s">
        <v>43</v>
      </c>
      <c r="E236" t="s">
        <v>30</v>
      </c>
      <c r="F236" t="s">
        <v>31</v>
      </c>
      <c r="G236" t="s">
        <v>45</v>
      </c>
      <c r="H236" t="s">
        <v>44</v>
      </c>
      <c r="I236" t="s">
        <v>558</v>
      </c>
      <c r="J236" t="s">
        <v>71</v>
      </c>
      <c r="K236" s="2">
        <v>103.4</v>
      </c>
      <c r="L236">
        <v>9</v>
      </c>
      <c r="M236" t="s">
        <v>48</v>
      </c>
      <c r="N236">
        <v>4</v>
      </c>
      <c r="O236">
        <v>1</v>
      </c>
      <c r="P236">
        <v>2</v>
      </c>
      <c r="Q236" t="s">
        <v>44</v>
      </c>
      <c r="R236" t="s">
        <v>50</v>
      </c>
      <c r="S236">
        <v>1</v>
      </c>
      <c r="T236">
        <v>9</v>
      </c>
      <c r="U236" t="s">
        <v>49</v>
      </c>
      <c r="V236" t="s">
        <v>60</v>
      </c>
      <c r="W236" t="s">
        <v>61</v>
      </c>
      <c r="X236" s="3">
        <v>45528</v>
      </c>
      <c r="Y236" s="1" t="str">
        <f t="shared" si="6"/>
        <v>Aug</v>
      </c>
      <c r="Z236" s="1" t="str">
        <f t="shared" si="7"/>
        <v>2024</v>
      </c>
      <c r="AA236" t="b">
        <v>1</v>
      </c>
      <c r="AB236" t="b">
        <v>0</v>
      </c>
      <c r="AC236" t="s">
        <v>74</v>
      </c>
      <c r="AD236" t="s">
        <v>53</v>
      </c>
      <c r="AE236">
        <v>9</v>
      </c>
    </row>
    <row r="237" spans="1:31" x14ac:dyDescent="0.3">
      <c r="A237" t="s">
        <v>559</v>
      </c>
      <c r="B237">
        <v>47</v>
      </c>
      <c r="C237" t="str" cm="1">
        <f t="array" ref="C237">_xlfn.IFS(B237&lt;=18,"0-18",B237&lt;=29,"19-29",B237&gt;=49,"30-49",B237&gt;=69,"50-69",TRUE,"70+")</f>
        <v>70+</v>
      </c>
      <c r="D237" t="s">
        <v>43</v>
      </c>
      <c r="E237" t="s">
        <v>30</v>
      </c>
      <c r="F237" t="s">
        <v>55</v>
      </c>
      <c r="G237" t="s">
        <v>45</v>
      </c>
      <c r="H237" t="s">
        <v>44</v>
      </c>
      <c r="I237" t="s">
        <v>560</v>
      </c>
      <c r="J237" t="s">
        <v>71</v>
      </c>
      <c r="K237" s="2">
        <v>67.92</v>
      </c>
      <c r="L237">
        <v>3</v>
      </c>
      <c r="M237" t="s">
        <v>48</v>
      </c>
      <c r="N237">
        <v>1</v>
      </c>
      <c r="O237">
        <v>3</v>
      </c>
      <c r="P237">
        <v>0</v>
      </c>
      <c r="Q237" t="s">
        <v>59</v>
      </c>
      <c r="R237" t="s">
        <v>50</v>
      </c>
      <c r="S237">
        <v>1</v>
      </c>
      <c r="T237">
        <v>8</v>
      </c>
      <c r="U237" t="s">
        <v>59</v>
      </c>
      <c r="V237" t="s">
        <v>38</v>
      </c>
      <c r="W237" t="s">
        <v>86</v>
      </c>
      <c r="X237" s="3">
        <v>45529</v>
      </c>
      <c r="Y237" s="1" t="str">
        <f t="shared" si="6"/>
        <v>Aug</v>
      </c>
      <c r="Z237" s="1" t="str">
        <f t="shared" si="7"/>
        <v>2024</v>
      </c>
      <c r="AA237" t="b">
        <v>0</v>
      </c>
      <c r="AB237" t="b">
        <v>1</v>
      </c>
      <c r="AC237" t="s">
        <v>62</v>
      </c>
      <c r="AD237" t="s">
        <v>67</v>
      </c>
      <c r="AE237">
        <v>10</v>
      </c>
    </row>
    <row r="238" spans="1:31" x14ac:dyDescent="0.3">
      <c r="A238" t="s">
        <v>561</v>
      </c>
      <c r="B238">
        <v>42</v>
      </c>
      <c r="C238" t="str" cm="1">
        <f t="array" ref="C238">_xlfn.IFS(B238&lt;=18,"0-18",B238&lt;=29,"19-29",B238&gt;=49,"30-49",B238&gt;=69,"50-69",TRUE,"70+")</f>
        <v>70+</v>
      </c>
      <c r="D238" t="s">
        <v>274</v>
      </c>
      <c r="E238" t="s">
        <v>30</v>
      </c>
      <c r="F238" t="s">
        <v>55</v>
      </c>
      <c r="G238" t="s">
        <v>45</v>
      </c>
      <c r="H238" t="s">
        <v>30</v>
      </c>
      <c r="I238" t="s">
        <v>562</v>
      </c>
      <c r="J238" t="s">
        <v>142</v>
      </c>
      <c r="K238" s="2">
        <v>354.16</v>
      </c>
      <c r="L238">
        <v>8</v>
      </c>
      <c r="M238" t="s">
        <v>48</v>
      </c>
      <c r="N238">
        <v>1</v>
      </c>
      <c r="O238">
        <v>1</v>
      </c>
      <c r="P238">
        <v>1</v>
      </c>
      <c r="Q238" t="s">
        <v>59</v>
      </c>
      <c r="R238" t="s">
        <v>50</v>
      </c>
      <c r="S238">
        <v>2</v>
      </c>
      <c r="T238">
        <v>3</v>
      </c>
      <c r="U238" t="s">
        <v>59</v>
      </c>
      <c r="V238" t="s">
        <v>79</v>
      </c>
      <c r="W238" t="s">
        <v>39</v>
      </c>
      <c r="X238" s="3">
        <v>45530</v>
      </c>
      <c r="Y238" s="1" t="str">
        <f t="shared" si="6"/>
        <v>Aug</v>
      </c>
      <c r="Z238" s="1" t="str">
        <f t="shared" si="7"/>
        <v>2024</v>
      </c>
      <c r="AA238" t="b">
        <v>1</v>
      </c>
      <c r="AB238" t="b">
        <v>0</v>
      </c>
      <c r="AC238" t="s">
        <v>74</v>
      </c>
      <c r="AD238" t="s">
        <v>67</v>
      </c>
      <c r="AE238">
        <v>5</v>
      </c>
    </row>
    <row r="239" spans="1:31" x14ac:dyDescent="0.3">
      <c r="A239" t="s">
        <v>563</v>
      </c>
      <c r="B239">
        <v>30</v>
      </c>
      <c r="C239" t="str" cm="1">
        <f t="array" ref="C239">_xlfn.IFS(B239&lt;=18,"0-18",B239&lt;=29,"19-29",B239&gt;=49,"30-49",B239&gt;=69,"50-69",TRUE,"70+")</f>
        <v>70+</v>
      </c>
      <c r="D239" t="s">
        <v>43</v>
      </c>
      <c r="E239" t="s">
        <v>30</v>
      </c>
      <c r="F239" t="s">
        <v>69</v>
      </c>
      <c r="G239" t="s">
        <v>32</v>
      </c>
      <c r="H239" t="s">
        <v>30</v>
      </c>
      <c r="I239" t="s">
        <v>564</v>
      </c>
      <c r="J239" t="s">
        <v>82</v>
      </c>
      <c r="K239" s="2">
        <v>276.77</v>
      </c>
      <c r="L239">
        <v>2</v>
      </c>
      <c r="M239" t="s">
        <v>35</v>
      </c>
      <c r="N239">
        <v>1</v>
      </c>
      <c r="O239">
        <v>1</v>
      </c>
      <c r="P239">
        <v>2</v>
      </c>
      <c r="Q239" t="s">
        <v>59</v>
      </c>
      <c r="R239" t="s">
        <v>85</v>
      </c>
      <c r="S239">
        <v>1</v>
      </c>
      <c r="T239">
        <v>2</v>
      </c>
      <c r="U239" t="s">
        <v>44</v>
      </c>
      <c r="V239" t="s">
        <v>60</v>
      </c>
      <c r="W239" t="s">
        <v>86</v>
      </c>
      <c r="X239" s="3">
        <v>45531</v>
      </c>
      <c r="Y239" s="1" t="str">
        <f t="shared" si="6"/>
        <v>Aug</v>
      </c>
      <c r="Z239" s="1" t="str">
        <f t="shared" si="7"/>
        <v>2024</v>
      </c>
      <c r="AA239" t="b">
        <v>1</v>
      </c>
      <c r="AB239" t="b">
        <v>1</v>
      </c>
      <c r="AC239" t="s">
        <v>52</v>
      </c>
      <c r="AD239" t="s">
        <v>41</v>
      </c>
      <c r="AE239">
        <v>4</v>
      </c>
    </row>
    <row r="240" spans="1:31" x14ac:dyDescent="0.3">
      <c r="A240" t="s">
        <v>565</v>
      </c>
      <c r="B240">
        <v>49</v>
      </c>
      <c r="C240" t="str" cm="1">
        <f t="array" ref="C240">_xlfn.IFS(B240&lt;=18,"0-18",B240&lt;=29,"19-29",B240&gt;=49,"30-49",B240&gt;=69,"50-69",TRUE,"70+")</f>
        <v>30-49</v>
      </c>
      <c r="D240" t="s">
        <v>43</v>
      </c>
      <c r="E240" t="s">
        <v>30</v>
      </c>
      <c r="F240" t="s">
        <v>55</v>
      </c>
      <c r="G240" t="s">
        <v>45</v>
      </c>
      <c r="H240" t="s">
        <v>30</v>
      </c>
      <c r="I240" t="s">
        <v>566</v>
      </c>
      <c r="J240" t="s">
        <v>104</v>
      </c>
      <c r="K240" s="2">
        <v>190.25</v>
      </c>
      <c r="L240">
        <v>6</v>
      </c>
      <c r="M240" t="s">
        <v>35</v>
      </c>
      <c r="N240">
        <v>4</v>
      </c>
      <c r="O240">
        <v>2</v>
      </c>
      <c r="P240">
        <v>2</v>
      </c>
      <c r="Q240" t="s">
        <v>36</v>
      </c>
      <c r="R240" t="s">
        <v>85</v>
      </c>
      <c r="S240">
        <v>2</v>
      </c>
      <c r="T240">
        <v>9</v>
      </c>
      <c r="U240" t="s">
        <v>36</v>
      </c>
      <c r="V240" t="s">
        <v>38</v>
      </c>
      <c r="W240" t="s">
        <v>51</v>
      </c>
      <c r="X240" s="3">
        <v>45532</v>
      </c>
      <c r="Y240" s="1" t="str">
        <f t="shared" si="6"/>
        <v>Aug</v>
      </c>
      <c r="Z240" s="1" t="str">
        <f t="shared" si="7"/>
        <v>2024</v>
      </c>
      <c r="AA240" t="b">
        <v>0</v>
      </c>
      <c r="AB240" t="b">
        <v>0</v>
      </c>
      <c r="AC240" t="s">
        <v>74</v>
      </c>
      <c r="AD240" t="s">
        <v>67</v>
      </c>
      <c r="AE240">
        <v>13</v>
      </c>
    </row>
    <row r="241" spans="1:31" x14ac:dyDescent="0.3">
      <c r="A241" t="s">
        <v>567</v>
      </c>
      <c r="B241">
        <v>28</v>
      </c>
      <c r="C241" t="str" cm="1">
        <f t="array" ref="C241">_xlfn.IFS(B241&lt;=18,"0-18",B241&lt;=29,"19-29",B241&gt;=49,"30-49",B241&gt;=69,"50-69",TRUE,"70+")</f>
        <v>19-29</v>
      </c>
      <c r="D241" t="s">
        <v>29</v>
      </c>
      <c r="E241" t="s">
        <v>30</v>
      </c>
      <c r="F241" t="s">
        <v>31</v>
      </c>
      <c r="G241" t="s">
        <v>56</v>
      </c>
      <c r="H241" t="s">
        <v>30</v>
      </c>
      <c r="I241" t="s">
        <v>568</v>
      </c>
      <c r="J241" t="s">
        <v>101</v>
      </c>
      <c r="K241" s="2">
        <v>203.49</v>
      </c>
      <c r="L241">
        <v>7</v>
      </c>
      <c r="M241" t="s">
        <v>48</v>
      </c>
      <c r="N241">
        <v>4</v>
      </c>
      <c r="O241">
        <v>1</v>
      </c>
      <c r="P241">
        <v>2</v>
      </c>
      <c r="Q241" t="s">
        <v>49</v>
      </c>
      <c r="R241" t="s">
        <v>50</v>
      </c>
      <c r="S241">
        <v>1</v>
      </c>
      <c r="T241">
        <v>8</v>
      </c>
      <c r="U241" t="s">
        <v>44</v>
      </c>
      <c r="V241" t="s">
        <v>38</v>
      </c>
      <c r="W241" t="s">
        <v>86</v>
      </c>
      <c r="X241" s="3">
        <v>45533</v>
      </c>
      <c r="Y241" s="1" t="str">
        <f t="shared" si="6"/>
        <v>Aug</v>
      </c>
      <c r="Z241" s="1" t="str">
        <f t="shared" si="7"/>
        <v>2024</v>
      </c>
      <c r="AA241" t="b">
        <v>0</v>
      </c>
      <c r="AB241" t="b">
        <v>1</v>
      </c>
      <c r="AC241" t="s">
        <v>40</v>
      </c>
      <c r="AD241" t="s">
        <v>67</v>
      </c>
      <c r="AE241">
        <v>11</v>
      </c>
    </row>
    <row r="242" spans="1:31" x14ac:dyDescent="0.3">
      <c r="A242" t="s">
        <v>569</v>
      </c>
      <c r="B242">
        <v>24</v>
      </c>
      <c r="C242" t="str" cm="1">
        <f t="array" ref="C242">_xlfn.IFS(B242&lt;=18,"0-18",B242&lt;=29,"19-29",B242&gt;=49,"30-49",B242&gt;=69,"50-69",TRUE,"70+")</f>
        <v>19-29</v>
      </c>
      <c r="D242" t="s">
        <v>43</v>
      </c>
      <c r="E242" t="s">
        <v>30</v>
      </c>
      <c r="F242" t="s">
        <v>55</v>
      </c>
      <c r="G242" t="s">
        <v>45</v>
      </c>
      <c r="H242" t="s">
        <v>44</v>
      </c>
      <c r="I242" t="s">
        <v>570</v>
      </c>
      <c r="J242" t="s">
        <v>142</v>
      </c>
      <c r="K242" s="2">
        <v>263.5</v>
      </c>
      <c r="L242">
        <v>6</v>
      </c>
      <c r="M242" t="s">
        <v>35</v>
      </c>
      <c r="N242">
        <v>3</v>
      </c>
      <c r="O242">
        <v>2</v>
      </c>
      <c r="P242">
        <v>2</v>
      </c>
      <c r="Q242" t="s">
        <v>36</v>
      </c>
      <c r="R242" t="s">
        <v>50</v>
      </c>
      <c r="S242">
        <v>0</v>
      </c>
      <c r="T242">
        <v>8</v>
      </c>
      <c r="U242" t="s">
        <v>59</v>
      </c>
      <c r="V242" t="s">
        <v>38</v>
      </c>
      <c r="W242" t="s">
        <v>61</v>
      </c>
      <c r="X242" s="3">
        <v>45534</v>
      </c>
      <c r="Y242" s="1" t="str">
        <f t="shared" si="6"/>
        <v>Aug</v>
      </c>
      <c r="Z242" s="1" t="str">
        <f t="shared" si="7"/>
        <v>2024</v>
      </c>
      <c r="AA242" t="b">
        <v>0</v>
      </c>
      <c r="AB242" t="b">
        <v>0</v>
      </c>
      <c r="AC242" t="s">
        <v>74</v>
      </c>
      <c r="AD242" t="s">
        <v>53</v>
      </c>
      <c r="AE242">
        <v>1</v>
      </c>
    </row>
    <row r="243" spans="1:31" x14ac:dyDescent="0.3">
      <c r="A243" t="s">
        <v>571</v>
      </c>
      <c r="B243">
        <v>40</v>
      </c>
      <c r="C243" t="str" cm="1">
        <f t="array" ref="C243">_xlfn.IFS(B243&lt;=18,"0-18",B243&lt;=29,"19-29",B243&gt;=49,"30-49",B243&gt;=69,"50-69",TRUE,"70+")</f>
        <v>70+</v>
      </c>
      <c r="D243" t="s">
        <v>29</v>
      </c>
      <c r="E243" t="s">
        <v>44</v>
      </c>
      <c r="F243" t="s">
        <v>76</v>
      </c>
      <c r="G243" t="s">
        <v>32</v>
      </c>
      <c r="H243" t="s">
        <v>30</v>
      </c>
      <c r="I243" t="s">
        <v>572</v>
      </c>
      <c r="J243" t="s">
        <v>135</v>
      </c>
      <c r="K243" s="2">
        <v>247.3</v>
      </c>
      <c r="L243">
        <v>2</v>
      </c>
      <c r="M243" t="s">
        <v>48</v>
      </c>
      <c r="N243">
        <v>4</v>
      </c>
      <c r="O243">
        <v>4</v>
      </c>
      <c r="P243">
        <v>2</v>
      </c>
      <c r="Q243" t="s">
        <v>59</v>
      </c>
      <c r="R243" t="s">
        <v>85</v>
      </c>
      <c r="S243">
        <v>0</v>
      </c>
      <c r="T243">
        <v>1</v>
      </c>
      <c r="U243" t="s">
        <v>49</v>
      </c>
      <c r="V243" t="s">
        <v>79</v>
      </c>
      <c r="W243" t="s">
        <v>39</v>
      </c>
      <c r="X243" s="3">
        <v>45535</v>
      </c>
      <c r="Y243" s="1" t="str">
        <f t="shared" si="6"/>
        <v>Aug</v>
      </c>
      <c r="Z243" s="1" t="str">
        <f t="shared" si="7"/>
        <v>2024</v>
      </c>
      <c r="AA243" t="b">
        <v>1</v>
      </c>
      <c r="AB243" t="b">
        <v>1</v>
      </c>
      <c r="AC243" t="s">
        <v>52</v>
      </c>
      <c r="AD243" t="s">
        <v>41</v>
      </c>
      <c r="AE243">
        <v>11</v>
      </c>
    </row>
    <row r="244" spans="1:31" x14ac:dyDescent="0.3">
      <c r="A244" t="s">
        <v>573</v>
      </c>
      <c r="B244">
        <v>18</v>
      </c>
      <c r="C244" t="str" cm="1">
        <f t="array" ref="C244">_xlfn.IFS(B244&lt;=18,"0-18",B244&lt;=29,"19-29",B244&gt;=49,"30-49",B244&gt;=69,"50-69",TRUE,"70+")</f>
        <v>0-18</v>
      </c>
      <c r="D244" t="s">
        <v>43</v>
      </c>
      <c r="E244" t="s">
        <v>44</v>
      </c>
      <c r="F244" t="s">
        <v>31</v>
      </c>
      <c r="G244" t="s">
        <v>32</v>
      </c>
      <c r="H244" t="s">
        <v>30</v>
      </c>
      <c r="I244" t="s">
        <v>574</v>
      </c>
      <c r="J244" t="s">
        <v>126</v>
      </c>
      <c r="K244" s="2">
        <v>50.71</v>
      </c>
      <c r="L244">
        <v>12</v>
      </c>
      <c r="M244" t="s">
        <v>78</v>
      </c>
      <c r="N244">
        <v>4</v>
      </c>
      <c r="O244">
        <v>3</v>
      </c>
      <c r="P244">
        <v>0.3</v>
      </c>
      <c r="Q244" t="s">
        <v>36</v>
      </c>
      <c r="R244" t="s">
        <v>50</v>
      </c>
      <c r="S244">
        <v>0</v>
      </c>
      <c r="T244">
        <v>9</v>
      </c>
      <c r="U244" t="s">
        <v>49</v>
      </c>
      <c r="V244" t="s">
        <v>60</v>
      </c>
      <c r="W244" t="s">
        <v>61</v>
      </c>
      <c r="X244" s="3">
        <v>45536</v>
      </c>
      <c r="Y244" s="1" t="str">
        <f t="shared" si="6"/>
        <v>Sep</v>
      </c>
      <c r="Z244" s="1" t="str">
        <f t="shared" si="7"/>
        <v>2024</v>
      </c>
      <c r="AA244" t="b">
        <v>1</v>
      </c>
      <c r="AB244" t="b">
        <v>1</v>
      </c>
      <c r="AC244" t="s">
        <v>52</v>
      </c>
      <c r="AD244" t="s">
        <v>41</v>
      </c>
      <c r="AE244">
        <v>8</v>
      </c>
    </row>
    <row r="245" spans="1:31" x14ac:dyDescent="0.3">
      <c r="A245" t="s">
        <v>575</v>
      </c>
      <c r="B245">
        <v>42</v>
      </c>
      <c r="C245" t="str" cm="1">
        <f t="array" ref="C245">_xlfn.IFS(B245&lt;=18,"0-18",B245&lt;=29,"19-29",B245&gt;=49,"30-49",B245&gt;=69,"50-69",TRUE,"70+")</f>
        <v>70+</v>
      </c>
      <c r="D245" t="s">
        <v>43</v>
      </c>
      <c r="E245" t="s">
        <v>44</v>
      </c>
      <c r="F245" t="s">
        <v>31</v>
      </c>
      <c r="G245" t="s">
        <v>45</v>
      </c>
      <c r="H245" t="s">
        <v>30</v>
      </c>
      <c r="I245" t="s">
        <v>576</v>
      </c>
      <c r="J245" t="s">
        <v>58</v>
      </c>
      <c r="K245" s="2">
        <v>131.85</v>
      </c>
      <c r="L245">
        <v>4</v>
      </c>
      <c r="M245" t="s">
        <v>35</v>
      </c>
      <c r="N245">
        <v>5</v>
      </c>
      <c r="O245">
        <v>4</v>
      </c>
      <c r="P245">
        <v>2</v>
      </c>
      <c r="Q245" t="s">
        <v>59</v>
      </c>
      <c r="R245" t="s">
        <v>37</v>
      </c>
      <c r="S245">
        <v>1</v>
      </c>
      <c r="T245">
        <v>5</v>
      </c>
      <c r="U245" t="s">
        <v>49</v>
      </c>
      <c r="V245" t="s">
        <v>60</v>
      </c>
      <c r="W245" t="s">
        <v>61</v>
      </c>
      <c r="X245" s="3">
        <v>45537</v>
      </c>
      <c r="Y245" s="1" t="str">
        <f t="shared" si="6"/>
        <v>Sep</v>
      </c>
      <c r="Z245" s="1" t="str">
        <f t="shared" si="7"/>
        <v>2024</v>
      </c>
      <c r="AA245" t="b">
        <v>1</v>
      </c>
      <c r="AB245" t="b">
        <v>0</v>
      </c>
      <c r="AC245" t="s">
        <v>40</v>
      </c>
      <c r="AD245" t="s">
        <v>41</v>
      </c>
      <c r="AE245">
        <v>6</v>
      </c>
    </row>
    <row r="246" spans="1:31" x14ac:dyDescent="0.3">
      <c r="A246" t="s">
        <v>577</v>
      </c>
      <c r="B246">
        <v>19</v>
      </c>
      <c r="C246" t="str" cm="1">
        <f t="array" ref="C246">_xlfn.IFS(B246&lt;=18,"0-18",B246&lt;=29,"19-29",B246&gt;=49,"30-49",B246&gt;=69,"50-69",TRUE,"70+")</f>
        <v>19-29</v>
      </c>
      <c r="D246" t="s">
        <v>43</v>
      </c>
      <c r="E246" t="s">
        <v>44</v>
      </c>
      <c r="F246" t="s">
        <v>31</v>
      </c>
      <c r="G246" t="s">
        <v>56</v>
      </c>
      <c r="H246" t="s">
        <v>44</v>
      </c>
      <c r="I246" t="s">
        <v>578</v>
      </c>
      <c r="J246" t="s">
        <v>188</v>
      </c>
      <c r="K246" s="2">
        <v>459.39</v>
      </c>
      <c r="L246">
        <v>6</v>
      </c>
      <c r="M246" t="s">
        <v>35</v>
      </c>
      <c r="N246">
        <v>2</v>
      </c>
      <c r="O246">
        <v>2</v>
      </c>
      <c r="P246">
        <v>0.3</v>
      </c>
      <c r="Q246" t="s">
        <v>59</v>
      </c>
      <c r="R246" t="s">
        <v>85</v>
      </c>
      <c r="S246">
        <v>2</v>
      </c>
      <c r="T246">
        <v>4</v>
      </c>
      <c r="U246" t="s">
        <v>44</v>
      </c>
      <c r="V246" t="s">
        <v>38</v>
      </c>
      <c r="W246" t="s">
        <v>39</v>
      </c>
      <c r="X246" s="3">
        <v>45538</v>
      </c>
      <c r="Y246" s="1" t="str">
        <f t="shared" si="6"/>
        <v>Sep</v>
      </c>
      <c r="Z246" s="1" t="str">
        <f t="shared" si="7"/>
        <v>2024</v>
      </c>
      <c r="AA246" t="b">
        <v>0</v>
      </c>
      <c r="AB246" t="b">
        <v>0</v>
      </c>
      <c r="AC246" t="s">
        <v>74</v>
      </c>
      <c r="AD246" t="s">
        <v>41</v>
      </c>
      <c r="AE246">
        <v>14</v>
      </c>
    </row>
    <row r="247" spans="1:31" x14ac:dyDescent="0.3">
      <c r="A247" t="s">
        <v>579</v>
      </c>
      <c r="B247">
        <v>36</v>
      </c>
      <c r="C247" t="str" cm="1">
        <f t="array" ref="C247">_xlfn.IFS(B247&lt;=18,"0-18",B247&lt;=29,"19-29",B247&gt;=49,"30-49",B247&gt;=69,"50-69",TRUE,"70+")</f>
        <v>70+</v>
      </c>
      <c r="D247" t="s">
        <v>29</v>
      </c>
      <c r="E247" t="s">
        <v>44</v>
      </c>
      <c r="F247" t="s">
        <v>76</v>
      </c>
      <c r="G247" t="s">
        <v>45</v>
      </c>
      <c r="H247" t="s">
        <v>30</v>
      </c>
      <c r="I247" t="s">
        <v>580</v>
      </c>
      <c r="J247" t="s">
        <v>58</v>
      </c>
      <c r="K247" s="2">
        <v>383.33</v>
      </c>
      <c r="L247">
        <v>6</v>
      </c>
      <c r="M247" t="s">
        <v>78</v>
      </c>
      <c r="N247">
        <v>3</v>
      </c>
      <c r="O247">
        <v>4</v>
      </c>
      <c r="P247">
        <v>2</v>
      </c>
      <c r="Q247" t="s">
        <v>49</v>
      </c>
      <c r="R247" t="s">
        <v>85</v>
      </c>
      <c r="S247">
        <v>1</v>
      </c>
      <c r="T247">
        <v>3</v>
      </c>
      <c r="U247" t="s">
        <v>36</v>
      </c>
      <c r="V247" t="s">
        <v>60</v>
      </c>
      <c r="W247" t="s">
        <v>39</v>
      </c>
      <c r="X247" s="3">
        <v>45539</v>
      </c>
      <c r="Y247" s="1" t="str">
        <f t="shared" si="6"/>
        <v>Sep</v>
      </c>
      <c r="Z247" s="1" t="str">
        <f t="shared" si="7"/>
        <v>2024</v>
      </c>
      <c r="AA247" t="b">
        <v>0</v>
      </c>
      <c r="AB247" t="b">
        <v>0</v>
      </c>
      <c r="AC247" t="s">
        <v>74</v>
      </c>
      <c r="AD247" t="s">
        <v>53</v>
      </c>
      <c r="AE247">
        <v>12</v>
      </c>
    </row>
    <row r="248" spans="1:31" x14ac:dyDescent="0.3">
      <c r="A248" t="s">
        <v>581</v>
      </c>
      <c r="B248">
        <v>26</v>
      </c>
      <c r="C248" t="str" cm="1">
        <f t="array" ref="C248">_xlfn.IFS(B248&lt;=18,"0-18",B248&lt;=29,"19-29",B248&gt;=49,"30-49",B248&gt;=69,"50-69",TRUE,"70+")</f>
        <v>19-29</v>
      </c>
      <c r="D248" t="s">
        <v>29</v>
      </c>
      <c r="E248" t="s">
        <v>44</v>
      </c>
      <c r="F248" t="s">
        <v>69</v>
      </c>
      <c r="G248" t="s">
        <v>32</v>
      </c>
      <c r="H248" t="s">
        <v>44</v>
      </c>
      <c r="I248" t="s">
        <v>582</v>
      </c>
      <c r="J248" t="s">
        <v>126</v>
      </c>
      <c r="K248" s="2">
        <v>212.08</v>
      </c>
      <c r="L248">
        <v>8</v>
      </c>
      <c r="M248" t="s">
        <v>48</v>
      </c>
      <c r="N248">
        <v>5</v>
      </c>
      <c r="O248">
        <v>5</v>
      </c>
      <c r="P248">
        <v>2</v>
      </c>
      <c r="Q248" t="s">
        <v>59</v>
      </c>
      <c r="R248" t="s">
        <v>85</v>
      </c>
      <c r="S248">
        <v>1</v>
      </c>
      <c r="T248">
        <v>9</v>
      </c>
      <c r="U248" t="s">
        <v>36</v>
      </c>
      <c r="V248" t="s">
        <v>38</v>
      </c>
      <c r="W248" t="s">
        <v>39</v>
      </c>
      <c r="X248" s="3">
        <v>45540</v>
      </c>
      <c r="Y248" s="1" t="str">
        <f t="shared" si="6"/>
        <v>Sep</v>
      </c>
      <c r="Z248" s="1" t="str">
        <f t="shared" si="7"/>
        <v>2024</v>
      </c>
      <c r="AA248" t="b">
        <v>0</v>
      </c>
      <c r="AB248" t="b">
        <v>0</v>
      </c>
      <c r="AC248" t="s">
        <v>40</v>
      </c>
      <c r="AD248" t="s">
        <v>53</v>
      </c>
      <c r="AE248">
        <v>13</v>
      </c>
    </row>
    <row r="249" spans="1:31" x14ac:dyDescent="0.3">
      <c r="A249" t="s">
        <v>583</v>
      </c>
      <c r="B249">
        <v>35</v>
      </c>
      <c r="C249" t="str" cm="1">
        <f t="array" ref="C249">_xlfn.IFS(B249&lt;=18,"0-18",B249&lt;=29,"19-29",B249&gt;=49,"30-49",B249&gt;=69,"50-69",TRUE,"70+")</f>
        <v>70+</v>
      </c>
      <c r="D249" t="s">
        <v>29</v>
      </c>
      <c r="E249" t="s">
        <v>44</v>
      </c>
      <c r="F249" t="s">
        <v>31</v>
      </c>
      <c r="G249" t="s">
        <v>56</v>
      </c>
      <c r="H249" t="s">
        <v>44</v>
      </c>
      <c r="I249" t="s">
        <v>584</v>
      </c>
      <c r="J249" t="s">
        <v>135</v>
      </c>
      <c r="K249" s="2">
        <v>370.73</v>
      </c>
      <c r="L249">
        <v>7</v>
      </c>
      <c r="M249" t="s">
        <v>78</v>
      </c>
      <c r="N249">
        <v>3</v>
      </c>
      <c r="O249">
        <v>2</v>
      </c>
      <c r="P249">
        <v>1</v>
      </c>
      <c r="Q249" t="s">
        <v>44</v>
      </c>
      <c r="R249" t="s">
        <v>50</v>
      </c>
      <c r="S249">
        <v>0</v>
      </c>
      <c r="T249">
        <v>9</v>
      </c>
      <c r="U249" t="s">
        <v>44</v>
      </c>
      <c r="V249" t="s">
        <v>60</v>
      </c>
      <c r="W249" t="s">
        <v>61</v>
      </c>
      <c r="X249" s="3">
        <v>45541</v>
      </c>
      <c r="Y249" s="1" t="str">
        <f t="shared" si="6"/>
        <v>Sep</v>
      </c>
      <c r="Z249" s="1" t="str">
        <f t="shared" si="7"/>
        <v>2024</v>
      </c>
      <c r="AA249" t="b">
        <v>0</v>
      </c>
      <c r="AB249" t="b">
        <v>1</v>
      </c>
      <c r="AC249" t="s">
        <v>40</v>
      </c>
      <c r="AD249" t="s">
        <v>41</v>
      </c>
      <c r="AE249">
        <v>7</v>
      </c>
    </row>
    <row r="250" spans="1:31" x14ac:dyDescent="0.3">
      <c r="A250" t="s">
        <v>585</v>
      </c>
      <c r="B250">
        <v>39</v>
      </c>
      <c r="C250" t="str" cm="1">
        <f t="array" ref="C250">_xlfn.IFS(B250&lt;=18,"0-18",B250&lt;=29,"19-29",B250&gt;=49,"30-49",B250&gt;=69,"50-69",TRUE,"70+")</f>
        <v>70+</v>
      </c>
      <c r="D250" t="s">
        <v>43</v>
      </c>
      <c r="E250" t="s">
        <v>44</v>
      </c>
      <c r="F250" t="s">
        <v>76</v>
      </c>
      <c r="G250" t="s">
        <v>56</v>
      </c>
      <c r="H250" t="s">
        <v>30</v>
      </c>
      <c r="I250" t="s">
        <v>586</v>
      </c>
      <c r="J250" t="s">
        <v>183</v>
      </c>
      <c r="K250" s="2">
        <v>319.66000000000003</v>
      </c>
      <c r="L250">
        <v>7</v>
      </c>
      <c r="M250" t="s">
        <v>35</v>
      </c>
      <c r="N250">
        <v>4</v>
      </c>
      <c r="O250">
        <v>2</v>
      </c>
      <c r="P250">
        <v>1</v>
      </c>
      <c r="Q250" t="s">
        <v>44</v>
      </c>
      <c r="R250" t="s">
        <v>50</v>
      </c>
      <c r="S250">
        <v>1</v>
      </c>
      <c r="T250">
        <v>10</v>
      </c>
      <c r="U250" t="s">
        <v>36</v>
      </c>
      <c r="V250" t="s">
        <v>79</v>
      </c>
      <c r="W250" t="s">
        <v>61</v>
      </c>
      <c r="X250" s="3">
        <v>45542</v>
      </c>
      <c r="Y250" s="1" t="str">
        <f t="shared" si="6"/>
        <v>Sep</v>
      </c>
      <c r="Z250" s="1" t="str">
        <f t="shared" si="7"/>
        <v>2024</v>
      </c>
      <c r="AA250" t="b">
        <v>0</v>
      </c>
      <c r="AB250" t="b">
        <v>0</v>
      </c>
      <c r="AC250" t="s">
        <v>52</v>
      </c>
      <c r="AD250" t="s">
        <v>67</v>
      </c>
      <c r="AE250">
        <v>3</v>
      </c>
    </row>
    <row r="251" spans="1:31" x14ac:dyDescent="0.3">
      <c r="A251" t="s">
        <v>587</v>
      </c>
      <c r="B251">
        <v>44</v>
      </c>
      <c r="C251" t="str" cm="1">
        <f t="array" ref="C251">_xlfn.IFS(B251&lt;=18,"0-18",B251&lt;=29,"19-29",B251&gt;=49,"30-49",B251&gt;=69,"50-69",TRUE,"70+")</f>
        <v>70+</v>
      </c>
      <c r="D251" t="s">
        <v>29</v>
      </c>
      <c r="E251" t="s">
        <v>30</v>
      </c>
      <c r="F251" t="s">
        <v>69</v>
      </c>
      <c r="G251" t="s">
        <v>32</v>
      </c>
      <c r="H251" t="s">
        <v>44</v>
      </c>
      <c r="I251" t="s">
        <v>588</v>
      </c>
      <c r="J251" t="s">
        <v>246</v>
      </c>
      <c r="K251" s="2">
        <v>373.05</v>
      </c>
      <c r="L251">
        <v>3</v>
      </c>
      <c r="M251" t="s">
        <v>48</v>
      </c>
      <c r="N251">
        <v>3</v>
      </c>
      <c r="O251">
        <v>4</v>
      </c>
      <c r="P251">
        <v>0.3</v>
      </c>
      <c r="Q251" t="s">
        <v>59</v>
      </c>
      <c r="R251" t="s">
        <v>50</v>
      </c>
      <c r="S251">
        <v>1</v>
      </c>
      <c r="T251">
        <v>10</v>
      </c>
      <c r="U251" t="s">
        <v>49</v>
      </c>
      <c r="V251" t="s">
        <v>38</v>
      </c>
      <c r="W251" t="s">
        <v>86</v>
      </c>
      <c r="X251" s="3">
        <v>45543</v>
      </c>
      <c r="Y251" s="1" t="str">
        <f t="shared" si="6"/>
        <v>Sep</v>
      </c>
      <c r="Z251" s="1" t="str">
        <f t="shared" si="7"/>
        <v>2024</v>
      </c>
      <c r="AA251" t="b">
        <v>0</v>
      </c>
      <c r="AB251" t="b">
        <v>1</v>
      </c>
      <c r="AC251" t="s">
        <v>74</v>
      </c>
      <c r="AD251" t="s">
        <v>53</v>
      </c>
      <c r="AE251">
        <v>7</v>
      </c>
    </row>
    <row r="252" spans="1:31" x14ac:dyDescent="0.3">
      <c r="A252" t="s">
        <v>589</v>
      </c>
      <c r="B252">
        <v>19</v>
      </c>
      <c r="C252" t="str" cm="1">
        <f t="array" ref="C252">_xlfn.IFS(B252&lt;=18,"0-18",B252&lt;=29,"19-29",B252&gt;=49,"30-49",B252&gt;=69,"50-69",TRUE,"70+")</f>
        <v>19-29</v>
      </c>
      <c r="D252" t="s">
        <v>29</v>
      </c>
      <c r="E252" t="s">
        <v>44</v>
      </c>
      <c r="F252" t="s">
        <v>31</v>
      </c>
      <c r="G252" t="s">
        <v>32</v>
      </c>
      <c r="H252" t="s">
        <v>44</v>
      </c>
      <c r="I252" t="s">
        <v>590</v>
      </c>
      <c r="J252" t="s">
        <v>90</v>
      </c>
      <c r="K252" s="2">
        <v>393.78</v>
      </c>
      <c r="L252">
        <v>6</v>
      </c>
      <c r="M252" t="s">
        <v>78</v>
      </c>
      <c r="N252">
        <v>3</v>
      </c>
      <c r="O252">
        <v>4</v>
      </c>
      <c r="P252">
        <v>1</v>
      </c>
      <c r="Q252" t="s">
        <v>49</v>
      </c>
      <c r="R252" t="s">
        <v>85</v>
      </c>
      <c r="S252">
        <v>0</v>
      </c>
      <c r="T252">
        <v>5</v>
      </c>
      <c r="U252" t="s">
        <v>59</v>
      </c>
      <c r="V252" t="s">
        <v>38</v>
      </c>
      <c r="W252" t="s">
        <v>66</v>
      </c>
      <c r="X252" s="3">
        <v>45544</v>
      </c>
      <c r="Y252" s="1" t="str">
        <f t="shared" si="6"/>
        <v>Sep</v>
      </c>
      <c r="Z252" s="1" t="str">
        <f t="shared" si="7"/>
        <v>2024</v>
      </c>
      <c r="AA252" t="b">
        <v>1</v>
      </c>
      <c r="AB252" t="b">
        <v>0</v>
      </c>
      <c r="AC252" t="s">
        <v>40</v>
      </c>
      <c r="AD252" t="s">
        <v>41</v>
      </c>
      <c r="AE252">
        <v>14</v>
      </c>
    </row>
    <row r="253" spans="1:31" x14ac:dyDescent="0.3">
      <c r="A253" t="s">
        <v>591</v>
      </c>
      <c r="B253">
        <v>27</v>
      </c>
      <c r="C253" t="str" cm="1">
        <f t="array" ref="C253">_xlfn.IFS(B253&lt;=18,"0-18",B253&lt;=29,"19-29",B253&gt;=49,"30-49",B253&gt;=69,"50-69",TRUE,"70+")</f>
        <v>19-29</v>
      </c>
      <c r="D253" t="s">
        <v>29</v>
      </c>
      <c r="E253" t="s">
        <v>44</v>
      </c>
      <c r="F253" t="s">
        <v>69</v>
      </c>
      <c r="G253" t="s">
        <v>56</v>
      </c>
      <c r="H253" t="s">
        <v>44</v>
      </c>
      <c r="I253" t="s">
        <v>592</v>
      </c>
      <c r="J253" t="s">
        <v>183</v>
      </c>
      <c r="K253" s="2">
        <v>245.04</v>
      </c>
      <c r="L253">
        <v>4</v>
      </c>
      <c r="M253" t="s">
        <v>78</v>
      </c>
      <c r="N253">
        <v>3</v>
      </c>
      <c r="O253">
        <v>2</v>
      </c>
      <c r="P253">
        <v>0</v>
      </c>
      <c r="Q253" t="s">
        <v>44</v>
      </c>
      <c r="R253" t="s">
        <v>50</v>
      </c>
      <c r="S253">
        <v>2</v>
      </c>
      <c r="T253">
        <v>6</v>
      </c>
      <c r="U253" t="s">
        <v>44</v>
      </c>
      <c r="V253" t="s">
        <v>38</v>
      </c>
      <c r="W253" t="s">
        <v>66</v>
      </c>
      <c r="X253" s="3">
        <v>45545</v>
      </c>
      <c r="Y253" s="1" t="str">
        <f t="shared" si="6"/>
        <v>Sep</v>
      </c>
      <c r="Z253" s="1" t="str">
        <f t="shared" si="7"/>
        <v>2024</v>
      </c>
      <c r="AA253" t="b">
        <v>1</v>
      </c>
      <c r="AB253" t="b">
        <v>1</v>
      </c>
      <c r="AC253" t="s">
        <v>40</v>
      </c>
      <c r="AD253" t="s">
        <v>53</v>
      </c>
      <c r="AE253">
        <v>10</v>
      </c>
    </row>
    <row r="254" spans="1:31" x14ac:dyDescent="0.3">
      <c r="A254" t="s">
        <v>593</v>
      </c>
      <c r="B254">
        <v>26</v>
      </c>
      <c r="C254" t="str" cm="1">
        <f t="array" ref="C254">_xlfn.IFS(B254&lt;=18,"0-18",B254&lt;=29,"19-29",B254&gt;=49,"30-49",B254&gt;=69,"50-69",TRUE,"70+")</f>
        <v>19-29</v>
      </c>
      <c r="D254" t="s">
        <v>29</v>
      </c>
      <c r="E254" t="s">
        <v>44</v>
      </c>
      <c r="F254" t="s">
        <v>76</v>
      </c>
      <c r="G254" t="s">
        <v>56</v>
      </c>
      <c r="H254" t="s">
        <v>30</v>
      </c>
      <c r="I254" t="s">
        <v>594</v>
      </c>
      <c r="J254" t="s">
        <v>188</v>
      </c>
      <c r="K254" s="2">
        <v>111.27</v>
      </c>
      <c r="L254">
        <v>3</v>
      </c>
      <c r="M254" t="s">
        <v>78</v>
      </c>
      <c r="N254">
        <v>1</v>
      </c>
      <c r="O254">
        <v>3</v>
      </c>
      <c r="P254">
        <v>1</v>
      </c>
      <c r="Q254" t="s">
        <v>44</v>
      </c>
      <c r="R254" t="s">
        <v>85</v>
      </c>
      <c r="S254">
        <v>2</v>
      </c>
      <c r="T254">
        <v>10</v>
      </c>
      <c r="U254" t="s">
        <v>36</v>
      </c>
      <c r="V254" t="s">
        <v>60</v>
      </c>
      <c r="W254" t="s">
        <v>51</v>
      </c>
      <c r="X254" s="3">
        <v>45546</v>
      </c>
      <c r="Y254" s="1" t="str">
        <f t="shared" si="6"/>
        <v>Sep</v>
      </c>
      <c r="Z254" s="1" t="str">
        <f t="shared" si="7"/>
        <v>2024</v>
      </c>
      <c r="AA254" t="b">
        <v>0</v>
      </c>
      <c r="AB254" t="b">
        <v>0</v>
      </c>
      <c r="AC254" t="s">
        <v>62</v>
      </c>
      <c r="AD254" t="s">
        <v>41</v>
      </c>
      <c r="AE254">
        <v>12</v>
      </c>
    </row>
    <row r="255" spans="1:31" x14ac:dyDescent="0.3">
      <c r="A255" t="s">
        <v>595</v>
      </c>
      <c r="B255">
        <v>26</v>
      </c>
      <c r="C255" t="str" cm="1">
        <f t="array" ref="C255">_xlfn.IFS(B255&lt;=18,"0-18",B255&lt;=29,"19-29",B255&gt;=49,"30-49",B255&gt;=69,"50-69",TRUE,"70+")</f>
        <v>19-29</v>
      </c>
      <c r="D255" t="s">
        <v>29</v>
      </c>
      <c r="E255" t="s">
        <v>44</v>
      </c>
      <c r="F255" t="s">
        <v>55</v>
      </c>
      <c r="G255" t="s">
        <v>32</v>
      </c>
      <c r="H255" t="s">
        <v>30</v>
      </c>
      <c r="I255" t="s">
        <v>596</v>
      </c>
      <c r="J255" t="s">
        <v>123</v>
      </c>
      <c r="K255" s="2">
        <v>93.29</v>
      </c>
      <c r="L255">
        <v>11</v>
      </c>
      <c r="M255" t="s">
        <v>78</v>
      </c>
      <c r="N255">
        <v>2</v>
      </c>
      <c r="O255">
        <v>2</v>
      </c>
      <c r="P255">
        <v>0</v>
      </c>
      <c r="Q255" t="s">
        <v>44</v>
      </c>
      <c r="R255" t="s">
        <v>85</v>
      </c>
      <c r="S255">
        <v>0</v>
      </c>
      <c r="T255">
        <v>7</v>
      </c>
      <c r="U255" t="s">
        <v>59</v>
      </c>
      <c r="V255" t="s">
        <v>38</v>
      </c>
      <c r="W255" t="s">
        <v>66</v>
      </c>
      <c r="X255" s="3">
        <v>45547</v>
      </c>
      <c r="Y255" s="1" t="str">
        <f t="shared" si="6"/>
        <v>Sep</v>
      </c>
      <c r="Z255" s="1" t="str">
        <f t="shared" si="7"/>
        <v>2024</v>
      </c>
      <c r="AA255" t="b">
        <v>1</v>
      </c>
      <c r="AB255" t="b">
        <v>0</v>
      </c>
      <c r="AC255" t="s">
        <v>62</v>
      </c>
      <c r="AD255" t="s">
        <v>41</v>
      </c>
      <c r="AE255">
        <v>9</v>
      </c>
    </row>
    <row r="256" spans="1:31" x14ac:dyDescent="0.3">
      <c r="A256" t="s">
        <v>597</v>
      </c>
      <c r="B256">
        <v>27</v>
      </c>
      <c r="C256" t="str" cm="1">
        <f t="array" ref="C256">_xlfn.IFS(B256&lt;=18,"0-18",B256&lt;=29,"19-29",B256&gt;=49,"30-49",B256&gt;=69,"50-69",TRUE,"70+")</f>
        <v>19-29</v>
      </c>
      <c r="D256" t="s">
        <v>29</v>
      </c>
      <c r="E256" t="s">
        <v>44</v>
      </c>
      <c r="F256" t="s">
        <v>31</v>
      </c>
      <c r="G256" t="s">
        <v>45</v>
      </c>
      <c r="H256" t="s">
        <v>30</v>
      </c>
      <c r="I256" t="s">
        <v>598</v>
      </c>
      <c r="J256" t="s">
        <v>107</v>
      </c>
      <c r="K256" s="2">
        <v>156.5</v>
      </c>
      <c r="L256">
        <v>5</v>
      </c>
      <c r="M256" t="s">
        <v>35</v>
      </c>
      <c r="N256">
        <v>1</v>
      </c>
      <c r="O256">
        <v>1</v>
      </c>
      <c r="P256">
        <v>1</v>
      </c>
      <c r="Q256" t="s">
        <v>44</v>
      </c>
      <c r="R256" t="s">
        <v>85</v>
      </c>
      <c r="S256">
        <v>0</v>
      </c>
      <c r="T256">
        <v>3</v>
      </c>
      <c r="U256" t="s">
        <v>44</v>
      </c>
      <c r="V256" t="s">
        <v>79</v>
      </c>
      <c r="W256" t="s">
        <v>66</v>
      </c>
      <c r="X256" s="3">
        <v>45548</v>
      </c>
      <c r="Y256" s="1" t="str">
        <f t="shared" si="6"/>
        <v>Sep</v>
      </c>
      <c r="Z256" s="1" t="str">
        <f t="shared" si="7"/>
        <v>2024</v>
      </c>
      <c r="AA256" t="b">
        <v>1</v>
      </c>
      <c r="AB256" t="b">
        <v>0</v>
      </c>
      <c r="AC256" t="s">
        <v>52</v>
      </c>
      <c r="AD256" t="s">
        <v>53</v>
      </c>
      <c r="AE256">
        <v>14</v>
      </c>
    </row>
    <row r="257" spans="1:31" x14ac:dyDescent="0.3">
      <c r="A257" t="s">
        <v>599</v>
      </c>
      <c r="B257">
        <v>37</v>
      </c>
      <c r="C257" t="str" cm="1">
        <f t="array" ref="C257">_xlfn.IFS(B257&lt;=18,"0-18",B257&lt;=29,"19-29",B257&gt;=49,"30-49",B257&gt;=69,"50-69",TRUE,"70+")</f>
        <v>70+</v>
      </c>
      <c r="D257" t="s">
        <v>43</v>
      </c>
      <c r="E257" t="s">
        <v>30</v>
      </c>
      <c r="F257" t="s">
        <v>55</v>
      </c>
      <c r="G257" t="s">
        <v>56</v>
      </c>
      <c r="H257" t="s">
        <v>30</v>
      </c>
      <c r="I257" t="s">
        <v>600</v>
      </c>
      <c r="J257" t="s">
        <v>114</v>
      </c>
      <c r="K257" s="2">
        <v>290.11</v>
      </c>
      <c r="L257">
        <v>8</v>
      </c>
      <c r="M257" t="s">
        <v>35</v>
      </c>
      <c r="N257">
        <v>4</v>
      </c>
      <c r="O257">
        <v>4</v>
      </c>
      <c r="P257">
        <v>1</v>
      </c>
      <c r="Q257" t="s">
        <v>49</v>
      </c>
      <c r="R257" t="s">
        <v>85</v>
      </c>
      <c r="S257">
        <v>1</v>
      </c>
      <c r="T257">
        <v>4</v>
      </c>
      <c r="U257" t="s">
        <v>49</v>
      </c>
      <c r="V257" t="s">
        <v>60</v>
      </c>
      <c r="W257" t="s">
        <v>51</v>
      </c>
      <c r="X257" s="3">
        <v>45549</v>
      </c>
      <c r="Y257" s="1" t="str">
        <f t="shared" si="6"/>
        <v>Sep</v>
      </c>
      <c r="Z257" s="1" t="str">
        <f t="shared" si="7"/>
        <v>2024</v>
      </c>
      <c r="AA257" t="b">
        <v>0</v>
      </c>
      <c r="AB257" t="b">
        <v>0</v>
      </c>
      <c r="AC257" t="s">
        <v>62</v>
      </c>
      <c r="AD257" t="s">
        <v>41</v>
      </c>
      <c r="AE257">
        <v>14</v>
      </c>
    </row>
    <row r="258" spans="1:31" x14ac:dyDescent="0.3">
      <c r="A258" t="s">
        <v>601</v>
      </c>
      <c r="B258">
        <v>23</v>
      </c>
      <c r="C258" t="str" cm="1">
        <f t="array" ref="C258">_xlfn.IFS(B258&lt;=18,"0-18",B258&lt;=29,"19-29",B258&gt;=49,"30-49",B258&gt;=69,"50-69",TRUE,"70+")</f>
        <v>19-29</v>
      </c>
      <c r="D258" t="s">
        <v>29</v>
      </c>
      <c r="E258" t="s">
        <v>30</v>
      </c>
      <c r="F258" t="s">
        <v>55</v>
      </c>
      <c r="G258" t="s">
        <v>32</v>
      </c>
      <c r="H258" t="s">
        <v>30</v>
      </c>
      <c r="I258" t="s">
        <v>289</v>
      </c>
      <c r="J258" t="s">
        <v>120</v>
      </c>
      <c r="K258" s="2">
        <v>355.28</v>
      </c>
      <c r="L258">
        <v>3</v>
      </c>
      <c r="M258" t="s">
        <v>35</v>
      </c>
      <c r="N258">
        <v>5</v>
      </c>
      <c r="O258">
        <v>5</v>
      </c>
      <c r="P258">
        <v>0</v>
      </c>
      <c r="Q258" t="s">
        <v>59</v>
      </c>
      <c r="R258" t="s">
        <v>85</v>
      </c>
      <c r="S258">
        <v>1</v>
      </c>
      <c r="T258">
        <v>4</v>
      </c>
      <c r="U258" t="s">
        <v>59</v>
      </c>
      <c r="V258" t="s">
        <v>60</v>
      </c>
      <c r="W258" t="s">
        <v>39</v>
      </c>
      <c r="X258" s="3">
        <v>45550</v>
      </c>
      <c r="Y258" s="1" t="str">
        <f t="shared" si="6"/>
        <v>Sep</v>
      </c>
      <c r="Z258" s="1" t="str">
        <f t="shared" si="7"/>
        <v>2024</v>
      </c>
      <c r="AA258" t="b">
        <v>1</v>
      </c>
      <c r="AB258" t="b">
        <v>1</v>
      </c>
      <c r="AC258" t="s">
        <v>74</v>
      </c>
      <c r="AD258" t="s">
        <v>41</v>
      </c>
      <c r="AE258">
        <v>5</v>
      </c>
    </row>
    <row r="259" spans="1:31" x14ac:dyDescent="0.3">
      <c r="A259" t="s">
        <v>602</v>
      </c>
      <c r="B259">
        <v>31</v>
      </c>
      <c r="C259" t="str" cm="1">
        <f t="array" ref="C259">_xlfn.IFS(B259&lt;=18,"0-18",B259&lt;=29,"19-29",B259&gt;=49,"30-49",B259&gt;=69,"50-69",TRUE,"70+")</f>
        <v>70+</v>
      </c>
      <c r="D259" t="s">
        <v>88</v>
      </c>
      <c r="E259" t="s">
        <v>30</v>
      </c>
      <c r="F259" t="s">
        <v>55</v>
      </c>
      <c r="G259" t="s">
        <v>32</v>
      </c>
      <c r="H259" t="s">
        <v>44</v>
      </c>
      <c r="I259" t="s">
        <v>603</v>
      </c>
      <c r="J259" t="s">
        <v>34</v>
      </c>
      <c r="K259" s="2">
        <v>73.739999999999995</v>
      </c>
      <c r="L259">
        <v>7</v>
      </c>
      <c r="M259" t="s">
        <v>78</v>
      </c>
      <c r="N259">
        <v>4</v>
      </c>
      <c r="O259">
        <v>2</v>
      </c>
      <c r="P259">
        <v>0.3</v>
      </c>
      <c r="Q259" t="s">
        <v>44</v>
      </c>
      <c r="R259" t="s">
        <v>50</v>
      </c>
      <c r="S259">
        <v>1</v>
      </c>
      <c r="T259">
        <v>3</v>
      </c>
      <c r="U259" t="s">
        <v>49</v>
      </c>
      <c r="V259" t="s">
        <v>60</v>
      </c>
      <c r="W259" t="s">
        <v>66</v>
      </c>
      <c r="X259" s="3">
        <v>45551</v>
      </c>
      <c r="Y259" s="1" t="str">
        <f t="shared" ref="Y259:Y322" si="8">TEXT(X259,"mmm")</f>
        <v>Sep</v>
      </c>
      <c r="Z259" s="1" t="str">
        <f t="shared" ref="Z259:Z322" si="9">TEXT(X259,"yyyy")</f>
        <v>2024</v>
      </c>
      <c r="AA259" t="b">
        <v>0</v>
      </c>
      <c r="AB259" t="b">
        <v>0</v>
      </c>
      <c r="AC259" t="s">
        <v>52</v>
      </c>
      <c r="AD259" t="s">
        <v>53</v>
      </c>
      <c r="AE259">
        <v>13</v>
      </c>
    </row>
    <row r="260" spans="1:31" x14ac:dyDescent="0.3">
      <c r="A260" t="s">
        <v>604</v>
      </c>
      <c r="B260">
        <v>21</v>
      </c>
      <c r="C260" t="str" cm="1">
        <f t="array" ref="C260">_xlfn.IFS(B260&lt;=18,"0-18",B260&lt;=29,"19-29",B260&gt;=49,"30-49",B260&gt;=69,"50-69",TRUE,"70+")</f>
        <v>19-29</v>
      </c>
      <c r="D260" t="s">
        <v>29</v>
      </c>
      <c r="E260" t="s">
        <v>30</v>
      </c>
      <c r="F260" t="s">
        <v>69</v>
      </c>
      <c r="G260" t="s">
        <v>56</v>
      </c>
      <c r="H260" t="s">
        <v>30</v>
      </c>
      <c r="I260" t="s">
        <v>605</v>
      </c>
      <c r="J260" t="s">
        <v>90</v>
      </c>
      <c r="K260" s="2">
        <v>170.35</v>
      </c>
      <c r="L260">
        <v>10</v>
      </c>
      <c r="M260" t="s">
        <v>48</v>
      </c>
      <c r="N260">
        <v>2</v>
      </c>
      <c r="O260">
        <v>1</v>
      </c>
      <c r="P260">
        <v>1</v>
      </c>
      <c r="Q260" t="s">
        <v>49</v>
      </c>
      <c r="R260" t="s">
        <v>85</v>
      </c>
      <c r="S260">
        <v>1</v>
      </c>
      <c r="T260">
        <v>10</v>
      </c>
      <c r="U260" t="s">
        <v>59</v>
      </c>
      <c r="V260" t="s">
        <v>79</v>
      </c>
      <c r="W260" t="s">
        <v>86</v>
      </c>
      <c r="X260" s="3">
        <v>45552</v>
      </c>
      <c r="Y260" s="1" t="str">
        <f t="shared" si="8"/>
        <v>Sep</v>
      </c>
      <c r="Z260" s="1" t="str">
        <f t="shared" si="9"/>
        <v>2024</v>
      </c>
      <c r="AA260" t="b">
        <v>1</v>
      </c>
      <c r="AB260" t="b">
        <v>1</v>
      </c>
      <c r="AC260" t="s">
        <v>40</v>
      </c>
      <c r="AD260" t="s">
        <v>53</v>
      </c>
      <c r="AE260">
        <v>1</v>
      </c>
    </row>
    <row r="261" spans="1:31" x14ac:dyDescent="0.3">
      <c r="A261" t="s">
        <v>606</v>
      </c>
      <c r="B261">
        <v>36</v>
      </c>
      <c r="C261" t="str" cm="1">
        <f t="array" ref="C261">_xlfn.IFS(B261&lt;=18,"0-18",B261&lt;=29,"19-29",B261&gt;=49,"30-49",B261&gt;=69,"50-69",TRUE,"70+")</f>
        <v>70+</v>
      </c>
      <c r="D261" t="s">
        <v>29</v>
      </c>
      <c r="E261" t="s">
        <v>44</v>
      </c>
      <c r="F261" t="s">
        <v>55</v>
      </c>
      <c r="G261" t="s">
        <v>56</v>
      </c>
      <c r="H261" t="s">
        <v>30</v>
      </c>
      <c r="I261" t="s">
        <v>607</v>
      </c>
      <c r="J261" t="s">
        <v>65</v>
      </c>
      <c r="K261" s="2">
        <v>123.7</v>
      </c>
      <c r="L261">
        <v>6</v>
      </c>
      <c r="M261" t="s">
        <v>78</v>
      </c>
      <c r="N261">
        <v>2</v>
      </c>
      <c r="O261">
        <v>5</v>
      </c>
      <c r="P261">
        <v>0</v>
      </c>
      <c r="Q261" t="s">
        <v>44</v>
      </c>
      <c r="R261" t="s">
        <v>85</v>
      </c>
      <c r="S261">
        <v>1</v>
      </c>
      <c r="T261">
        <v>5</v>
      </c>
      <c r="U261" t="s">
        <v>36</v>
      </c>
      <c r="V261" t="s">
        <v>60</v>
      </c>
      <c r="W261" t="s">
        <v>66</v>
      </c>
      <c r="X261" s="3">
        <v>45553</v>
      </c>
      <c r="Y261" s="1" t="str">
        <f t="shared" si="8"/>
        <v>Sep</v>
      </c>
      <c r="Z261" s="1" t="str">
        <f t="shared" si="9"/>
        <v>2024</v>
      </c>
      <c r="AA261" t="b">
        <v>0</v>
      </c>
      <c r="AB261" t="b">
        <v>0</v>
      </c>
      <c r="AC261" t="s">
        <v>62</v>
      </c>
      <c r="AD261" t="s">
        <v>67</v>
      </c>
      <c r="AE261">
        <v>2</v>
      </c>
    </row>
    <row r="262" spans="1:31" x14ac:dyDescent="0.3">
      <c r="A262" t="s">
        <v>608</v>
      </c>
      <c r="B262">
        <v>21</v>
      </c>
      <c r="C262" t="str" cm="1">
        <f t="array" ref="C262">_xlfn.IFS(B262&lt;=18,"0-18",B262&lt;=29,"19-29",B262&gt;=49,"30-49",B262&gt;=69,"50-69",TRUE,"70+")</f>
        <v>19-29</v>
      </c>
      <c r="D262" t="s">
        <v>29</v>
      </c>
      <c r="E262" t="s">
        <v>30</v>
      </c>
      <c r="F262" t="s">
        <v>55</v>
      </c>
      <c r="G262" t="s">
        <v>56</v>
      </c>
      <c r="H262" t="s">
        <v>44</v>
      </c>
      <c r="I262" t="s">
        <v>609</v>
      </c>
      <c r="J262" t="s">
        <v>34</v>
      </c>
      <c r="K262" s="2">
        <v>201.6</v>
      </c>
      <c r="L262">
        <v>9</v>
      </c>
      <c r="M262" t="s">
        <v>48</v>
      </c>
      <c r="N262">
        <v>1</v>
      </c>
      <c r="O262">
        <v>4</v>
      </c>
      <c r="P262">
        <v>2</v>
      </c>
      <c r="Q262" t="s">
        <v>49</v>
      </c>
      <c r="R262" t="s">
        <v>85</v>
      </c>
      <c r="S262">
        <v>1</v>
      </c>
      <c r="T262">
        <v>4</v>
      </c>
      <c r="U262" t="s">
        <v>44</v>
      </c>
      <c r="V262" t="s">
        <v>60</v>
      </c>
      <c r="W262" t="s">
        <v>51</v>
      </c>
      <c r="X262" s="3">
        <v>45554</v>
      </c>
      <c r="Y262" s="1" t="str">
        <f t="shared" si="8"/>
        <v>Sep</v>
      </c>
      <c r="Z262" s="1" t="str">
        <f t="shared" si="9"/>
        <v>2024</v>
      </c>
      <c r="AA262" t="b">
        <v>0</v>
      </c>
      <c r="AB262" t="b">
        <v>0</v>
      </c>
      <c r="AC262" t="s">
        <v>62</v>
      </c>
      <c r="AD262" t="s">
        <v>67</v>
      </c>
      <c r="AE262">
        <v>14</v>
      </c>
    </row>
    <row r="263" spans="1:31" x14ac:dyDescent="0.3">
      <c r="A263" t="s">
        <v>610</v>
      </c>
      <c r="B263">
        <v>27</v>
      </c>
      <c r="C263" t="str" cm="1">
        <f t="array" ref="C263">_xlfn.IFS(B263&lt;=18,"0-18",B263&lt;=29,"19-29",B263&gt;=49,"30-49",B263&gt;=69,"50-69",TRUE,"70+")</f>
        <v>19-29</v>
      </c>
      <c r="D263" t="s">
        <v>29</v>
      </c>
      <c r="E263" t="s">
        <v>30</v>
      </c>
      <c r="F263" t="s">
        <v>55</v>
      </c>
      <c r="G263" t="s">
        <v>56</v>
      </c>
      <c r="H263" t="s">
        <v>44</v>
      </c>
      <c r="I263" t="s">
        <v>611</v>
      </c>
      <c r="J263" t="s">
        <v>71</v>
      </c>
      <c r="K263" s="2">
        <v>116.14</v>
      </c>
      <c r="L263">
        <v>11</v>
      </c>
      <c r="M263" t="s">
        <v>35</v>
      </c>
      <c r="N263">
        <v>1</v>
      </c>
      <c r="O263">
        <v>4</v>
      </c>
      <c r="P263">
        <v>1</v>
      </c>
      <c r="Q263" t="s">
        <v>44</v>
      </c>
      <c r="R263" t="s">
        <v>37</v>
      </c>
      <c r="S263">
        <v>0</v>
      </c>
      <c r="T263">
        <v>8</v>
      </c>
      <c r="U263" t="s">
        <v>49</v>
      </c>
      <c r="V263" t="s">
        <v>79</v>
      </c>
      <c r="W263" t="s">
        <v>39</v>
      </c>
      <c r="X263" s="3">
        <v>45555</v>
      </c>
      <c r="Y263" s="1" t="str">
        <f t="shared" si="8"/>
        <v>Sep</v>
      </c>
      <c r="Z263" s="1" t="str">
        <f t="shared" si="9"/>
        <v>2024</v>
      </c>
      <c r="AA263" t="b">
        <v>0</v>
      </c>
      <c r="AB263" t="b">
        <v>1</v>
      </c>
      <c r="AC263" t="s">
        <v>52</v>
      </c>
      <c r="AD263" t="s">
        <v>67</v>
      </c>
      <c r="AE263">
        <v>14</v>
      </c>
    </row>
    <row r="264" spans="1:31" x14ac:dyDescent="0.3">
      <c r="A264" t="s">
        <v>612</v>
      </c>
      <c r="B264">
        <v>29</v>
      </c>
      <c r="C264" t="str" cm="1">
        <f t="array" ref="C264">_xlfn.IFS(B264&lt;=18,"0-18",B264&lt;=29,"19-29",B264&gt;=49,"30-49",B264&gt;=69,"50-69",TRUE,"70+")</f>
        <v>19-29</v>
      </c>
      <c r="D264" t="s">
        <v>29</v>
      </c>
      <c r="E264" t="s">
        <v>30</v>
      </c>
      <c r="F264" t="s">
        <v>55</v>
      </c>
      <c r="G264" t="s">
        <v>56</v>
      </c>
      <c r="H264" t="s">
        <v>44</v>
      </c>
      <c r="I264" t="s">
        <v>613</v>
      </c>
      <c r="J264" t="s">
        <v>246</v>
      </c>
      <c r="K264" s="2">
        <v>483.38</v>
      </c>
      <c r="L264">
        <v>9</v>
      </c>
      <c r="M264" t="s">
        <v>78</v>
      </c>
      <c r="N264">
        <v>2</v>
      </c>
      <c r="O264">
        <v>1</v>
      </c>
      <c r="P264">
        <v>0</v>
      </c>
      <c r="Q264" t="s">
        <v>44</v>
      </c>
      <c r="R264" t="s">
        <v>37</v>
      </c>
      <c r="S264">
        <v>2</v>
      </c>
      <c r="T264">
        <v>3</v>
      </c>
      <c r="U264" t="s">
        <v>44</v>
      </c>
      <c r="V264" t="s">
        <v>79</v>
      </c>
      <c r="W264" t="s">
        <v>66</v>
      </c>
      <c r="X264" s="3">
        <v>45556</v>
      </c>
      <c r="Y264" s="1" t="str">
        <f t="shared" si="8"/>
        <v>Sep</v>
      </c>
      <c r="Z264" s="1" t="str">
        <f t="shared" si="9"/>
        <v>2024</v>
      </c>
      <c r="AA264" t="b">
        <v>0</v>
      </c>
      <c r="AB264" t="b">
        <v>1</v>
      </c>
      <c r="AC264" t="s">
        <v>40</v>
      </c>
      <c r="AD264" t="s">
        <v>53</v>
      </c>
      <c r="AE264">
        <v>8</v>
      </c>
    </row>
    <row r="265" spans="1:31" x14ac:dyDescent="0.3">
      <c r="A265" t="s">
        <v>614</v>
      </c>
      <c r="B265">
        <v>24</v>
      </c>
      <c r="C265" t="str" cm="1">
        <f t="array" ref="C265">_xlfn.IFS(B265&lt;=18,"0-18",B265&lt;=29,"19-29",B265&gt;=49,"30-49",B265&gt;=69,"50-69",TRUE,"70+")</f>
        <v>19-29</v>
      </c>
      <c r="D265" t="s">
        <v>43</v>
      </c>
      <c r="E265" t="s">
        <v>30</v>
      </c>
      <c r="F265" t="s">
        <v>55</v>
      </c>
      <c r="G265" t="s">
        <v>45</v>
      </c>
      <c r="H265" t="s">
        <v>30</v>
      </c>
      <c r="I265" t="s">
        <v>615</v>
      </c>
      <c r="J265" t="s">
        <v>142</v>
      </c>
      <c r="K265" s="2">
        <v>418.62</v>
      </c>
      <c r="L265">
        <v>9</v>
      </c>
      <c r="M265" t="s">
        <v>48</v>
      </c>
      <c r="N265">
        <v>1</v>
      </c>
      <c r="O265">
        <v>2</v>
      </c>
      <c r="P265">
        <v>0</v>
      </c>
      <c r="Q265" t="s">
        <v>59</v>
      </c>
      <c r="R265" t="s">
        <v>50</v>
      </c>
      <c r="S265">
        <v>0</v>
      </c>
      <c r="T265">
        <v>9</v>
      </c>
      <c r="U265" t="s">
        <v>36</v>
      </c>
      <c r="V265" t="s">
        <v>60</v>
      </c>
      <c r="W265" t="s">
        <v>66</v>
      </c>
      <c r="X265" s="3">
        <v>45557</v>
      </c>
      <c r="Y265" s="1" t="str">
        <f t="shared" si="8"/>
        <v>Sep</v>
      </c>
      <c r="Z265" s="1" t="str">
        <f t="shared" si="9"/>
        <v>2024</v>
      </c>
      <c r="AA265" t="b">
        <v>1</v>
      </c>
      <c r="AB265" t="b">
        <v>0</v>
      </c>
      <c r="AC265" t="s">
        <v>40</v>
      </c>
      <c r="AD265" t="s">
        <v>53</v>
      </c>
      <c r="AE265">
        <v>11</v>
      </c>
    </row>
    <row r="266" spans="1:31" x14ac:dyDescent="0.3">
      <c r="A266" t="s">
        <v>616</v>
      </c>
      <c r="B266">
        <v>33</v>
      </c>
      <c r="C266" t="str" cm="1">
        <f t="array" ref="C266">_xlfn.IFS(B266&lt;=18,"0-18",B266&lt;=29,"19-29",B266&gt;=49,"30-49",B266&gt;=69,"50-69",TRUE,"70+")</f>
        <v>70+</v>
      </c>
      <c r="D266" t="s">
        <v>29</v>
      </c>
      <c r="E266" t="s">
        <v>30</v>
      </c>
      <c r="F266" t="s">
        <v>76</v>
      </c>
      <c r="G266" t="s">
        <v>32</v>
      </c>
      <c r="H266" t="s">
        <v>30</v>
      </c>
      <c r="I266" t="s">
        <v>617</v>
      </c>
      <c r="J266" t="s">
        <v>82</v>
      </c>
      <c r="K266" s="2">
        <v>139.83000000000001</v>
      </c>
      <c r="L266">
        <v>12</v>
      </c>
      <c r="M266" t="s">
        <v>78</v>
      </c>
      <c r="N266">
        <v>2</v>
      </c>
      <c r="O266">
        <v>4</v>
      </c>
      <c r="P266">
        <v>2</v>
      </c>
      <c r="Q266" t="s">
        <v>36</v>
      </c>
      <c r="R266" t="s">
        <v>50</v>
      </c>
      <c r="S266">
        <v>0</v>
      </c>
      <c r="T266">
        <v>1</v>
      </c>
      <c r="U266" t="s">
        <v>36</v>
      </c>
      <c r="V266" t="s">
        <v>38</v>
      </c>
      <c r="W266" t="s">
        <v>86</v>
      </c>
      <c r="X266" s="3">
        <v>45558</v>
      </c>
      <c r="Y266" s="1" t="str">
        <f t="shared" si="8"/>
        <v>Sep</v>
      </c>
      <c r="Z266" s="1" t="str">
        <f t="shared" si="9"/>
        <v>2024</v>
      </c>
      <c r="AA266" t="b">
        <v>0</v>
      </c>
      <c r="AB266" t="b">
        <v>0</v>
      </c>
      <c r="AC266" t="s">
        <v>62</v>
      </c>
      <c r="AD266" t="s">
        <v>67</v>
      </c>
      <c r="AE266">
        <v>10</v>
      </c>
    </row>
    <row r="267" spans="1:31" x14ac:dyDescent="0.3">
      <c r="A267" t="s">
        <v>618</v>
      </c>
      <c r="B267">
        <v>38</v>
      </c>
      <c r="C267" t="str" cm="1">
        <f t="array" ref="C267">_xlfn.IFS(B267&lt;=18,"0-18",B267&lt;=29,"19-29",B267&gt;=49,"30-49",B267&gt;=69,"50-69",TRUE,"70+")</f>
        <v>70+</v>
      </c>
      <c r="D267" t="s">
        <v>29</v>
      </c>
      <c r="E267" t="s">
        <v>44</v>
      </c>
      <c r="F267" t="s">
        <v>31</v>
      </c>
      <c r="G267" t="s">
        <v>56</v>
      </c>
      <c r="H267" t="s">
        <v>30</v>
      </c>
      <c r="I267" t="s">
        <v>619</v>
      </c>
      <c r="J267" t="s">
        <v>135</v>
      </c>
      <c r="K267" s="2">
        <v>54.17</v>
      </c>
      <c r="L267">
        <v>4</v>
      </c>
      <c r="M267" t="s">
        <v>35</v>
      </c>
      <c r="N267">
        <v>4</v>
      </c>
      <c r="O267">
        <v>5</v>
      </c>
      <c r="P267">
        <v>0</v>
      </c>
      <c r="Q267" t="s">
        <v>49</v>
      </c>
      <c r="R267" t="s">
        <v>37</v>
      </c>
      <c r="S267">
        <v>2</v>
      </c>
      <c r="T267">
        <v>2</v>
      </c>
      <c r="U267" t="s">
        <v>49</v>
      </c>
      <c r="V267" t="s">
        <v>79</v>
      </c>
      <c r="W267" t="s">
        <v>39</v>
      </c>
      <c r="X267" s="3">
        <v>45559</v>
      </c>
      <c r="Y267" s="1" t="str">
        <f t="shared" si="8"/>
        <v>Sep</v>
      </c>
      <c r="Z267" s="1" t="str">
        <f t="shared" si="9"/>
        <v>2024</v>
      </c>
      <c r="AA267" t="b">
        <v>0</v>
      </c>
      <c r="AB267" t="b">
        <v>1</v>
      </c>
      <c r="AC267" t="s">
        <v>74</v>
      </c>
      <c r="AD267" t="s">
        <v>41</v>
      </c>
      <c r="AE267">
        <v>7</v>
      </c>
    </row>
    <row r="268" spans="1:31" x14ac:dyDescent="0.3">
      <c r="A268" t="s">
        <v>620</v>
      </c>
      <c r="B268">
        <v>47</v>
      </c>
      <c r="C268" t="str" cm="1">
        <f t="array" ref="C268">_xlfn.IFS(B268&lt;=18,"0-18",B268&lt;=29,"19-29",B268&gt;=49,"30-49",B268&gt;=69,"50-69",TRUE,"70+")</f>
        <v>70+</v>
      </c>
      <c r="D268" t="s">
        <v>43</v>
      </c>
      <c r="E268" t="s">
        <v>44</v>
      </c>
      <c r="F268" t="s">
        <v>76</v>
      </c>
      <c r="G268" t="s">
        <v>56</v>
      </c>
      <c r="H268" t="s">
        <v>44</v>
      </c>
      <c r="I268" t="s">
        <v>621</v>
      </c>
      <c r="J268" t="s">
        <v>246</v>
      </c>
      <c r="K268" s="2">
        <v>437.59</v>
      </c>
      <c r="L268">
        <v>10</v>
      </c>
      <c r="M268" t="s">
        <v>48</v>
      </c>
      <c r="N268">
        <v>1</v>
      </c>
      <c r="O268">
        <v>4</v>
      </c>
      <c r="P268">
        <v>0</v>
      </c>
      <c r="Q268" t="s">
        <v>36</v>
      </c>
      <c r="R268" t="s">
        <v>85</v>
      </c>
      <c r="S268">
        <v>0</v>
      </c>
      <c r="T268">
        <v>4</v>
      </c>
      <c r="U268" t="s">
        <v>44</v>
      </c>
      <c r="V268" t="s">
        <v>38</v>
      </c>
      <c r="W268" t="s">
        <v>39</v>
      </c>
      <c r="X268" s="3">
        <v>45560</v>
      </c>
      <c r="Y268" s="1" t="str">
        <f t="shared" si="8"/>
        <v>Sep</v>
      </c>
      <c r="Z268" s="1" t="str">
        <f t="shared" si="9"/>
        <v>2024</v>
      </c>
      <c r="AA268" t="b">
        <v>1</v>
      </c>
      <c r="AB268" t="b">
        <v>1</v>
      </c>
      <c r="AC268" t="s">
        <v>62</v>
      </c>
      <c r="AD268" t="s">
        <v>67</v>
      </c>
      <c r="AE268">
        <v>9</v>
      </c>
    </row>
    <row r="269" spans="1:31" x14ac:dyDescent="0.3">
      <c r="A269" t="s">
        <v>622</v>
      </c>
      <c r="B269">
        <v>32</v>
      </c>
      <c r="C269" t="str" cm="1">
        <f t="array" ref="C269">_xlfn.IFS(B269&lt;=18,"0-18",B269&lt;=29,"19-29",B269&gt;=49,"30-49",B269&gt;=69,"50-69",TRUE,"70+")</f>
        <v>70+</v>
      </c>
      <c r="D269" t="s">
        <v>43</v>
      </c>
      <c r="E269" t="s">
        <v>30</v>
      </c>
      <c r="F269" t="s">
        <v>69</v>
      </c>
      <c r="G269" t="s">
        <v>32</v>
      </c>
      <c r="H269" t="s">
        <v>44</v>
      </c>
      <c r="I269" t="s">
        <v>623</v>
      </c>
      <c r="J269" t="s">
        <v>107</v>
      </c>
      <c r="K269" s="2">
        <v>113.57</v>
      </c>
      <c r="L269">
        <v>5</v>
      </c>
      <c r="M269" t="s">
        <v>78</v>
      </c>
      <c r="N269">
        <v>4</v>
      </c>
      <c r="O269">
        <v>4</v>
      </c>
      <c r="P269">
        <v>2</v>
      </c>
      <c r="Q269" t="s">
        <v>49</v>
      </c>
      <c r="R269" t="s">
        <v>85</v>
      </c>
      <c r="S269">
        <v>1</v>
      </c>
      <c r="T269">
        <v>1</v>
      </c>
      <c r="U269" t="s">
        <v>44</v>
      </c>
      <c r="V269" t="s">
        <v>38</v>
      </c>
      <c r="W269" t="s">
        <v>86</v>
      </c>
      <c r="X269" s="3">
        <v>45561</v>
      </c>
      <c r="Y269" s="1" t="str">
        <f t="shared" si="8"/>
        <v>Sep</v>
      </c>
      <c r="Z269" s="1" t="str">
        <f t="shared" si="9"/>
        <v>2024</v>
      </c>
      <c r="AA269" t="b">
        <v>0</v>
      </c>
      <c r="AB269" t="b">
        <v>1</v>
      </c>
      <c r="AC269" t="s">
        <v>52</v>
      </c>
      <c r="AD269" t="s">
        <v>53</v>
      </c>
      <c r="AE269">
        <v>8</v>
      </c>
    </row>
    <row r="270" spans="1:31" x14ac:dyDescent="0.3">
      <c r="A270" t="s">
        <v>624</v>
      </c>
      <c r="B270">
        <v>21</v>
      </c>
      <c r="C270" t="str" cm="1">
        <f t="array" ref="C270">_xlfn.IFS(B270&lt;=18,"0-18",B270&lt;=29,"19-29",B270&gt;=49,"30-49",B270&gt;=69,"50-69",TRUE,"70+")</f>
        <v>19-29</v>
      </c>
      <c r="D270" t="s">
        <v>88</v>
      </c>
      <c r="E270" t="s">
        <v>44</v>
      </c>
      <c r="F270" t="s">
        <v>55</v>
      </c>
      <c r="G270" t="s">
        <v>45</v>
      </c>
      <c r="H270" t="s">
        <v>44</v>
      </c>
      <c r="I270" t="s">
        <v>625</v>
      </c>
      <c r="J270" t="s">
        <v>114</v>
      </c>
      <c r="K270" s="2">
        <v>305.54000000000002</v>
      </c>
      <c r="L270">
        <v>6</v>
      </c>
      <c r="M270" t="s">
        <v>48</v>
      </c>
      <c r="N270">
        <v>3</v>
      </c>
      <c r="O270">
        <v>5</v>
      </c>
      <c r="P270">
        <v>0</v>
      </c>
      <c r="Q270" t="s">
        <v>49</v>
      </c>
      <c r="R270" t="s">
        <v>37</v>
      </c>
      <c r="S270">
        <v>0</v>
      </c>
      <c r="T270">
        <v>5</v>
      </c>
      <c r="U270" t="s">
        <v>49</v>
      </c>
      <c r="V270" t="s">
        <v>60</v>
      </c>
      <c r="W270" t="s">
        <v>66</v>
      </c>
      <c r="X270" s="3">
        <v>45562</v>
      </c>
      <c r="Y270" s="1" t="str">
        <f t="shared" si="8"/>
        <v>Sep</v>
      </c>
      <c r="Z270" s="1" t="str">
        <f t="shared" si="9"/>
        <v>2024</v>
      </c>
      <c r="AA270" t="b">
        <v>1</v>
      </c>
      <c r="AB270" t="b">
        <v>0</v>
      </c>
      <c r="AC270" t="s">
        <v>52</v>
      </c>
      <c r="AD270" t="s">
        <v>41</v>
      </c>
      <c r="AE270">
        <v>7</v>
      </c>
    </row>
    <row r="271" spans="1:31" x14ac:dyDescent="0.3">
      <c r="A271" t="s">
        <v>626</v>
      </c>
      <c r="B271">
        <v>23</v>
      </c>
      <c r="C271" t="str" cm="1">
        <f t="array" ref="C271">_xlfn.IFS(B271&lt;=18,"0-18",B271&lt;=29,"19-29",B271&gt;=49,"30-49",B271&gt;=69,"50-69",TRUE,"70+")</f>
        <v>19-29</v>
      </c>
      <c r="D271" t="s">
        <v>29</v>
      </c>
      <c r="E271" t="s">
        <v>44</v>
      </c>
      <c r="F271" t="s">
        <v>76</v>
      </c>
      <c r="G271" t="s">
        <v>45</v>
      </c>
      <c r="H271" t="s">
        <v>44</v>
      </c>
      <c r="I271" t="s">
        <v>627</v>
      </c>
      <c r="J271" t="s">
        <v>47</v>
      </c>
      <c r="K271" s="2">
        <v>339.12</v>
      </c>
      <c r="L271">
        <v>2</v>
      </c>
      <c r="M271" t="s">
        <v>48</v>
      </c>
      <c r="N271">
        <v>4</v>
      </c>
      <c r="O271">
        <v>4</v>
      </c>
      <c r="P271">
        <v>0</v>
      </c>
      <c r="Q271" t="s">
        <v>49</v>
      </c>
      <c r="R271" t="s">
        <v>50</v>
      </c>
      <c r="S271">
        <v>0</v>
      </c>
      <c r="T271">
        <v>5</v>
      </c>
      <c r="U271" t="s">
        <v>59</v>
      </c>
      <c r="V271" t="s">
        <v>60</v>
      </c>
      <c r="W271" t="s">
        <v>51</v>
      </c>
      <c r="X271" s="3">
        <v>45563</v>
      </c>
      <c r="Y271" s="1" t="str">
        <f t="shared" si="8"/>
        <v>Sep</v>
      </c>
      <c r="Z271" s="1" t="str">
        <f t="shared" si="9"/>
        <v>2024</v>
      </c>
      <c r="AA271" t="b">
        <v>0</v>
      </c>
      <c r="AB271" t="b">
        <v>0</v>
      </c>
      <c r="AC271" t="s">
        <v>62</v>
      </c>
      <c r="AD271" t="s">
        <v>41</v>
      </c>
      <c r="AE271">
        <v>1</v>
      </c>
    </row>
    <row r="272" spans="1:31" x14ac:dyDescent="0.3">
      <c r="A272" t="s">
        <v>628</v>
      </c>
      <c r="B272">
        <v>45</v>
      </c>
      <c r="C272" t="str" cm="1">
        <f t="array" ref="C272">_xlfn.IFS(B272&lt;=18,"0-18",B272&lt;=29,"19-29",B272&gt;=49,"30-49",B272&gt;=69,"50-69",TRUE,"70+")</f>
        <v>70+</v>
      </c>
      <c r="D272" t="s">
        <v>190</v>
      </c>
      <c r="E272" t="s">
        <v>30</v>
      </c>
      <c r="F272" t="s">
        <v>76</v>
      </c>
      <c r="G272" t="s">
        <v>32</v>
      </c>
      <c r="H272" t="s">
        <v>44</v>
      </c>
      <c r="I272" t="s">
        <v>629</v>
      </c>
      <c r="J272" t="s">
        <v>246</v>
      </c>
      <c r="K272" s="2">
        <v>323.39999999999998</v>
      </c>
      <c r="L272">
        <v>11</v>
      </c>
      <c r="M272" t="s">
        <v>35</v>
      </c>
      <c r="N272">
        <v>2</v>
      </c>
      <c r="O272">
        <v>3</v>
      </c>
      <c r="P272">
        <v>2</v>
      </c>
      <c r="Q272" t="s">
        <v>59</v>
      </c>
      <c r="R272" t="s">
        <v>85</v>
      </c>
      <c r="S272">
        <v>0</v>
      </c>
      <c r="T272">
        <v>8</v>
      </c>
      <c r="U272" t="s">
        <v>36</v>
      </c>
      <c r="V272" t="s">
        <v>60</v>
      </c>
      <c r="W272" t="s">
        <v>39</v>
      </c>
      <c r="X272" s="3">
        <v>45564</v>
      </c>
      <c r="Y272" s="1" t="str">
        <f t="shared" si="8"/>
        <v>Sep</v>
      </c>
      <c r="Z272" s="1" t="str">
        <f t="shared" si="9"/>
        <v>2024</v>
      </c>
      <c r="AA272" t="b">
        <v>1</v>
      </c>
      <c r="AB272" t="b">
        <v>1</v>
      </c>
      <c r="AC272" t="s">
        <v>40</v>
      </c>
      <c r="AD272" t="s">
        <v>53</v>
      </c>
      <c r="AE272">
        <v>10</v>
      </c>
    </row>
    <row r="273" spans="1:31" x14ac:dyDescent="0.3">
      <c r="A273" t="s">
        <v>630</v>
      </c>
      <c r="B273">
        <v>24</v>
      </c>
      <c r="C273" t="str" cm="1">
        <f t="array" ref="C273">_xlfn.IFS(B273&lt;=18,"0-18",B273&lt;=29,"19-29",B273&gt;=49,"30-49",B273&gt;=69,"50-69",TRUE,"70+")</f>
        <v>19-29</v>
      </c>
      <c r="D273" t="s">
        <v>148</v>
      </c>
      <c r="E273" t="s">
        <v>30</v>
      </c>
      <c r="F273" t="s">
        <v>31</v>
      </c>
      <c r="G273" t="s">
        <v>45</v>
      </c>
      <c r="H273" t="s">
        <v>30</v>
      </c>
      <c r="I273" t="s">
        <v>631</v>
      </c>
      <c r="J273" t="s">
        <v>183</v>
      </c>
      <c r="K273" s="2">
        <v>472.61</v>
      </c>
      <c r="L273">
        <v>9</v>
      </c>
      <c r="M273" t="s">
        <v>48</v>
      </c>
      <c r="N273">
        <v>5</v>
      </c>
      <c r="O273">
        <v>5</v>
      </c>
      <c r="P273">
        <v>2</v>
      </c>
      <c r="Q273" t="s">
        <v>36</v>
      </c>
      <c r="R273" t="s">
        <v>85</v>
      </c>
      <c r="S273">
        <v>1</v>
      </c>
      <c r="T273">
        <v>4</v>
      </c>
      <c r="U273" t="s">
        <v>36</v>
      </c>
      <c r="V273" t="s">
        <v>60</v>
      </c>
      <c r="W273" t="s">
        <v>51</v>
      </c>
      <c r="X273" s="3">
        <v>45565</v>
      </c>
      <c r="Y273" s="1" t="str">
        <f t="shared" si="8"/>
        <v>Sep</v>
      </c>
      <c r="Z273" s="1" t="str">
        <f t="shared" si="9"/>
        <v>2024</v>
      </c>
      <c r="AA273" t="b">
        <v>1</v>
      </c>
      <c r="AB273" t="b">
        <v>1</v>
      </c>
      <c r="AC273" t="s">
        <v>62</v>
      </c>
      <c r="AD273" t="s">
        <v>67</v>
      </c>
      <c r="AE273">
        <v>5</v>
      </c>
    </row>
    <row r="274" spans="1:31" x14ac:dyDescent="0.3">
      <c r="A274" t="s">
        <v>632</v>
      </c>
      <c r="B274">
        <v>20</v>
      </c>
      <c r="C274" t="str" cm="1">
        <f t="array" ref="C274">_xlfn.IFS(B274&lt;=18,"0-18",B274&lt;=29,"19-29",B274&gt;=49,"30-49",B274&gt;=69,"50-69",TRUE,"70+")</f>
        <v>19-29</v>
      </c>
      <c r="D274" t="s">
        <v>29</v>
      </c>
      <c r="E274" t="s">
        <v>30</v>
      </c>
      <c r="F274" t="s">
        <v>69</v>
      </c>
      <c r="G274" t="s">
        <v>45</v>
      </c>
      <c r="H274" t="s">
        <v>30</v>
      </c>
      <c r="I274" t="s">
        <v>633</v>
      </c>
      <c r="J274" t="s">
        <v>71</v>
      </c>
      <c r="K274" s="2">
        <v>68.02</v>
      </c>
      <c r="L274">
        <v>10</v>
      </c>
      <c r="M274" t="s">
        <v>78</v>
      </c>
      <c r="N274">
        <v>3</v>
      </c>
      <c r="O274">
        <v>2</v>
      </c>
      <c r="P274">
        <v>1</v>
      </c>
      <c r="Q274" t="s">
        <v>36</v>
      </c>
      <c r="R274" t="s">
        <v>85</v>
      </c>
      <c r="S274">
        <v>1</v>
      </c>
      <c r="T274">
        <v>6</v>
      </c>
      <c r="U274" t="s">
        <v>36</v>
      </c>
      <c r="V274" t="s">
        <v>38</v>
      </c>
      <c r="W274" t="s">
        <v>39</v>
      </c>
      <c r="X274" s="3">
        <v>45566</v>
      </c>
      <c r="Y274" s="1" t="str">
        <f t="shared" si="8"/>
        <v>Oct</v>
      </c>
      <c r="Z274" s="1" t="str">
        <f t="shared" si="9"/>
        <v>2024</v>
      </c>
      <c r="AA274" t="b">
        <v>1</v>
      </c>
      <c r="AB274" t="b">
        <v>1</v>
      </c>
      <c r="AC274" t="s">
        <v>40</v>
      </c>
      <c r="AD274" t="s">
        <v>67</v>
      </c>
      <c r="AE274">
        <v>6</v>
      </c>
    </row>
    <row r="275" spans="1:31" x14ac:dyDescent="0.3">
      <c r="A275" t="s">
        <v>634</v>
      </c>
      <c r="B275">
        <v>27</v>
      </c>
      <c r="C275" t="str" cm="1">
        <f t="array" ref="C275">_xlfn.IFS(B275&lt;=18,"0-18",B275&lt;=29,"19-29",B275&gt;=49,"30-49",B275&gt;=69,"50-69",TRUE,"70+")</f>
        <v>19-29</v>
      </c>
      <c r="D275" t="s">
        <v>43</v>
      </c>
      <c r="E275" t="s">
        <v>44</v>
      </c>
      <c r="F275" t="s">
        <v>55</v>
      </c>
      <c r="G275" t="s">
        <v>56</v>
      </c>
      <c r="H275" t="s">
        <v>30</v>
      </c>
      <c r="I275" t="s">
        <v>635</v>
      </c>
      <c r="J275" t="s">
        <v>126</v>
      </c>
      <c r="K275" s="2">
        <v>199.44</v>
      </c>
      <c r="L275">
        <v>7</v>
      </c>
      <c r="M275" t="s">
        <v>78</v>
      </c>
      <c r="N275">
        <v>2</v>
      </c>
      <c r="O275">
        <v>1</v>
      </c>
      <c r="P275">
        <v>2</v>
      </c>
      <c r="Q275" t="s">
        <v>36</v>
      </c>
      <c r="R275" t="s">
        <v>85</v>
      </c>
      <c r="S275">
        <v>0</v>
      </c>
      <c r="T275">
        <v>3</v>
      </c>
      <c r="U275" t="s">
        <v>36</v>
      </c>
      <c r="V275" t="s">
        <v>38</v>
      </c>
      <c r="W275" t="s">
        <v>86</v>
      </c>
      <c r="X275" s="3">
        <v>45567</v>
      </c>
      <c r="Y275" s="1" t="str">
        <f t="shared" si="8"/>
        <v>Oct</v>
      </c>
      <c r="Z275" s="1" t="str">
        <f t="shared" si="9"/>
        <v>2024</v>
      </c>
      <c r="AA275" t="b">
        <v>0</v>
      </c>
      <c r="AB275" t="b">
        <v>1</v>
      </c>
      <c r="AC275" t="s">
        <v>40</v>
      </c>
      <c r="AD275" t="s">
        <v>53</v>
      </c>
      <c r="AE275">
        <v>1</v>
      </c>
    </row>
    <row r="276" spans="1:31" x14ac:dyDescent="0.3">
      <c r="A276" t="s">
        <v>636</v>
      </c>
      <c r="B276">
        <v>47</v>
      </c>
      <c r="C276" t="str" cm="1">
        <f t="array" ref="C276">_xlfn.IFS(B276&lt;=18,"0-18",B276&lt;=29,"19-29",B276&gt;=49,"30-49",B276&gt;=69,"50-69",TRUE,"70+")</f>
        <v>70+</v>
      </c>
      <c r="D276" t="s">
        <v>43</v>
      </c>
      <c r="E276" t="s">
        <v>44</v>
      </c>
      <c r="F276" t="s">
        <v>76</v>
      </c>
      <c r="G276" t="s">
        <v>45</v>
      </c>
      <c r="H276" t="s">
        <v>30</v>
      </c>
      <c r="I276" t="s">
        <v>637</v>
      </c>
      <c r="J276" t="s">
        <v>90</v>
      </c>
      <c r="K276" s="2">
        <v>250.73</v>
      </c>
      <c r="L276">
        <v>4</v>
      </c>
      <c r="M276" t="s">
        <v>78</v>
      </c>
      <c r="N276">
        <v>3</v>
      </c>
      <c r="O276">
        <v>2</v>
      </c>
      <c r="P276">
        <v>1</v>
      </c>
      <c r="Q276" t="s">
        <v>59</v>
      </c>
      <c r="R276" t="s">
        <v>37</v>
      </c>
      <c r="S276">
        <v>1</v>
      </c>
      <c r="T276">
        <v>10</v>
      </c>
      <c r="U276" t="s">
        <v>36</v>
      </c>
      <c r="V276" t="s">
        <v>79</v>
      </c>
      <c r="W276" t="s">
        <v>86</v>
      </c>
      <c r="X276" s="3">
        <v>45568</v>
      </c>
      <c r="Y276" s="1" t="str">
        <f t="shared" si="8"/>
        <v>Oct</v>
      </c>
      <c r="Z276" s="1" t="str">
        <f t="shared" si="9"/>
        <v>2024</v>
      </c>
      <c r="AA276" t="b">
        <v>0</v>
      </c>
      <c r="AB276" t="b">
        <v>1</v>
      </c>
      <c r="AC276" t="s">
        <v>74</v>
      </c>
      <c r="AD276" t="s">
        <v>41</v>
      </c>
      <c r="AE276">
        <v>10</v>
      </c>
    </row>
    <row r="277" spans="1:31" x14ac:dyDescent="0.3">
      <c r="A277" t="s">
        <v>638</v>
      </c>
      <c r="B277">
        <v>34</v>
      </c>
      <c r="C277" t="str" cm="1">
        <f t="array" ref="C277">_xlfn.IFS(B277&lt;=18,"0-18",B277&lt;=29,"19-29",B277&gt;=49,"30-49",B277&gt;=69,"50-69",TRUE,"70+")</f>
        <v>70+</v>
      </c>
      <c r="D277" t="s">
        <v>43</v>
      </c>
      <c r="E277" t="s">
        <v>30</v>
      </c>
      <c r="F277" t="s">
        <v>55</v>
      </c>
      <c r="G277" t="s">
        <v>45</v>
      </c>
      <c r="H277" t="s">
        <v>30</v>
      </c>
      <c r="I277" t="s">
        <v>639</v>
      </c>
      <c r="J277" t="s">
        <v>183</v>
      </c>
      <c r="K277" s="2">
        <v>372.49</v>
      </c>
      <c r="L277">
        <v>12</v>
      </c>
      <c r="M277" t="s">
        <v>78</v>
      </c>
      <c r="N277">
        <v>4</v>
      </c>
      <c r="O277">
        <v>3</v>
      </c>
      <c r="P277">
        <v>0</v>
      </c>
      <c r="Q277" t="s">
        <v>44</v>
      </c>
      <c r="R277" t="s">
        <v>85</v>
      </c>
      <c r="S277">
        <v>0</v>
      </c>
      <c r="T277">
        <v>5</v>
      </c>
      <c r="U277" t="s">
        <v>49</v>
      </c>
      <c r="V277" t="s">
        <v>79</v>
      </c>
      <c r="W277" t="s">
        <v>61</v>
      </c>
      <c r="X277" s="3">
        <v>45569</v>
      </c>
      <c r="Y277" s="1" t="str">
        <f t="shared" si="8"/>
        <v>Oct</v>
      </c>
      <c r="Z277" s="1" t="str">
        <f t="shared" si="9"/>
        <v>2024</v>
      </c>
      <c r="AA277" t="b">
        <v>1</v>
      </c>
      <c r="AB277" t="b">
        <v>0</v>
      </c>
      <c r="AC277" t="s">
        <v>74</v>
      </c>
      <c r="AD277" t="s">
        <v>41</v>
      </c>
      <c r="AE277">
        <v>7</v>
      </c>
    </row>
    <row r="278" spans="1:31" x14ac:dyDescent="0.3">
      <c r="A278" t="s">
        <v>640</v>
      </c>
      <c r="B278">
        <v>41</v>
      </c>
      <c r="C278" t="str" cm="1">
        <f t="array" ref="C278">_xlfn.IFS(B278&lt;=18,"0-18",B278&lt;=29,"19-29",B278&gt;=49,"30-49",B278&gt;=69,"50-69",TRUE,"70+")</f>
        <v>70+</v>
      </c>
      <c r="D278" t="s">
        <v>43</v>
      </c>
      <c r="E278" t="s">
        <v>44</v>
      </c>
      <c r="F278" t="s">
        <v>69</v>
      </c>
      <c r="G278" t="s">
        <v>45</v>
      </c>
      <c r="H278" t="s">
        <v>44</v>
      </c>
      <c r="I278" t="s">
        <v>641</v>
      </c>
      <c r="J278" t="s">
        <v>82</v>
      </c>
      <c r="K278" s="2">
        <v>186.85</v>
      </c>
      <c r="L278">
        <v>2</v>
      </c>
      <c r="M278" t="s">
        <v>78</v>
      </c>
      <c r="N278">
        <v>3</v>
      </c>
      <c r="O278">
        <v>1</v>
      </c>
      <c r="P278">
        <v>2</v>
      </c>
      <c r="Q278" t="s">
        <v>44</v>
      </c>
      <c r="R278" t="s">
        <v>50</v>
      </c>
      <c r="S278">
        <v>2</v>
      </c>
      <c r="T278">
        <v>8</v>
      </c>
      <c r="U278" t="s">
        <v>59</v>
      </c>
      <c r="V278" t="s">
        <v>60</v>
      </c>
      <c r="W278" t="s">
        <v>66</v>
      </c>
      <c r="X278" s="3">
        <v>45570</v>
      </c>
      <c r="Y278" s="1" t="str">
        <f t="shared" si="8"/>
        <v>Oct</v>
      </c>
      <c r="Z278" s="1" t="str">
        <f t="shared" si="9"/>
        <v>2024</v>
      </c>
      <c r="AA278" t="b">
        <v>1</v>
      </c>
      <c r="AB278" t="b">
        <v>0</v>
      </c>
      <c r="AC278" t="s">
        <v>62</v>
      </c>
      <c r="AD278" t="s">
        <v>67</v>
      </c>
      <c r="AE278">
        <v>12</v>
      </c>
    </row>
    <row r="279" spans="1:31" x14ac:dyDescent="0.3">
      <c r="A279" t="s">
        <v>642</v>
      </c>
      <c r="B279">
        <v>26</v>
      </c>
      <c r="C279" t="str" cm="1">
        <f t="array" ref="C279">_xlfn.IFS(B279&lt;=18,"0-18",B279&lt;=29,"19-29",B279&gt;=49,"30-49",B279&gt;=69,"50-69",TRUE,"70+")</f>
        <v>19-29</v>
      </c>
      <c r="D279" t="s">
        <v>43</v>
      </c>
      <c r="E279" t="s">
        <v>44</v>
      </c>
      <c r="F279" t="s">
        <v>69</v>
      </c>
      <c r="G279" t="s">
        <v>56</v>
      </c>
      <c r="H279" t="s">
        <v>30</v>
      </c>
      <c r="I279" t="s">
        <v>643</v>
      </c>
      <c r="J279" t="s">
        <v>90</v>
      </c>
      <c r="K279" s="2">
        <v>73.319999999999993</v>
      </c>
      <c r="L279">
        <v>10</v>
      </c>
      <c r="M279" t="s">
        <v>48</v>
      </c>
      <c r="N279">
        <v>5</v>
      </c>
      <c r="O279">
        <v>1</v>
      </c>
      <c r="P279">
        <v>1</v>
      </c>
      <c r="Q279" t="s">
        <v>36</v>
      </c>
      <c r="R279" t="s">
        <v>50</v>
      </c>
      <c r="S279">
        <v>1</v>
      </c>
      <c r="T279">
        <v>1</v>
      </c>
      <c r="U279" t="s">
        <v>49</v>
      </c>
      <c r="V279" t="s">
        <v>60</v>
      </c>
      <c r="W279" t="s">
        <v>61</v>
      </c>
      <c r="X279" s="3">
        <v>45571</v>
      </c>
      <c r="Y279" s="1" t="str">
        <f t="shared" si="8"/>
        <v>Oct</v>
      </c>
      <c r="Z279" s="1" t="str">
        <f t="shared" si="9"/>
        <v>2024</v>
      </c>
      <c r="AA279" t="b">
        <v>1</v>
      </c>
      <c r="AB279" t="b">
        <v>0</v>
      </c>
      <c r="AC279" t="s">
        <v>52</v>
      </c>
      <c r="AD279" t="s">
        <v>53</v>
      </c>
      <c r="AE279">
        <v>14</v>
      </c>
    </row>
    <row r="280" spans="1:31" x14ac:dyDescent="0.3">
      <c r="A280" t="s">
        <v>644</v>
      </c>
      <c r="B280">
        <v>49</v>
      </c>
      <c r="C280" t="str" cm="1">
        <f t="array" ref="C280">_xlfn.IFS(B280&lt;=18,"0-18",B280&lt;=29,"19-29",B280&gt;=49,"30-49",B280&gt;=69,"50-69",TRUE,"70+")</f>
        <v>30-49</v>
      </c>
      <c r="D280" t="s">
        <v>43</v>
      </c>
      <c r="E280" t="s">
        <v>30</v>
      </c>
      <c r="F280" t="s">
        <v>69</v>
      </c>
      <c r="G280" t="s">
        <v>32</v>
      </c>
      <c r="H280" t="s">
        <v>30</v>
      </c>
      <c r="I280" t="s">
        <v>645</v>
      </c>
      <c r="J280" t="s">
        <v>183</v>
      </c>
      <c r="K280" s="2">
        <v>214.59</v>
      </c>
      <c r="L280">
        <v>6</v>
      </c>
      <c r="M280" t="s">
        <v>78</v>
      </c>
      <c r="N280">
        <v>1</v>
      </c>
      <c r="O280">
        <v>1</v>
      </c>
      <c r="P280">
        <v>0</v>
      </c>
      <c r="Q280" t="s">
        <v>36</v>
      </c>
      <c r="R280" t="s">
        <v>37</v>
      </c>
      <c r="S280">
        <v>1</v>
      </c>
      <c r="T280">
        <v>8</v>
      </c>
      <c r="U280" t="s">
        <v>59</v>
      </c>
      <c r="V280" t="s">
        <v>38</v>
      </c>
      <c r="W280" t="s">
        <v>66</v>
      </c>
      <c r="X280" s="3">
        <v>45572</v>
      </c>
      <c r="Y280" s="1" t="str">
        <f t="shared" si="8"/>
        <v>Oct</v>
      </c>
      <c r="Z280" s="1" t="str">
        <f t="shared" si="9"/>
        <v>2024</v>
      </c>
      <c r="AA280" t="b">
        <v>1</v>
      </c>
      <c r="AB280" t="b">
        <v>0</v>
      </c>
      <c r="AC280" t="s">
        <v>52</v>
      </c>
      <c r="AD280" t="s">
        <v>53</v>
      </c>
      <c r="AE280">
        <v>9</v>
      </c>
    </row>
    <row r="281" spans="1:31" x14ac:dyDescent="0.3">
      <c r="A281" t="s">
        <v>646</v>
      </c>
      <c r="B281">
        <v>47</v>
      </c>
      <c r="C281" t="str" cm="1">
        <f t="array" ref="C281">_xlfn.IFS(B281&lt;=18,"0-18",B281&lt;=29,"19-29",B281&gt;=49,"30-49",B281&gt;=69,"50-69",TRUE,"70+")</f>
        <v>70+</v>
      </c>
      <c r="D281" t="s">
        <v>29</v>
      </c>
      <c r="E281" t="s">
        <v>30</v>
      </c>
      <c r="F281" t="s">
        <v>69</v>
      </c>
      <c r="G281" t="s">
        <v>45</v>
      </c>
      <c r="H281" t="s">
        <v>30</v>
      </c>
      <c r="I281" t="s">
        <v>647</v>
      </c>
      <c r="J281" t="s">
        <v>71</v>
      </c>
      <c r="K281" s="2">
        <v>467.32</v>
      </c>
      <c r="L281">
        <v>12</v>
      </c>
      <c r="M281" t="s">
        <v>48</v>
      </c>
      <c r="N281">
        <v>4</v>
      </c>
      <c r="O281">
        <v>4</v>
      </c>
      <c r="P281">
        <v>2</v>
      </c>
      <c r="Q281" t="s">
        <v>49</v>
      </c>
      <c r="R281" t="s">
        <v>37</v>
      </c>
      <c r="S281">
        <v>2</v>
      </c>
      <c r="T281">
        <v>4</v>
      </c>
      <c r="U281" t="s">
        <v>59</v>
      </c>
      <c r="V281" t="s">
        <v>60</v>
      </c>
      <c r="W281" t="s">
        <v>51</v>
      </c>
      <c r="X281" s="3">
        <v>45573</v>
      </c>
      <c r="Y281" s="1" t="str">
        <f t="shared" si="8"/>
        <v>Oct</v>
      </c>
      <c r="Z281" s="1" t="str">
        <f t="shared" si="9"/>
        <v>2024</v>
      </c>
      <c r="AA281" t="b">
        <v>0</v>
      </c>
      <c r="AB281" t="b">
        <v>1</v>
      </c>
      <c r="AC281" t="s">
        <v>40</v>
      </c>
      <c r="AD281" t="s">
        <v>41</v>
      </c>
      <c r="AE281">
        <v>11</v>
      </c>
    </row>
    <row r="282" spans="1:31" x14ac:dyDescent="0.3">
      <c r="A282" t="s">
        <v>648</v>
      </c>
      <c r="B282">
        <v>18</v>
      </c>
      <c r="C282" t="str" cm="1">
        <f t="array" ref="C282">_xlfn.IFS(B282&lt;=18,"0-18",B282&lt;=29,"19-29",B282&gt;=49,"30-49",B282&gt;=69,"50-69",TRUE,"70+")</f>
        <v>0-18</v>
      </c>
      <c r="D282" t="s">
        <v>43</v>
      </c>
      <c r="E282" t="s">
        <v>30</v>
      </c>
      <c r="F282" t="s">
        <v>31</v>
      </c>
      <c r="G282" t="s">
        <v>56</v>
      </c>
      <c r="H282" t="s">
        <v>30</v>
      </c>
      <c r="I282" t="s">
        <v>649</v>
      </c>
      <c r="J282" t="s">
        <v>194</v>
      </c>
      <c r="K282" s="2">
        <v>475.65</v>
      </c>
      <c r="L282">
        <v>4</v>
      </c>
      <c r="M282" t="s">
        <v>48</v>
      </c>
      <c r="N282">
        <v>4</v>
      </c>
      <c r="O282">
        <v>5</v>
      </c>
      <c r="P282">
        <v>0</v>
      </c>
      <c r="Q282" t="s">
        <v>44</v>
      </c>
      <c r="R282" t="s">
        <v>37</v>
      </c>
      <c r="S282">
        <v>2</v>
      </c>
      <c r="T282">
        <v>6</v>
      </c>
      <c r="U282" t="s">
        <v>59</v>
      </c>
      <c r="V282" t="s">
        <v>60</v>
      </c>
      <c r="W282" t="s">
        <v>51</v>
      </c>
      <c r="X282" s="3">
        <v>45574</v>
      </c>
      <c r="Y282" s="1" t="str">
        <f t="shared" si="8"/>
        <v>Oct</v>
      </c>
      <c r="Z282" s="1" t="str">
        <f t="shared" si="9"/>
        <v>2024</v>
      </c>
      <c r="AA282" t="b">
        <v>1</v>
      </c>
      <c r="AB282" t="b">
        <v>1</v>
      </c>
      <c r="AC282" t="s">
        <v>52</v>
      </c>
      <c r="AD282" t="s">
        <v>67</v>
      </c>
      <c r="AE282">
        <v>14</v>
      </c>
    </row>
    <row r="283" spans="1:31" x14ac:dyDescent="0.3">
      <c r="A283" t="s">
        <v>650</v>
      </c>
      <c r="B283">
        <v>48</v>
      </c>
      <c r="C283" t="str" cm="1">
        <f t="array" ref="C283">_xlfn.IFS(B283&lt;=18,"0-18",B283&lt;=29,"19-29",B283&gt;=49,"30-49",B283&gt;=69,"50-69",TRUE,"70+")</f>
        <v>70+</v>
      </c>
      <c r="D283" t="s">
        <v>29</v>
      </c>
      <c r="E283" t="s">
        <v>30</v>
      </c>
      <c r="F283" t="s">
        <v>69</v>
      </c>
      <c r="G283" t="s">
        <v>56</v>
      </c>
      <c r="H283" t="s">
        <v>44</v>
      </c>
      <c r="I283" t="s">
        <v>651</v>
      </c>
      <c r="J283" t="s">
        <v>101</v>
      </c>
      <c r="K283" s="2">
        <v>161.38</v>
      </c>
      <c r="L283">
        <v>11</v>
      </c>
      <c r="M283" t="s">
        <v>35</v>
      </c>
      <c r="N283">
        <v>5</v>
      </c>
      <c r="O283">
        <v>3</v>
      </c>
      <c r="P283">
        <v>0</v>
      </c>
      <c r="Q283" t="s">
        <v>36</v>
      </c>
      <c r="R283" t="s">
        <v>85</v>
      </c>
      <c r="S283">
        <v>1</v>
      </c>
      <c r="T283">
        <v>10</v>
      </c>
      <c r="U283" t="s">
        <v>44</v>
      </c>
      <c r="V283" t="s">
        <v>38</v>
      </c>
      <c r="W283" t="s">
        <v>61</v>
      </c>
      <c r="X283" s="3">
        <v>45575</v>
      </c>
      <c r="Y283" s="1" t="str">
        <f t="shared" si="8"/>
        <v>Oct</v>
      </c>
      <c r="Z283" s="1" t="str">
        <f t="shared" si="9"/>
        <v>2024</v>
      </c>
      <c r="AA283" t="b">
        <v>1</v>
      </c>
      <c r="AB283" t="b">
        <v>1</v>
      </c>
      <c r="AC283" t="s">
        <v>62</v>
      </c>
      <c r="AD283" t="s">
        <v>53</v>
      </c>
      <c r="AE283">
        <v>10</v>
      </c>
    </row>
    <row r="284" spans="1:31" x14ac:dyDescent="0.3">
      <c r="A284" t="s">
        <v>652</v>
      </c>
      <c r="B284">
        <v>19</v>
      </c>
      <c r="C284" t="str" cm="1">
        <f t="array" ref="C284">_xlfn.IFS(B284&lt;=18,"0-18",B284&lt;=29,"19-29",B284&gt;=49,"30-49",B284&gt;=69,"50-69",TRUE,"70+")</f>
        <v>19-29</v>
      </c>
      <c r="D284" t="s">
        <v>43</v>
      </c>
      <c r="E284" t="s">
        <v>30</v>
      </c>
      <c r="F284" t="s">
        <v>55</v>
      </c>
      <c r="G284" t="s">
        <v>32</v>
      </c>
      <c r="H284" t="s">
        <v>30</v>
      </c>
      <c r="I284" t="s">
        <v>653</v>
      </c>
      <c r="J284" t="s">
        <v>123</v>
      </c>
      <c r="K284" s="2">
        <v>249.78</v>
      </c>
      <c r="L284">
        <v>4</v>
      </c>
      <c r="M284" t="s">
        <v>48</v>
      </c>
      <c r="N284">
        <v>5</v>
      </c>
      <c r="O284">
        <v>4</v>
      </c>
      <c r="P284">
        <v>0</v>
      </c>
      <c r="Q284" t="s">
        <v>59</v>
      </c>
      <c r="R284" t="s">
        <v>85</v>
      </c>
      <c r="S284">
        <v>0</v>
      </c>
      <c r="T284">
        <v>1</v>
      </c>
      <c r="U284" t="s">
        <v>36</v>
      </c>
      <c r="V284" t="s">
        <v>79</v>
      </c>
      <c r="W284" t="s">
        <v>51</v>
      </c>
      <c r="X284" s="3">
        <v>45576</v>
      </c>
      <c r="Y284" s="1" t="str">
        <f t="shared" si="8"/>
        <v>Oct</v>
      </c>
      <c r="Z284" s="1" t="str">
        <f t="shared" si="9"/>
        <v>2024</v>
      </c>
      <c r="AA284" t="b">
        <v>0</v>
      </c>
      <c r="AB284" t="b">
        <v>0</v>
      </c>
      <c r="AC284" t="s">
        <v>52</v>
      </c>
      <c r="AD284" t="s">
        <v>41</v>
      </c>
      <c r="AE284">
        <v>11</v>
      </c>
    </row>
    <row r="285" spans="1:31" x14ac:dyDescent="0.3">
      <c r="A285" t="s">
        <v>654</v>
      </c>
      <c r="B285">
        <v>39</v>
      </c>
      <c r="C285" t="str" cm="1">
        <f t="array" ref="C285">_xlfn.IFS(B285&lt;=18,"0-18",B285&lt;=29,"19-29",B285&gt;=49,"30-49",B285&gt;=69,"50-69",TRUE,"70+")</f>
        <v>70+</v>
      </c>
      <c r="D285" t="s">
        <v>29</v>
      </c>
      <c r="E285" t="s">
        <v>30</v>
      </c>
      <c r="F285" t="s">
        <v>76</v>
      </c>
      <c r="G285" t="s">
        <v>45</v>
      </c>
      <c r="H285" t="s">
        <v>44</v>
      </c>
      <c r="I285" t="s">
        <v>655</v>
      </c>
      <c r="J285" t="s">
        <v>183</v>
      </c>
      <c r="K285" s="2">
        <v>149.88</v>
      </c>
      <c r="L285">
        <v>9</v>
      </c>
      <c r="M285" t="s">
        <v>35</v>
      </c>
      <c r="N285">
        <v>3</v>
      </c>
      <c r="O285">
        <v>2</v>
      </c>
      <c r="P285">
        <v>0</v>
      </c>
      <c r="Q285" t="s">
        <v>59</v>
      </c>
      <c r="R285" t="s">
        <v>37</v>
      </c>
      <c r="S285">
        <v>1</v>
      </c>
      <c r="T285">
        <v>10</v>
      </c>
      <c r="U285" t="s">
        <v>59</v>
      </c>
      <c r="V285" t="s">
        <v>60</v>
      </c>
      <c r="W285" t="s">
        <v>61</v>
      </c>
      <c r="X285" s="3">
        <v>45577</v>
      </c>
      <c r="Y285" s="1" t="str">
        <f t="shared" si="8"/>
        <v>Oct</v>
      </c>
      <c r="Z285" s="1" t="str">
        <f t="shared" si="9"/>
        <v>2024</v>
      </c>
      <c r="AA285" t="b">
        <v>0</v>
      </c>
      <c r="AB285" t="b">
        <v>0</v>
      </c>
      <c r="AC285" t="s">
        <v>62</v>
      </c>
      <c r="AD285" t="s">
        <v>53</v>
      </c>
      <c r="AE285">
        <v>4</v>
      </c>
    </row>
    <row r="286" spans="1:31" x14ac:dyDescent="0.3">
      <c r="A286" t="s">
        <v>656</v>
      </c>
      <c r="B286">
        <v>48</v>
      </c>
      <c r="C286" t="str" cm="1">
        <f t="array" ref="C286">_xlfn.IFS(B286&lt;=18,"0-18",B286&lt;=29,"19-29",B286&gt;=49,"30-49",B286&gt;=69,"50-69",TRUE,"70+")</f>
        <v>70+</v>
      </c>
      <c r="D286" t="s">
        <v>29</v>
      </c>
      <c r="E286" t="s">
        <v>44</v>
      </c>
      <c r="F286" t="s">
        <v>76</v>
      </c>
      <c r="G286" t="s">
        <v>56</v>
      </c>
      <c r="H286" t="s">
        <v>30</v>
      </c>
      <c r="I286" t="s">
        <v>657</v>
      </c>
      <c r="J286" t="s">
        <v>246</v>
      </c>
      <c r="K286" s="2">
        <v>347.09</v>
      </c>
      <c r="L286">
        <v>5</v>
      </c>
      <c r="M286" t="s">
        <v>48</v>
      </c>
      <c r="N286">
        <v>5</v>
      </c>
      <c r="O286">
        <v>2</v>
      </c>
      <c r="P286">
        <v>0</v>
      </c>
      <c r="Q286" t="s">
        <v>49</v>
      </c>
      <c r="R286" t="s">
        <v>37</v>
      </c>
      <c r="S286">
        <v>2</v>
      </c>
      <c r="T286">
        <v>1</v>
      </c>
      <c r="U286" t="s">
        <v>36</v>
      </c>
      <c r="V286" t="s">
        <v>60</v>
      </c>
      <c r="W286" t="s">
        <v>66</v>
      </c>
      <c r="X286" s="3">
        <v>45578</v>
      </c>
      <c r="Y286" s="1" t="str">
        <f t="shared" si="8"/>
        <v>Oct</v>
      </c>
      <c r="Z286" s="1" t="str">
        <f t="shared" si="9"/>
        <v>2024</v>
      </c>
      <c r="AA286" t="b">
        <v>0</v>
      </c>
      <c r="AB286" t="b">
        <v>0</v>
      </c>
      <c r="AC286" t="s">
        <v>74</v>
      </c>
      <c r="AD286" t="s">
        <v>41</v>
      </c>
      <c r="AE286">
        <v>7</v>
      </c>
    </row>
    <row r="287" spans="1:31" x14ac:dyDescent="0.3">
      <c r="A287" t="s">
        <v>658</v>
      </c>
      <c r="B287">
        <v>43</v>
      </c>
      <c r="C287" t="str" cm="1">
        <f t="array" ref="C287">_xlfn.IFS(B287&lt;=18,"0-18",B287&lt;=29,"19-29",B287&gt;=49,"30-49",B287&gt;=69,"50-69",TRUE,"70+")</f>
        <v>70+</v>
      </c>
      <c r="D287" t="s">
        <v>29</v>
      </c>
      <c r="E287" t="s">
        <v>44</v>
      </c>
      <c r="F287" t="s">
        <v>69</v>
      </c>
      <c r="G287" t="s">
        <v>56</v>
      </c>
      <c r="H287" t="s">
        <v>44</v>
      </c>
      <c r="I287" t="s">
        <v>659</v>
      </c>
      <c r="J287" t="s">
        <v>104</v>
      </c>
      <c r="K287" s="2">
        <v>345.49</v>
      </c>
      <c r="L287">
        <v>9</v>
      </c>
      <c r="M287" t="s">
        <v>35</v>
      </c>
      <c r="N287">
        <v>3</v>
      </c>
      <c r="O287">
        <v>1</v>
      </c>
      <c r="P287">
        <v>2</v>
      </c>
      <c r="Q287" t="s">
        <v>44</v>
      </c>
      <c r="R287" t="s">
        <v>50</v>
      </c>
      <c r="S287">
        <v>0</v>
      </c>
      <c r="T287">
        <v>10</v>
      </c>
      <c r="U287" t="s">
        <v>49</v>
      </c>
      <c r="V287" t="s">
        <v>38</v>
      </c>
      <c r="W287" t="s">
        <v>51</v>
      </c>
      <c r="X287" s="3">
        <v>45579</v>
      </c>
      <c r="Y287" s="1" t="str">
        <f t="shared" si="8"/>
        <v>Oct</v>
      </c>
      <c r="Z287" s="1" t="str">
        <f t="shared" si="9"/>
        <v>2024</v>
      </c>
      <c r="AA287" t="b">
        <v>1</v>
      </c>
      <c r="AB287" t="b">
        <v>0</v>
      </c>
      <c r="AC287" t="s">
        <v>62</v>
      </c>
      <c r="AD287" t="s">
        <v>67</v>
      </c>
      <c r="AE287">
        <v>3</v>
      </c>
    </row>
    <row r="288" spans="1:31" x14ac:dyDescent="0.3">
      <c r="A288" t="s">
        <v>660</v>
      </c>
      <c r="B288">
        <v>31</v>
      </c>
      <c r="C288" t="str" cm="1">
        <f t="array" ref="C288">_xlfn.IFS(B288&lt;=18,"0-18",B288&lt;=29,"19-29",B288&gt;=49,"30-49",B288&gt;=69,"50-69",TRUE,"70+")</f>
        <v>70+</v>
      </c>
      <c r="D288" t="s">
        <v>29</v>
      </c>
      <c r="E288" t="s">
        <v>44</v>
      </c>
      <c r="F288" t="s">
        <v>76</v>
      </c>
      <c r="G288" t="s">
        <v>32</v>
      </c>
      <c r="H288" t="s">
        <v>44</v>
      </c>
      <c r="I288" t="s">
        <v>661</v>
      </c>
      <c r="J288" t="s">
        <v>104</v>
      </c>
      <c r="K288" s="2">
        <v>297.24</v>
      </c>
      <c r="L288">
        <v>2</v>
      </c>
      <c r="M288" t="s">
        <v>35</v>
      </c>
      <c r="N288">
        <v>1</v>
      </c>
      <c r="O288">
        <v>4</v>
      </c>
      <c r="P288">
        <v>0</v>
      </c>
      <c r="Q288" t="s">
        <v>49</v>
      </c>
      <c r="R288" t="s">
        <v>50</v>
      </c>
      <c r="S288">
        <v>0</v>
      </c>
      <c r="T288">
        <v>9</v>
      </c>
      <c r="U288" t="s">
        <v>44</v>
      </c>
      <c r="V288" t="s">
        <v>79</v>
      </c>
      <c r="W288" t="s">
        <v>51</v>
      </c>
      <c r="X288" s="3">
        <v>45580</v>
      </c>
      <c r="Y288" s="1" t="str">
        <f t="shared" si="8"/>
        <v>Oct</v>
      </c>
      <c r="Z288" s="1" t="str">
        <f t="shared" si="9"/>
        <v>2024</v>
      </c>
      <c r="AA288" t="b">
        <v>1</v>
      </c>
      <c r="AB288" t="b">
        <v>1</v>
      </c>
      <c r="AC288" t="s">
        <v>74</v>
      </c>
      <c r="AD288" t="s">
        <v>67</v>
      </c>
      <c r="AE288">
        <v>7</v>
      </c>
    </row>
    <row r="289" spans="1:31" x14ac:dyDescent="0.3">
      <c r="A289" t="s">
        <v>662</v>
      </c>
      <c r="B289">
        <v>28</v>
      </c>
      <c r="C289" t="str" cm="1">
        <f t="array" ref="C289">_xlfn.IFS(B289&lt;=18,"0-18",B289&lt;=29,"19-29",B289&gt;=49,"30-49",B289&gt;=69,"50-69",TRUE,"70+")</f>
        <v>19-29</v>
      </c>
      <c r="D289" t="s">
        <v>29</v>
      </c>
      <c r="E289" t="s">
        <v>30</v>
      </c>
      <c r="F289" t="s">
        <v>76</v>
      </c>
      <c r="G289" t="s">
        <v>32</v>
      </c>
      <c r="H289" t="s">
        <v>44</v>
      </c>
      <c r="I289" t="s">
        <v>663</v>
      </c>
      <c r="J289" t="s">
        <v>65</v>
      </c>
      <c r="K289" s="2">
        <v>494.34</v>
      </c>
      <c r="L289">
        <v>12</v>
      </c>
      <c r="M289" t="s">
        <v>78</v>
      </c>
      <c r="N289">
        <v>5</v>
      </c>
      <c r="O289">
        <v>3</v>
      </c>
      <c r="P289">
        <v>0.25</v>
      </c>
      <c r="Q289" t="s">
        <v>44</v>
      </c>
      <c r="R289" t="s">
        <v>85</v>
      </c>
      <c r="S289">
        <v>1</v>
      </c>
      <c r="T289">
        <v>8</v>
      </c>
      <c r="U289" t="s">
        <v>59</v>
      </c>
      <c r="V289" t="s">
        <v>79</v>
      </c>
      <c r="W289" t="s">
        <v>61</v>
      </c>
      <c r="X289" s="3">
        <v>45581</v>
      </c>
      <c r="Y289" s="1" t="str">
        <f t="shared" si="8"/>
        <v>Oct</v>
      </c>
      <c r="Z289" s="1" t="str">
        <f t="shared" si="9"/>
        <v>2024</v>
      </c>
      <c r="AA289" t="b">
        <v>0</v>
      </c>
      <c r="AB289" t="b">
        <v>0</v>
      </c>
      <c r="AC289" t="s">
        <v>52</v>
      </c>
      <c r="AD289" t="s">
        <v>67</v>
      </c>
      <c r="AE289">
        <v>3</v>
      </c>
    </row>
    <row r="290" spans="1:31" x14ac:dyDescent="0.3">
      <c r="A290" t="s">
        <v>664</v>
      </c>
      <c r="B290">
        <v>29</v>
      </c>
      <c r="C290" t="str" cm="1">
        <f t="array" ref="C290">_xlfn.IFS(B290&lt;=18,"0-18",B290&lt;=29,"19-29",B290&gt;=49,"30-49",B290&gt;=69,"50-69",TRUE,"70+")</f>
        <v>19-29</v>
      </c>
      <c r="D290" t="s">
        <v>352</v>
      </c>
      <c r="E290" t="s">
        <v>30</v>
      </c>
      <c r="F290" t="s">
        <v>31</v>
      </c>
      <c r="G290" t="s">
        <v>56</v>
      </c>
      <c r="H290" t="s">
        <v>44</v>
      </c>
      <c r="I290" t="s">
        <v>665</v>
      </c>
      <c r="J290" t="s">
        <v>101</v>
      </c>
      <c r="K290" s="2">
        <v>443.52</v>
      </c>
      <c r="L290">
        <v>5</v>
      </c>
      <c r="M290" t="s">
        <v>48</v>
      </c>
      <c r="N290">
        <v>5</v>
      </c>
      <c r="O290">
        <v>3</v>
      </c>
      <c r="P290">
        <v>0</v>
      </c>
      <c r="Q290" t="s">
        <v>36</v>
      </c>
      <c r="R290" t="s">
        <v>37</v>
      </c>
      <c r="S290">
        <v>0</v>
      </c>
      <c r="T290">
        <v>7</v>
      </c>
      <c r="U290" t="s">
        <v>59</v>
      </c>
      <c r="V290" t="s">
        <v>38</v>
      </c>
      <c r="W290" t="s">
        <v>86</v>
      </c>
      <c r="X290" s="3">
        <v>45582</v>
      </c>
      <c r="Y290" s="1" t="str">
        <f t="shared" si="8"/>
        <v>Oct</v>
      </c>
      <c r="Z290" s="1" t="str">
        <f t="shared" si="9"/>
        <v>2024</v>
      </c>
      <c r="AA290" t="b">
        <v>1</v>
      </c>
      <c r="AB290" t="b">
        <v>0</v>
      </c>
      <c r="AC290" t="s">
        <v>40</v>
      </c>
      <c r="AD290" t="s">
        <v>53</v>
      </c>
      <c r="AE290">
        <v>9</v>
      </c>
    </row>
    <row r="291" spans="1:31" x14ac:dyDescent="0.3">
      <c r="A291" t="s">
        <v>666</v>
      </c>
      <c r="B291">
        <v>45</v>
      </c>
      <c r="C291" t="str" cm="1">
        <f t="array" ref="C291">_xlfn.IFS(B291&lt;=18,"0-18",B291&lt;=29,"19-29",B291&gt;=49,"30-49",B291&gt;=69,"50-69",TRUE,"70+")</f>
        <v>70+</v>
      </c>
      <c r="D291" t="s">
        <v>148</v>
      </c>
      <c r="E291" t="s">
        <v>30</v>
      </c>
      <c r="F291" t="s">
        <v>76</v>
      </c>
      <c r="G291" t="s">
        <v>45</v>
      </c>
      <c r="H291" t="s">
        <v>44</v>
      </c>
      <c r="I291" t="s">
        <v>667</v>
      </c>
      <c r="J291" t="s">
        <v>246</v>
      </c>
      <c r="K291" s="2">
        <v>457.18</v>
      </c>
      <c r="L291">
        <v>7</v>
      </c>
      <c r="M291" t="s">
        <v>48</v>
      </c>
      <c r="N291">
        <v>4</v>
      </c>
      <c r="O291">
        <v>3</v>
      </c>
      <c r="P291">
        <v>2</v>
      </c>
      <c r="Q291" t="s">
        <v>44</v>
      </c>
      <c r="R291" t="s">
        <v>85</v>
      </c>
      <c r="S291">
        <v>2</v>
      </c>
      <c r="T291">
        <v>6</v>
      </c>
      <c r="U291" t="s">
        <v>49</v>
      </c>
      <c r="V291" t="s">
        <v>60</v>
      </c>
      <c r="W291" t="s">
        <v>66</v>
      </c>
      <c r="X291" s="3">
        <v>45583</v>
      </c>
      <c r="Y291" s="1" t="str">
        <f t="shared" si="8"/>
        <v>Oct</v>
      </c>
      <c r="Z291" s="1" t="str">
        <f t="shared" si="9"/>
        <v>2024</v>
      </c>
      <c r="AA291" t="b">
        <v>1</v>
      </c>
      <c r="AB291" t="b">
        <v>1</v>
      </c>
      <c r="AC291" t="s">
        <v>52</v>
      </c>
      <c r="AD291" t="s">
        <v>67</v>
      </c>
      <c r="AE291">
        <v>10</v>
      </c>
    </row>
    <row r="292" spans="1:31" x14ac:dyDescent="0.3">
      <c r="A292" t="s">
        <v>668</v>
      </c>
      <c r="B292">
        <v>38</v>
      </c>
      <c r="C292" t="str" cm="1">
        <f t="array" ref="C292">_xlfn.IFS(B292&lt;=18,"0-18",B292&lt;=29,"19-29",B292&gt;=49,"30-49",B292&gt;=69,"50-69",TRUE,"70+")</f>
        <v>70+</v>
      </c>
      <c r="D292" t="s">
        <v>43</v>
      </c>
      <c r="E292" t="s">
        <v>30</v>
      </c>
      <c r="F292" t="s">
        <v>55</v>
      </c>
      <c r="G292" t="s">
        <v>56</v>
      </c>
      <c r="H292" t="s">
        <v>44</v>
      </c>
      <c r="I292" t="s">
        <v>669</v>
      </c>
      <c r="J292" t="s">
        <v>82</v>
      </c>
      <c r="K292" s="2">
        <v>407.88</v>
      </c>
      <c r="L292">
        <v>4</v>
      </c>
      <c r="M292" t="s">
        <v>48</v>
      </c>
      <c r="N292">
        <v>1</v>
      </c>
      <c r="O292">
        <v>3</v>
      </c>
      <c r="P292">
        <v>1</v>
      </c>
      <c r="Q292" t="s">
        <v>36</v>
      </c>
      <c r="R292" t="s">
        <v>85</v>
      </c>
      <c r="S292">
        <v>1</v>
      </c>
      <c r="T292">
        <v>10</v>
      </c>
      <c r="U292" t="s">
        <v>49</v>
      </c>
      <c r="V292" t="s">
        <v>38</v>
      </c>
      <c r="W292" t="s">
        <v>86</v>
      </c>
      <c r="X292" s="3">
        <v>45584</v>
      </c>
      <c r="Y292" s="1" t="str">
        <f t="shared" si="8"/>
        <v>Oct</v>
      </c>
      <c r="Z292" s="1" t="str">
        <f t="shared" si="9"/>
        <v>2024</v>
      </c>
      <c r="AA292" t="b">
        <v>0</v>
      </c>
      <c r="AB292" t="b">
        <v>0</v>
      </c>
      <c r="AC292" t="s">
        <v>74</v>
      </c>
      <c r="AD292" t="s">
        <v>53</v>
      </c>
      <c r="AE292">
        <v>14</v>
      </c>
    </row>
    <row r="293" spans="1:31" x14ac:dyDescent="0.3">
      <c r="A293" t="s">
        <v>670</v>
      </c>
      <c r="B293">
        <v>30</v>
      </c>
      <c r="C293" t="str" cm="1">
        <f t="array" ref="C293">_xlfn.IFS(B293&lt;=18,"0-18",B293&lt;=29,"19-29",B293&gt;=49,"30-49",B293&gt;=69,"50-69",TRUE,"70+")</f>
        <v>70+</v>
      </c>
      <c r="D293" t="s">
        <v>43</v>
      </c>
      <c r="E293" t="s">
        <v>30</v>
      </c>
      <c r="F293" t="s">
        <v>69</v>
      </c>
      <c r="G293" t="s">
        <v>32</v>
      </c>
      <c r="H293" t="s">
        <v>30</v>
      </c>
      <c r="I293" t="s">
        <v>671</v>
      </c>
      <c r="J293" t="s">
        <v>82</v>
      </c>
      <c r="K293" s="2">
        <v>448.68</v>
      </c>
      <c r="L293">
        <v>8</v>
      </c>
      <c r="M293" t="s">
        <v>48</v>
      </c>
      <c r="N293">
        <v>4</v>
      </c>
      <c r="O293">
        <v>4</v>
      </c>
      <c r="P293">
        <v>2</v>
      </c>
      <c r="Q293" t="s">
        <v>44</v>
      </c>
      <c r="R293" t="s">
        <v>37</v>
      </c>
      <c r="S293">
        <v>1</v>
      </c>
      <c r="T293">
        <v>3</v>
      </c>
      <c r="U293" t="s">
        <v>49</v>
      </c>
      <c r="V293" t="s">
        <v>38</v>
      </c>
      <c r="W293" t="s">
        <v>61</v>
      </c>
      <c r="X293" s="3">
        <v>45585</v>
      </c>
      <c r="Y293" s="1" t="str">
        <f t="shared" si="8"/>
        <v>Oct</v>
      </c>
      <c r="Z293" s="1" t="str">
        <f t="shared" si="9"/>
        <v>2024</v>
      </c>
      <c r="AA293" t="b">
        <v>1</v>
      </c>
      <c r="AB293" t="b">
        <v>0</v>
      </c>
      <c r="AC293" t="s">
        <v>52</v>
      </c>
      <c r="AD293" t="s">
        <v>67</v>
      </c>
      <c r="AE293">
        <v>8</v>
      </c>
    </row>
    <row r="294" spans="1:31" x14ac:dyDescent="0.3">
      <c r="A294" t="s">
        <v>672</v>
      </c>
      <c r="B294">
        <v>40</v>
      </c>
      <c r="C294" t="str" cm="1">
        <f t="array" ref="C294">_xlfn.IFS(B294&lt;=18,"0-18",B294&lt;=29,"19-29",B294&gt;=49,"30-49",B294&gt;=69,"50-69",TRUE,"70+")</f>
        <v>70+</v>
      </c>
      <c r="D294" t="s">
        <v>29</v>
      </c>
      <c r="E294" t="s">
        <v>44</v>
      </c>
      <c r="F294" t="s">
        <v>69</v>
      </c>
      <c r="G294" t="s">
        <v>32</v>
      </c>
      <c r="H294" t="s">
        <v>44</v>
      </c>
      <c r="I294" t="s">
        <v>673</v>
      </c>
      <c r="J294" t="s">
        <v>117</v>
      </c>
      <c r="K294" s="2">
        <v>255.96</v>
      </c>
      <c r="L294">
        <v>7</v>
      </c>
      <c r="M294" t="s">
        <v>78</v>
      </c>
      <c r="N294">
        <v>5</v>
      </c>
      <c r="O294">
        <v>1</v>
      </c>
      <c r="P294">
        <v>1</v>
      </c>
      <c r="Q294" t="s">
        <v>44</v>
      </c>
      <c r="R294" t="s">
        <v>85</v>
      </c>
      <c r="S294">
        <v>0</v>
      </c>
      <c r="T294">
        <v>10</v>
      </c>
      <c r="U294" t="s">
        <v>36</v>
      </c>
      <c r="V294" t="s">
        <v>38</v>
      </c>
      <c r="W294" t="s">
        <v>86</v>
      </c>
      <c r="X294" s="3">
        <v>45586</v>
      </c>
      <c r="Y294" s="1" t="str">
        <f t="shared" si="8"/>
        <v>Oct</v>
      </c>
      <c r="Z294" s="1" t="str">
        <f t="shared" si="9"/>
        <v>2024</v>
      </c>
      <c r="AA294" t="b">
        <v>0</v>
      </c>
      <c r="AB294" t="b">
        <v>0</v>
      </c>
      <c r="AC294" t="s">
        <v>40</v>
      </c>
      <c r="AD294" t="s">
        <v>41</v>
      </c>
      <c r="AE294">
        <v>13</v>
      </c>
    </row>
    <row r="295" spans="1:31" x14ac:dyDescent="0.3">
      <c r="A295" t="s">
        <v>674</v>
      </c>
      <c r="B295">
        <v>45</v>
      </c>
      <c r="C295" t="str" cm="1">
        <f t="array" ref="C295">_xlfn.IFS(B295&lt;=18,"0-18",B295&lt;=29,"19-29",B295&gt;=49,"30-49",B295&gt;=69,"50-69",TRUE,"70+")</f>
        <v>70+</v>
      </c>
      <c r="D295" t="s">
        <v>43</v>
      </c>
      <c r="E295" t="s">
        <v>30</v>
      </c>
      <c r="F295" t="s">
        <v>31</v>
      </c>
      <c r="G295" t="s">
        <v>45</v>
      </c>
      <c r="H295" t="s">
        <v>44</v>
      </c>
      <c r="I295" t="s">
        <v>675</v>
      </c>
      <c r="J295" t="s">
        <v>98</v>
      </c>
      <c r="K295" s="2">
        <v>146.07</v>
      </c>
      <c r="L295">
        <v>7</v>
      </c>
      <c r="M295" t="s">
        <v>48</v>
      </c>
      <c r="N295">
        <v>4</v>
      </c>
      <c r="O295">
        <v>2</v>
      </c>
      <c r="P295">
        <v>1</v>
      </c>
      <c r="Q295" t="s">
        <v>59</v>
      </c>
      <c r="R295" t="s">
        <v>85</v>
      </c>
      <c r="S295">
        <v>1</v>
      </c>
      <c r="T295">
        <v>6</v>
      </c>
      <c r="U295" t="s">
        <v>36</v>
      </c>
      <c r="V295" t="s">
        <v>38</v>
      </c>
      <c r="W295" t="s">
        <v>39</v>
      </c>
      <c r="X295" s="3">
        <v>45587</v>
      </c>
      <c r="Y295" s="1" t="str">
        <f t="shared" si="8"/>
        <v>Oct</v>
      </c>
      <c r="Z295" s="1" t="str">
        <f t="shared" si="9"/>
        <v>2024</v>
      </c>
      <c r="AA295" t="b">
        <v>1</v>
      </c>
      <c r="AB295" t="b">
        <v>1</v>
      </c>
      <c r="AC295" t="s">
        <v>40</v>
      </c>
      <c r="AD295" t="s">
        <v>53</v>
      </c>
      <c r="AE295">
        <v>1</v>
      </c>
    </row>
    <row r="296" spans="1:31" x14ac:dyDescent="0.3">
      <c r="A296" t="s">
        <v>676</v>
      </c>
      <c r="B296">
        <v>44</v>
      </c>
      <c r="C296" t="str" cm="1">
        <f t="array" ref="C296">_xlfn.IFS(B296&lt;=18,"0-18",B296&lt;=29,"19-29",B296&gt;=49,"30-49",B296&gt;=69,"50-69",TRUE,"70+")</f>
        <v>70+</v>
      </c>
      <c r="D296" t="s">
        <v>29</v>
      </c>
      <c r="E296" t="s">
        <v>44</v>
      </c>
      <c r="F296" t="s">
        <v>55</v>
      </c>
      <c r="G296" t="s">
        <v>45</v>
      </c>
      <c r="H296" t="s">
        <v>30</v>
      </c>
      <c r="I296" t="s">
        <v>677</v>
      </c>
      <c r="J296" t="s">
        <v>142</v>
      </c>
      <c r="K296" s="2">
        <v>311.89999999999998</v>
      </c>
      <c r="L296">
        <v>4</v>
      </c>
      <c r="M296" t="s">
        <v>48</v>
      </c>
      <c r="N296">
        <v>2</v>
      </c>
      <c r="O296">
        <v>4</v>
      </c>
      <c r="P296">
        <v>2</v>
      </c>
      <c r="Q296" t="s">
        <v>59</v>
      </c>
      <c r="R296" t="s">
        <v>85</v>
      </c>
      <c r="S296">
        <v>0</v>
      </c>
      <c r="T296">
        <v>6</v>
      </c>
      <c r="U296" t="s">
        <v>44</v>
      </c>
      <c r="V296" t="s">
        <v>60</v>
      </c>
      <c r="W296" t="s">
        <v>39</v>
      </c>
      <c r="X296" s="3">
        <v>45588</v>
      </c>
      <c r="Y296" s="1" t="str">
        <f t="shared" si="8"/>
        <v>Oct</v>
      </c>
      <c r="Z296" s="1" t="str">
        <f t="shared" si="9"/>
        <v>2024</v>
      </c>
      <c r="AA296" t="b">
        <v>0</v>
      </c>
      <c r="AB296" t="b">
        <v>1</v>
      </c>
      <c r="AC296" t="s">
        <v>74</v>
      </c>
      <c r="AD296" t="s">
        <v>41</v>
      </c>
      <c r="AE296">
        <v>2</v>
      </c>
    </row>
    <row r="297" spans="1:31" x14ac:dyDescent="0.3">
      <c r="A297" t="s">
        <v>678</v>
      </c>
      <c r="B297">
        <v>38</v>
      </c>
      <c r="C297" t="str" cm="1">
        <f t="array" ref="C297">_xlfn.IFS(B297&lt;=18,"0-18",B297&lt;=29,"19-29",B297&gt;=49,"30-49",B297&gt;=69,"50-69",TRUE,"70+")</f>
        <v>70+</v>
      </c>
      <c r="D297" t="s">
        <v>29</v>
      </c>
      <c r="E297" t="s">
        <v>30</v>
      </c>
      <c r="F297" t="s">
        <v>69</v>
      </c>
      <c r="G297" t="s">
        <v>45</v>
      </c>
      <c r="H297" t="s">
        <v>30</v>
      </c>
      <c r="I297" t="s">
        <v>679</v>
      </c>
      <c r="J297" t="s">
        <v>34</v>
      </c>
      <c r="K297" s="2">
        <v>301.60000000000002</v>
      </c>
      <c r="L297">
        <v>4</v>
      </c>
      <c r="M297" t="s">
        <v>35</v>
      </c>
      <c r="N297">
        <v>4</v>
      </c>
      <c r="O297">
        <v>5</v>
      </c>
      <c r="P297">
        <v>1</v>
      </c>
      <c r="Q297" t="s">
        <v>59</v>
      </c>
      <c r="R297" t="s">
        <v>50</v>
      </c>
      <c r="S297">
        <v>2</v>
      </c>
      <c r="T297">
        <v>10</v>
      </c>
      <c r="U297" t="s">
        <v>44</v>
      </c>
      <c r="V297" t="s">
        <v>79</v>
      </c>
      <c r="W297" t="s">
        <v>39</v>
      </c>
      <c r="X297" s="3">
        <v>45589</v>
      </c>
      <c r="Y297" s="1" t="str">
        <f t="shared" si="8"/>
        <v>Oct</v>
      </c>
      <c r="Z297" s="1" t="str">
        <f t="shared" si="9"/>
        <v>2024</v>
      </c>
      <c r="AA297" t="b">
        <v>0</v>
      </c>
      <c r="AB297" t="b">
        <v>0</v>
      </c>
      <c r="AC297" t="s">
        <v>62</v>
      </c>
      <c r="AD297" t="s">
        <v>53</v>
      </c>
      <c r="AE297">
        <v>13</v>
      </c>
    </row>
    <row r="298" spans="1:31" x14ac:dyDescent="0.3">
      <c r="A298" t="s">
        <v>680</v>
      </c>
      <c r="B298">
        <v>23</v>
      </c>
      <c r="C298" t="str" cm="1">
        <f t="array" ref="C298">_xlfn.IFS(B298&lt;=18,"0-18",B298&lt;=29,"19-29",B298&gt;=49,"30-49",B298&gt;=69,"50-69",TRUE,"70+")</f>
        <v>19-29</v>
      </c>
      <c r="D298" t="s">
        <v>212</v>
      </c>
      <c r="E298" t="s">
        <v>30</v>
      </c>
      <c r="F298" t="s">
        <v>69</v>
      </c>
      <c r="G298" t="s">
        <v>32</v>
      </c>
      <c r="H298" t="s">
        <v>44</v>
      </c>
      <c r="I298" t="s">
        <v>681</v>
      </c>
      <c r="J298" t="s">
        <v>120</v>
      </c>
      <c r="K298" s="2">
        <v>297.45</v>
      </c>
      <c r="L298">
        <v>3</v>
      </c>
      <c r="M298" t="s">
        <v>35</v>
      </c>
      <c r="N298">
        <v>1</v>
      </c>
      <c r="O298">
        <v>5</v>
      </c>
      <c r="P298">
        <v>0</v>
      </c>
      <c r="Q298" t="s">
        <v>49</v>
      </c>
      <c r="R298" t="s">
        <v>85</v>
      </c>
      <c r="S298">
        <v>0</v>
      </c>
      <c r="T298">
        <v>7</v>
      </c>
      <c r="U298" t="s">
        <v>59</v>
      </c>
      <c r="V298" t="s">
        <v>38</v>
      </c>
      <c r="W298" t="s">
        <v>61</v>
      </c>
      <c r="X298" s="3">
        <v>45590</v>
      </c>
      <c r="Y298" s="1" t="str">
        <f t="shared" si="8"/>
        <v>Oct</v>
      </c>
      <c r="Z298" s="1" t="str">
        <f t="shared" si="9"/>
        <v>2024</v>
      </c>
      <c r="AA298" t="b">
        <v>0</v>
      </c>
      <c r="AB298" t="b">
        <v>0</v>
      </c>
      <c r="AC298" t="s">
        <v>74</v>
      </c>
      <c r="AD298" t="s">
        <v>41</v>
      </c>
      <c r="AE298">
        <v>4</v>
      </c>
    </row>
    <row r="299" spans="1:31" x14ac:dyDescent="0.3">
      <c r="A299" t="s">
        <v>682</v>
      </c>
      <c r="B299">
        <v>30</v>
      </c>
      <c r="C299" t="str" cm="1">
        <f t="array" ref="C299">_xlfn.IFS(B299&lt;=18,"0-18",B299&lt;=29,"19-29",B299&gt;=49,"30-49",B299&gt;=69,"50-69",TRUE,"70+")</f>
        <v>70+</v>
      </c>
      <c r="D299" t="s">
        <v>352</v>
      </c>
      <c r="E299" t="s">
        <v>44</v>
      </c>
      <c r="F299" t="s">
        <v>69</v>
      </c>
      <c r="G299" t="s">
        <v>32</v>
      </c>
      <c r="H299" t="s">
        <v>44</v>
      </c>
      <c r="I299" t="s">
        <v>683</v>
      </c>
      <c r="J299" t="s">
        <v>90</v>
      </c>
      <c r="K299" s="2">
        <v>157.26</v>
      </c>
      <c r="L299">
        <v>3</v>
      </c>
      <c r="M299" t="s">
        <v>78</v>
      </c>
      <c r="N299">
        <v>1</v>
      </c>
      <c r="O299">
        <v>3</v>
      </c>
      <c r="P299">
        <v>1</v>
      </c>
      <c r="Q299" t="s">
        <v>49</v>
      </c>
      <c r="R299" t="s">
        <v>50</v>
      </c>
      <c r="S299">
        <v>1</v>
      </c>
      <c r="T299">
        <v>1</v>
      </c>
      <c r="U299" t="s">
        <v>36</v>
      </c>
      <c r="V299" t="s">
        <v>79</v>
      </c>
      <c r="W299" t="s">
        <v>86</v>
      </c>
      <c r="X299" s="3">
        <v>45591</v>
      </c>
      <c r="Y299" s="1" t="str">
        <f t="shared" si="8"/>
        <v>Oct</v>
      </c>
      <c r="Z299" s="1" t="str">
        <f t="shared" si="9"/>
        <v>2024</v>
      </c>
      <c r="AA299" t="b">
        <v>0</v>
      </c>
      <c r="AB299" t="b">
        <v>0</v>
      </c>
      <c r="AC299" t="s">
        <v>40</v>
      </c>
      <c r="AD299" t="s">
        <v>53</v>
      </c>
      <c r="AE299">
        <v>8</v>
      </c>
    </row>
    <row r="300" spans="1:31" x14ac:dyDescent="0.3">
      <c r="A300" t="s">
        <v>684</v>
      </c>
      <c r="B300">
        <v>42</v>
      </c>
      <c r="C300" t="str" cm="1">
        <f t="array" ref="C300">_xlfn.IFS(B300&lt;=18,"0-18",B300&lt;=29,"19-29",B300&gt;=49,"30-49",B300&gt;=69,"50-69",TRUE,"70+")</f>
        <v>70+</v>
      </c>
      <c r="D300" t="s">
        <v>43</v>
      </c>
      <c r="E300" t="s">
        <v>44</v>
      </c>
      <c r="F300" t="s">
        <v>69</v>
      </c>
      <c r="G300" t="s">
        <v>56</v>
      </c>
      <c r="H300" t="s">
        <v>30</v>
      </c>
      <c r="I300" t="s">
        <v>685</v>
      </c>
      <c r="J300" t="s">
        <v>142</v>
      </c>
      <c r="K300" s="2">
        <v>239.46</v>
      </c>
      <c r="L300">
        <v>3</v>
      </c>
      <c r="M300" t="s">
        <v>35</v>
      </c>
      <c r="N300">
        <v>3</v>
      </c>
      <c r="O300">
        <v>1</v>
      </c>
      <c r="P300">
        <v>0</v>
      </c>
      <c r="Q300" t="s">
        <v>59</v>
      </c>
      <c r="R300" t="s">
        <v>50</v>
      </c>
      <c r="S300">
        <v>2</v>
      </c>
      <c r="T300">
        <v>8</v>
      </c>
      <c r="U300" t="s">
        <v>44</v>
      </c>
      <c r="V300" t="s">
        <v>79</v>
      </c>
      <c r="W300" t="s">
        <v>66</v>
      </c>
      <c r="X300" s="3">
        <v>45592</v>
      </c>
      <c r="Y300" s="1" t="str">
        <f t="shared" si="8"/>
        <v>Oct</v>
      </c>
      <c r="Z300" s="1" t="str">
        <f t="shared" si="9"/>
        <v>2024</v>
      </c>
      <c r="AA300" t="b">
        <v>1</v>
      </c>
      <c r="AB300" t="b">
        <v>1</v>
      </c>
      <c r="AC300" t="s">
        <v>74</v>
      </c>
      <c r="AD300" t="s">
        <v>53</v>
      </c>
      <c r="AE300">
        <v>7</v>
      </c>
    </row>
    <row r="301" spans="1:31" x14ac:dyDescent="0.3">
      <c r="A301" t="s">
        <v>686</v>
      </c>
      <c r="B301">
        <v>28</v>
      </c>
      <c r="C301" t="str" cm="1">
        <f t="array" ref="C301">_xlfn.IFS(B301&lt;=18,"0-18",B301&lt;=29,"19-29",B301&gt;=49,"30-49",B301&gt;=69,"50-69",TRUE,"70+")</f>
        <v>19-29</v>
      </c>
      <c r="D301" t="s">
        <v>29</v>
      </c>
      <c r="E301" t="s">
        <v>44</v>
      </c>
      <c r="F301" t="s">
        <v>69</v>
      </c>
      <c r="G301" t="s">
        <v>45</v>
      </c>
      <c r="H301" t="s">
        <v>44</v>
      </c>
      <c r="I301" t="s">
        <v>687</v>
      </c>
      <c r="J301" t="s">
        <v>34</v>
      </c>
      <c r="K301" s="2">
        <v>240.82</v>
      </c>
      <c r="L301">
        <v>10</v>
      </c>
      <c r="M301" t="s">
        <v>35</v>
      </c>
      <c r="N301">
        <v>1</v>
      </c>
      <c r="O301">
        <v>3</v>
      </c>
      <c r="P301">
        <v>2</v>
      </c>
      <c r="Q301" t="s">
        <v>44</v>
      </c>
      <c r="R301" t="s">
        <v>37</v>
      </c>
      <c r="S301">
        <v>0</v>
      </c>
      <c r="T301">
        <v>3</v>
      </c>
      <c r="U301" t="s">
        <v>49</v>
      </c>
      <c r="V301" t="s">
        <v>38</v>
      </c>
      <c r="W301" t="s">
        <v>51</v>
      </c>
      <c r="X301" s="3">
        <v>45593</v>
      </c>
      <c r="Y301" s="1" t="str">
        <f t="shared" si="8"/>
        <v>Oct</v>
      </c>
      <c r="Z301" s="1" t="str">
        <f t="shared" si="9"/>
        <v>2024</v>
      </c>
      <c r="AA301" t="b">
        <v>1</v>
      </c>
      <c r="AB301" t="b">
        <v>0</v>
      </c>
      <c r="AC301" t="s">
        <v>74</v>
      </c>
      <c r="AD301" t="s">
        <v>41</v>
      </c>
      <c r="AE301">
        <v>8</v>
      </c>
    </row>
    <row r="302" spans="1:31" x14ac:dyDescent="0.3">
      <c r="A302" t="s">
        <v>688</v>
      </c>
      <c r="B302">
        <v>44</v>
      </c>
      <c r="C302" t="str" cm="1">
        <f t="array" ref="C302">_xlfn.IFS(B302&lt;=18,"0-18",B302&lt;=29,"19-29",B302&gt;=49,"30-49",B302&gt;=69,"50-69",TRUE,"70+")</f>
        <v>70+</v>
      </c>
      <c r="D302" t="s">
        <v>29</v>
      </c>
      <c r="E302" t="s">
        <v>30</v>
      </c>
      <c r="F302" t="s">
        <v>55</v>
      </c>
      <c r="G302" t="s">
        <v>56</v>
      </c>
      <c r="H302" t="s">
        <v>44</v>
      </c>
      <c r="I302" t="s">
        <v>689</v>
      </c>
      <c r="J302" t="s">
        <v>90</v>
      </c>
      <c r="K302" s="2">
        <v>302.07</v>
      </c>
      <c r="L302">
        <v>6</v>
      </c>
      <c r="M302" t="s">
        <v>35</v>
      </c>
      <c r="N302">
        <v>1</v>
      </c>
      <c r="O302">
        <v>5</v>
      </c>
      <c r="P302">
        <v>1</v>
      </c>
      <c r="Q302" t="s">
        <v>49</v>
      </c>
      <c r="R302" t="s">
        <v>50</v>
      </c>
      <c r="S302">
        <v>2</v>
      </c>
      <c r="T302">
        <v>5</v>
      </c>
      <c r="U302" t="s">
        <v>49</v>
      </c>
      <c r="V302" t="s">
        <v>79</v>
      </c>
      <c r="W302" t="s">
        <v>66</v>
      </c>
      <c r="X302" s="3">
        <v>45594</v>
      </c>
      <c r="Y302" s="1" t="str">
        <f t="shared" si="8"/>
        <v>Oct</v>
      </c>
      <c r="Z302" s="1" t="str">
        <f t="shared" si="9"/>
        <v>2024</v>
      </c>
      <c r="AA302" t="b">
        <v>1</v>
      </c>
      <c r="AB302" t="b">
        <v>0</v>
      </c>
      <c r="AC302" t="s">
        <v>74</v>
      </c>
      <c r="AD302" t="s">
        <v>67</v>
      </c>
      <c r="AE302">
        <v>13</v>
      </c>
    </row>
    <row r="303" spans="1:31" x14ac:dyDescent="0.3">
      <c r="A303" t="s">
        <v>690</v>
      </c>
      <c r="B303">
        <v>45</v>
      </c>
      <c r="C303" t="str" cm="1">
        <f t="array" ref="C303">_xlfn.IFS(B303&lt;=18,"0-18",B303&lt;=29,"19-29",B303&gt;=49,"30-49",B303&gt;=69,"50-69",TRUE,"70+")</f>
        <v>70+</v>
      </c>
      <c r="D303" t="s">
        <v>43</v>
      </c>
      <c r="E303" t="s">
        <v>30</v>
      </c>
      <c r="F303" t="s">
        <v>69</v>
      </c>
      <c r="G303" t="s">
        <v>32</v>
      </c>
      <c r="H303" t="s">
        <v>30</v>
      </c>
      <c r="I303" t="s">
        <v>691</v>
      </c>
      <c r="J303" t="s">
        <v>120</v>
      </c>
      <c r="K303" s="2">
        <v>367.99</v>
      </c>
      <c r="L303">
        <v>2</v>
      </c>
      <c r="M303" t="s">
        <v>78</v>
      </c>
      <c r="N303">
        <v>2</v>
      </c>
      <c r="O303">
        <v>5</v>
      </c>
      <c r="P303">
        <v>1</v>
      </c>
      <c r="Q303" t="s">
        <v>36</v>
      </c>
      <c r="R303" t="s">
        <v>50</v>
      </c>
      <c r="S303">
        <v>2</v>
      </c>
      <c r="T303">
        <v>2</v>
      </c>
      <c r="U303" t="s">
        <v>44</v>
      </c>
      <c r="V303" t="s">
        <v>60</v>
      </c>
      <c r="W303" t="s">
        <v>61</v>
      </c>
      <c r="X303" s="3">
        <v>45595</v>
      </c>
      <c r="Y303" s="1" t="str">
        <f t="shared" si="8"/>
        <v>Oct</v>
      </c>
      <c r="Z303" s="1" t="str">
        <f t="shared" si="9"/>
        <v>2024</v>
      </c>
      <c r="AA303" t="b">
        <v>0</v>
      </c>
      <c r="AB303" t="b">
        <v>0</v>
      </c>
      <c r="AC303" t="s">
        <v>74</v>
      </c>
      <c r="AD303" t="s">
        <v>67</v>
      </c>
      <c r="AE303">
        <v>8</v>
      </c>
    </row>
    <row r="304" spans="1:31" x14ac:dyDescent="0.3">
      <c r="A304" t="s">
        <v>692</v>
      </c>
      <c r="B304">
        <v>46</v>
      </c>
      <c r="C304" t="str" cm="1">
        <f t="array" ref="C304">_xlfn.IFS(B304&lt;=18,"0-18",B304&lt;=29,"19-29",B304&gt;=49,"30-49",B304&gt;=69,"50-69",TRUE,"70+")</f>
        <v>70+</v>
      </c>
      <c r="D304" t="s">
        <v>29</v>
      </c>
      <c r="E304" t="s">
        <v>44</v>
      </c>
      <c r="F304" t="s">
        <v>31</v>
      </c>
      <c r="G304" t="s">
        <v>56</v>
      </c>
      <c r="H304" t="s">
        <v>30</v>
      </c>
      <c r="I304" t="s">
        <v>693</v>
      </c>
      <c r="J304" t="s">
        <v>158</v>
      </c>
      <c r="K304" s="2">
        <v>359.75</v>
      </c>
      <c r="L304">
        <v>7</v>
      </c>
      <c r="M304" t="s">
        <v>48</v>
      </c>
      <c r="N304">
        <v>5</v>
      </c>
      <c r="O304">
        <v>1</v>
      </c>
      <c r="P304">
        <v>1</v>
      </c>
      <c r="Q304" t="s">
        <v>44</v>
      </c>
      <c r="R304" t="s">
        <v>50</v>
      </c>
      <c r="S304">
        <v>1</v>
      </c>
      <c r="T304">
        <v>6</v>
      </c>
      <c r="U304" t="s">
        <v>59</v>
      </c>
      <c r="V304" t="s">
        <v>38</v>
      </c>
      <c r="W304" t="s">
        <v>66</v>
      </c>
      <c r="X304" s="3">
        <v>45596</v>
      </c>
      <c r="Y304" s="1" t="str">
        <f t="shared" si="8"/>
        <v>Oct</v>
      </c>
      <c r="Z304" s="1" t="str">
        <f t="shared" si="9"/>
        <v>2024</v>
      </c>
      <c r="AA304" t="b">
        <v>0</v>
      </c>
      <c r="AB304" t="b">
        <v>0</v>
      </c>
      <c r="AC304" t="s">
        <v>52</v>
      </c>
      <c r="AD304" t="s">
        <v>53</v>
      </c>
      <c r="AE304">
        <v>3</v>
      </c>
    </row>
    <row r="305" spans="1:31" x14ac:dyDescent="0.3">
      <c r="A305" t="s">
        <v>694</v>
      </c>
      <c r="B305">
        <v>28</v>
      </c>
      <c r="C305" t="str" cm="1">
        <f t="array" ref="C305">_xlfn.IFS(B305&lt;=18,"0-18",B305&lt;=29,"19-29",B305&gt;=49,"30-49",B305&gt;=69,"50-69",TRUE,"70+")</f>
        <v>19-29</v>
      </c>
      <c r="D305" t="s">
        <v>29</v>
      </c>
      <c r="E305" t="s">
        <v>30</v>
      </c>
      <c r="F305" t="s">
        <v>76</v>
      </c>
      <c r="G305" t="s">
        <v>32</v>
      </c>
      <c r="H305" t="s">
        <v>44</v>
      </c>
      <c r="I305" t="s">
        <v>695</v>
      </c>
      <c r="J305" t="s">
        <v>114</v>
      </c>
      <c r="K305" s="2">
        <v>204.44</v>
      </c>
      <c r="L305">
        <v>2</v>
      </c>
      <c r="M305" t="s">
        <v>35</v>
      </c>
      <c r="N305">
        <v>5</v>
      </c>
      <c r="O305">
        <v>3</v>
      </c>
      <c r="P305">
        <v>2</v>
      </c>
      <c r="Q305" t="s">
        <v>36</v>
      </c>
      <c r="R305" t="s">
        <v>37</v>
      </c>
      <c r="S305">
        <v>1</v>
      </c>
      <c r="T305">
        <v>3</v>
      </c>
      <c r="U305" t="s">
        <v>44</v>
      </c>
      <c r="V305" t="s">
        <v>79</v>
      </c>
      <c r="W305" t="s">
        <v>61</v>
      </c>
      <c r="X305" s="3">
        <v>45597</v>
      </c>
      <c r="Y305" s="1" t="str">
        <f t="shared" si="8"/>
        <v>Nov</v>
      </c>
      <c r="Z305" s="1" t="str">
        <f t="shared" si="9"/>
        <v>2024</v>
      </c>
      <c r="AA305" t="b">
        <v>0</v>
      </c>
      <c r="AB305" t="b">
        <v>1</v>
      </c>
      <c r="AC305" t="s">
        <v>62</v>
      </c>
      <c r="AD305" t="s">
        <v>53</v>
      </c>
      <c r="AE305">
        <v>13</v>
      </c>
    </row>
    <row r="306" spans="1:31" x14ac:dyDescent="0.3">
      <c r="A306" t="s">
        <v>696</v>
      </c>
      <c r="B306">
        <v>27</v>
      </c>
      <c r="C306" t="str" cm="1">
        <f t="array" ref="C306">_xlfn.IFS(B306&lt;=18,"0-18",B306&lt;=29,"19-29",B306&gt;=49,"30-49",B306&gt;=69,"50-69",TRUE,"70+")</f>
        <v>19-29</v>
      </c>
      <c r="D306" t="s">
        <v>43</v>
      </c>
      <c r="E306" t="s">
        <v>44</v>
      </c>
      <c r="F306" t="s">
        <v>55</v>
      </c>
      <c r="G306" t="s">
        <v>56</v>
      </c>
      <c r="H306" t="s">
        <v>44</v>
      </c>
      <c r="I306" t="s">
        <v>697</v>
      </c>
      <c r="J306" t="s">
        <v>34</v>
      </c>
      <c r="K306" s="2">
        <v>228.93</v>
      </c>
      <c r="L306">
        <v>7</v>
      </c>
      <c r="M306" t="s">
        <v>78</v>
      </c>
      <c r="N306">
        <v>1</v>
      </c>
      <c r="O306">
        <v>1</v>
      </c>
      <c r="P306">
        <v>2</v>
      </c>
      <c r="Q306" t="s">
        <v>59</v>
      </c>
      <c r="R306" t="s">
        <v>50</v>
      </c>
      <c r="S306">
        <v>2</v>
      </c>
      <c r="T306">
        <v>2</v>
      </c>
      <c r="U306" t="s">
        <v>49</v>
      </c>
      <c r="V306" t="s">
        <v>79</v>
      </c>
      <c r="W306" t="s">
        <v>51</v>
      </c>
      <c r="X306" s="3">
        <v>45598</v>
      </c>
      <c r="Y306" s="1" t="str">
        <f t="shared" si="8"/>
        <v>Nov</v>
      </c>
      <c r="Z306" s="1" t="str">
        <f t="shared" si="9"/>
        <v>2024</v>
      </c>
      <c r="AA306" t="b">
        <v>1</v>
      </c>
      <c r="AB306" t="b">
        <v>1</v>
      </c>
      <c r="AC306" t="s">
        <v>62</v>
      </c>
      <c r="AD306" t="s">
        <v>67</v>
      </c>
      <c r="AE306">
        <v>11</v>
      </c>
    </row>
    <row r="307" spans="1:31" x14ac:dyDescent="0.3">
      <c r="A307" t="s">
        <v>698</v>
      </c>
      <c r="B307">
        <v>20</v>
      </c>
      <c r="C307" t="str" cm="1">
        <f t="array" ref="C307">_xlfn.IFS(B307&lt;=18,"0-18",B307&lt;=29,"19-29",B307&gt;=49,"30-49",B307&gt;=69,"50-69",TRUE,"70+")</f>
        <v>19-29</v>
      </c>
      <c r="D307" t="s">
        <v>29</v>
      </c>
      <c r="E307" t="s">
        <v>44</v>
      </c>
      <c r="F307" t="s">
        <v>55</v>
      </c>
      <c r="G307" t="s">
        <v>45</v>
      </c>
      <c r="H307" t="s">
        <v>30</v>
      </c>
      <c r="I307" t="s">
        <v>546</v>
      </c>
      <c r="J307" t="s">
        <v>58</v>
      </c>
      <c r="K307" s="2">
        <v>355.31</v>
      </c>
      <c r="L307">
        <v>11</v>
      </c>
      <c r="M307" t="s">
        <v>78</v>
      </c>
      <c r="N307">
        <v>1</v>
      </c>
      <c r="O307">
        <v>1</v>
      </c>
      <c r="P307">
        <v>0</v>
      </c>
      <c r="Q307" t="s">
        <v>44</v>
      </c>
      <c r="R307" t="s">
        <v>50</v>
      </c>
      <c r="S307">
        <v>1</v>
      </c>
      <c r="T307">
        <v>2</v>
      </c>
      <c r="U307" t="s">
        <v>49</v>
      </c>
      <c r="V307" t="s">
        <v>79</v>
      </c>
      <c r="W307" t="s">
        <v>61</v>
      </c>
      <c r="X307" s="3">
        <v>45599</v>
      </c>
      <c r="Y307" s="1" t="str">
        <f t="shared" si="8"/>
        <v>Nov</v>
      </c>
      <c r="Z307" s="1" t="str">
        <f t="shared" si="9"/>
        <v>2024</v>
      </c>
      <c r="AA307" t="b">
        <v>0</v>
      </c>
      <c r="AB307" t="b">
        <v>1</v>
      </c>
      <c r="AC307" t="s">
        <v>62</v>
      </c>
      <c r="AD307" t="s">
        <v>67</v>
      </c>
      <c r="AE307">
        <v>12</v>
      </c>
    </row>
    <row r="308" spans="1:31" x14ac:dyDescent="0.3">
      <c r="A308" t="s">
        <v>699</v>
      </c>
      <c r="B308">
        <v>40</v>
      </c>
      <c r="C308" t="str" cm="1">
        <f t="array" ref="C308">_xlfn.IFS(B308&lt;=18,"0-18",B308&lt;=29,"19-29",B308&gt;=49,"30-49",B308&gt;=69,"50-69",TRUE,"70+")</f>
        <v>70+</v>
      </c>
      <c r="D308" t="s">
        <v>43</v>
      </c>
      <c r="E308" t="s">
        <v>44</v>
      </c>
      <c r="F308" t="s">
        <v>31</v>
      </c>
      <c r="G308" t="s">
        <v>45</v>
      </c>
      <c r="H308" t="s">
        <v>44</v>
      </c>
      <c r="I308" t="s">
        <v>700</v>
      </c>
      <c r="J308" t="s">
        <v>101</v>
      </c>
      <c r="K308" s="2">
        <v>334.67</v>
      </c>
      <c r="L308">
        <v>12</v>
      </c>
      <c r="M308" t="s">
        <v>48</v>
      </c>
      <c r="N308">
        <v>2</v>
      </c>
      <c r="O308">
        <v>1</v>
      </c>
      <c r="P308">
        <v>2</v>
      </c>
      <c r="Q308" t="s">
        <v>36</v>
      </c>
      <c r="R308" t="s">
        <v>37</v>
      </c>
      <c r="S308">
        <v>2</v>
      </c>
      <c r="T308">
        <v>5</v>
      </c>
      <c r="U308" t="s">
        <v>36</v>
      </c>
      <c r="V308" t="s">
        <v>38</v>
      </c>
      <c r="W308" t="s">
        <v>61</v>
      </c>
      <c r="X308" s="3">
        <v>45600</v>
      </c>
      <c r="Y308" s="1" t="str">
        <f t="shared" si="8"/>
        <v>Nov</v>
      </c>
      <c r="Z308" s="1" t="str">
        <f t="shared" si="9"/>
        <v>2024</v>
      </c>
      <c r="AA308" t="b">
        <v>1</v>
      </c>
      <c r="AB308" t="b">
        <v>0</v>
      </c>
      <c r="AC308" t="s">
        <v>40</v>
      </c>
      <c r="AD308" t="s">
        <v>53</v>
      </c>
      <c r="AE308">
        <v>13</v>
      </c>
    </row>
    <row r="309" spans="1:31" x14ac:dyDescent="0.3">
      <c r="A309" t="s">
        <v>701</v>
      </c>
      <c r="B309">
        <v>36</v>
      </c>
      <c r="C309" t="str" cm="1">
        <f t="array" ref="C309">_xlfn.IFS(B309&lt;=18,"0-18",B309&lt;=29,"19-29",B309&gt;=49,"30-49",B309&gt;=69,"50-69",TRUE,"70+")</f>
        <v>70+</v>
      </c>
      <c r="D309" t="s">
        <v>43</v>
      </c>
      <c r="E309" t="s">
        <v>30</v>
      </c>
      <c r="F309" t="s">
        <v>69</v>
      </c>
      <c r="G309" t="s">
        <v>56</v>
      </c>
      <c r="H309" t="s">
        <v>30</v>
      </c>
      <c r="I309" t="s">
        <v>702</v>
      </c>
      <c r="J309" t="s">
        <v>82</v>
      </c>
      <c r="K309" s="2">
        <v>182.72</v>
      </c>
      <c r="L309">
        <v>5</v>
      </c>
      <c r="M309" t="s">
        <v>78</v>
      </c>
      <c r="N309">
        <v>2</v>
      </c>
      <c r="O309">
        <v>1</v>
      </c>
      <c r="P309">
        <v>2</v>
      </c>
      <c r="Q309" t="s">
        <v>44</v>
      </c>
      <c r="R309" t="s">
        <v>85</v>
      </c>
      <c r="S309">
        <v>1</v>
      </c>
      <c r="T309">
        <v>7</v>
      </c>
      <c r="U309" t="s">
        <v>36</v>
      </c>
      <c r="V309" t="s">
        <v>79</v>
      </c>
      <c r="W309" t="s">
        <v>66</v>
      </c>
      <c r="X309" s="3">
        <v>45601</v>
      </c>
      <c r="Y309" s="1" t="str">
        <f t="shared" si="8"/>
        <v>Nov</v>
      </c>
      <c r="Z309" s="1" t="str">
        <f t="shared" si="9"/>
        <v>2024</v>
      </c>
      <c r="AA309" t="b">
        <v>0</v>
      </c>
      <c r="AB309" t="b">
        <v>0</v>
      </c>
      <c r="AC309" t="s">
        <v>62</v>
      </c>
      <c r="AD309" t="s">
        <v>41</v>
      </c>
      <c r="AE309">
        <v>13</v>
      </c>
    </row>
    <row r="310" spans="1:31" x14ac:dyDescent="0.3">
      <c r="A310" t="s">
        <v>703</v>
      </c>
      <c r="B310">
        <v>43</v>
      </c>
      <c r="C310" t="str" cm="1">
        <f t="array" ref="C310">_xlfn.IFS(B310&lt;=18,"0-18",B310&lt;=29,"19-29",B310&gt;=49,"30-49",B310&gt;=69,"50-69",TRUE,"70+")</f>
        <v>70+</v>
      </c>
      <c r="D310" t="s">
        <v>43</v>
      </c>
      <c r="E310" t="s">
        <v>44</v>
      </c>
      <c r="F310" t="s">
        <v>69</v>
      </c>
      <c r="G310" t="s">
        <v>45</v>
      </c>
      <c r="H310" t="s">
        <v>30</v>
      </c>
      <c r="I310" t="s">
        <v>704</v>
      </c>
      <c r="J310" t="s">
        <v>246</v>
      </c>
      <c r="K310" s="2">
        <v>260.22000000000003</v>
      </c>
      <c r="L310">
        <v>11</v>
      </c>
      <c r="M310" t="s">
        <v>48</v>
      </c>
      <c r="N310">
        <v>4</v>
      </c>
      <c r="O310">
        <v>3</v>
      </c>
      <c r="P310">
        <v>0</v>
      </c>
      <c r="Q310" t="s">
        <v>36</v>
      </c>
      <c r="R310" t="s">
        <v>50</v>
      </c>
      <c r="S310">
        <v>2</v>
      </c>
      <c r="T310">
        <v>5</v>
      </c>
      <c r="U310" t="s">
        <v>44</v>
      </c>
      <c r="V310" t="s">
        <v>79</v>
      </c>
      <c r="W310" t="s">
        <v>39</v>
      </c>
      <c r="X310" s="3">
        <v>45602</v>
      </c>
      <c r="Y310" s="1" t="str">
        <f t="shared" si="8"/>
        <v>Nov</v>
      </c>
      <c r="Z310" s="1" t="str">
        <f t="shared" si="9"/>
        <v>2024</v>
      </c>
      <c r="AA310" t="b">
        <v>0</v>
      </c>
      <c r="AB310" t="b">
        <v>1</v>
      </c>
      <c r="AC310" t="s">
        <v>40</v>
      </c>
      <c r="AD310" t="s">
        <v>67</v>
      </c>
      <c r="AE310">
        <v>13</v>
      </c>
    </row>
    <row r="311" spans="1:31" x14ac:dyDescent="0.3">
      <c r="A311" t="s">
        <v>705</v>
      </c>
      <c r="B311">
        <v>26</v>
      </c>
      <c r="C311" t="str" cm="1">
        <f t="array" ref="C311">_xlfn.IFS(B311&lt;=18,"0-18",B311&lt;=29,"19-29",B311&gt;=49,"30-49",B311&gt;=69,"50-69",TRUE,"70+")</f>
        <v>19-29</v>
      </c>
      <c r="D311" t="s">
        <v>29</v>
      </c>
      <c r="E311" t="s">
        <v>44</v>
      </c>
      <c r="F311" t="s">
        <v>55</v>
      </c>
      <c r="G311" t="s">
        <v>45</v>
      </c>
      <c r="H311" t="s">
        <v>30</v>
      </c>
      <c r="I311" t="s">
        <v>706</v>
      </c>
      <c r="J311" t="s">
        <v>47</v>
      </c>
      <c r="K311" s="2">
        <v>454.93</v>
      </c>
      <c r="L311">
        <v>8</v>
      </c>
      <c r="M311" t="s">
        <v>78</v>
      </c>
      <c r="N311">
        <v>3</v>
      </c>
      <c r="O311">
        <v>5</v>
      </c>
      <c r="P311">
        <v>0</v>
      </c>
      <c r="Q311" t="s">
        <v>59</v>
      </c>
      <c r="R311" t="s">
        <v>37</v>
      </c>
      <c r="S311">
        <v>2</v>
      </c>
      <c r="T311">
        <v>7</v>
      </c>
      <c r="U311" t="s">
        <v>49</v>
      </c>
      <c r="V311" t="s">
        <v>79</v>
      </c>
      <c r="W311" t="s">
        <v>61</v>
      </c>
      <c r="X311" s="3">
        <v>45603</v>
      </c>
      <c r="Y311" s="1" t="str">
        <f t="shared" si="8"/>
        <v>Nov</v>
      </c>
      <c r="Z311" s="1" t="str">
        <f t="shared" si="9"/>
        <v>2024</v>
      </c>
      <c r="AA311" t="b">
        <v>0</v>
      </c>
      <c r="AB311" t="b">
        <v>0</v>
      </c>
      <c r="AC311" t="s">
        <v>52</v>
      </c>
      <c r="AD311" t="s">
        <v>41</v>
      </c>
      <c r="AE311">
        <v>11</v>
      </c>
    </row>
    <row r="312" spans="1:31" x14ac:dyDescent="0.3">
      <c r="A312" t="s">
        <v>707</v>
      </c>
      <c r="B312">
        <v>29</v>
      </c>
      <c r="C312" t="str" cm="1">
        <f t="array" ref="C312">_xlfn.IFS(B312&lt;=18,"0-18",B312&lt;=29,"19-29",B312&gt;=49,"30-49",B312&gt;=69,"50-69",TRUE,"70+")</f>
        <v>19-29</v>
      </c>
      <c r="D312" t="s">
        <v>43</v>
      </c>
      <c r="E312" t="s">
        <v>30</v>
      </c>
      <c r="F312" t="s">
        <v>69</v>
      </c>
      <c r="G312" t="s">
        <v>32</v>
      </c>
      <c r="H312" t="s">
        <v>44</v>
      </c>
      <c r="I312" t="s">
        <v>708</v>
      </c>
      <c r="J312" t="s">
        <v>188</v>
      </c>
      <c r="K312" s="2">
        <v>325.42</v>
      </c>
      <c r="L312">
        <v>11</v>
      </c>
      <c r="M312" t="s">
        <v>48</v>
      </c>
      <c r="N312">
        <v>2</v>
      </c>
      <c r="O312">
        <v>4</v>
      </c>
      <c r="P312">
        <v>2</v>
      </c>
      <c r="Q312" t="s">
        <v>59</v>
      </c>
      <c r="R312" t="s">
        <v>50</v>
      </c>
      <c r="S312">
        <v>1</v>
      </c>
      <c r="T312">
        <v>1</v>
      </c>
      <c r="U312" t="s">
        <v>44</v>
      </c>
      <c r="V312" t="s">
        <v>79</v>
      </c>
      <c r="W312" t="s">
        <v>66</v>
      </c>
      <c r="X312" s="3">
        <v>45604</v>
      </c>
      <c r="Y312" s="1" t="str">
        <f t="shared" si="8"/>
        <v>Nov</v>
      </c>
      <c r="Z312" s="1" t="str">
        <f t="shared" si="9"/>
        <v>2024</v>
      </c>
      <c r="AA312" t="b">
        <v>1</v>
      </c>
      <c r="AB312" t="b">
        <v>0</v>
      </c>
      <c r="AC312" t="s">
        <v>62</v>
      </c>
      <c r="AD312" t="s">
        <v>67</v>
      </c>
      <c r="AE312">
        <v>7</v>
      </c>
    </row>
    <row r="313" spans="1:31" x14ac:dyDescent="0.3">
      <c r="A313" t="s">
        <v>709</v>
      </c>
      <c r="B313">
        <v>34</v>
      </c>
      <c r="C313" t="str" cm="1">
        <f t="array" ref="C313">_xlfn.IFS(B313&lt;=18,"0-18",B313&lt;=29,"19-29",B313&gt;=49,"30-49",B313&gt;=69,"50-69",TRUE,"70+")</f>
        <v>70+</v>
      </c>
      <c r="D313" t="s">
        <v>29</v>
      </c>
      <c r="E313" t="s">
        <v>30</v>
      </c>
      <c r="F313" t="s">
        <v>69</v>
      </c>
      <c r="G313" t="s">
        <v>45</v>
      </c>
      <c r="H313" t="s">
        <v>44</v>
      </c>
      <c r="I313" t="s">
        <v>710</v>
      </c>
      <c r="J313" t="s">
        <v>246</v>
      </c>
      <c r="K313" s="2">
        <v>351.36</v>
      </c>
      <c r="L313">
        <v>2</v>
      </c>
      <c r="M313" t="s">
        <v>48</v>
      </c>
      <c r="N313">
        <v>5</v>
      </c>
      <c r="O313">
        <v>3</v>
      </c>
      <c r="P313">
        <v>2</v>
      </c>
      <c r="Q313" t="s">
        <v>44</v>
      </c>
      <c r="R313" t="s">
        <v>85</v>
      </c>
      <c r="S313">
        <v>2</v>
      </c>
      <c r="T313">
        <v>6</v>
      </c>
      <c r="U313" t="s">
        <v>36</v>
      </c>
      <c r="V313" t="s">
        <v>79</v>
      </c>
      <c r="W313" t="s">
        <v>66</v>
      </c>
      <c r="X313" s="3">
        <v>45605</v>
      </c>
      <c r="Y313" s="1" t="str">
        <f t="shared" si="8"/>
        <v>Nov</v>
      </c>
      <c r="Z313" s="1" t="str">
        <f t="shared" si="9"/>
        <v>2024</v>
      </c>
      <c r="AA313" t="b">
        <v>0</v>
      </c>
      <c r="AB313" t="b">
        <v>1</v>
      </c>
      <c r="AC313" t="s">
        <v>40</v>
      </c>
      <c r="AD313" t="s">
        <v>53</v>
      </c>
      <c r="AE313">
        <v>7</v>
      </c>
    </row>
    <row r="314" spans="1:31" x14ac:dyDescent="0.3">
      <c r="A314" t="s">
        <v>711</v>
      </c>
      <c r="B314">
        <v>40</v>
      </c>
      <c r="C314" t="str" cm="1">
        <f t="array" ref="C314">_xlfn.IFS(B314&lt;=18,"0-18",B314&lt;=29,"19-29",B314&gt;=49,"30-49",B314&gt;=69,"50-69",TRUE,"70+")</f>
        <v>70+</v>
      </c>
      <c r="D314" t="s">
        <v>43</v>
      </c>
      <c r="E314" t="s">
        <v>44</v>
      </c>
      <c r="F314" t="s">
        <v>55</v>
      </c>
      <c r="G314" t="s">
        <v>32</v>
      </c>
      <c r="H314" t="s">
        <v>30</v>
      </c>
      <c r="I314" t="s">
        <v>712</v>
      </c>
      <c r="J314" t="s">
        <v>123</v>
      </c>
      <c r="K314" s="2">
        <v>333.63</v>
      </c>
      <c r="L314">
        <v>8</v>
      </c>
      <c r="M314" t="s">
        <v>35</v>
      </c>
      <c r="N314">
        <v>4</v>
      </c>
      <c r="O314">
        <v>5</v>
      </c>
      <c r="P314">
        <v>2</v>
      </c>
      <c r="Q314" t="s">
        <v>36</v>
      </c>
      <c r="R314" t="s">
        <v>85</v>
      </c>
      <c r="S314">
        <v>2</v>
      </c>
      <c r="T314">
        <v>2</v>
      </c>
      <c r="U314" t="s">
        <v>44</v>
      </c>
      <c r="V314" t="s">
        <v>60</v>
      </c>
      <c r="W314" t="s">
        <v>66</v>
      </c>
      <c r="X314" s="3">
        <v>45606</v>
      </c>
      <c r="Y314" s="1" t="str">
        <f t="shared" si="8"/>
        <v>Nov</v>
      </c>
      <c r="Z314" s="1" t="str">
        <f t="shared" si="9"/>
        <v>2024</v>
      </c>
      <c r="AA314" t="b">
        <v>0</v>
      </c>
      <c r="AB314" t="b">
        <v>0</v>
      </c>
      <c r="AC314" t="s">
        <v>40</v>
      </c>
      <c r="AD314" t="s">
        <v>67</v>
      </c>
      <c r="AE314">
        <v>14</v>
      </c>
    </row>
    <row r="315" spans="1:31" x14ac:dyDescent="0.3">
      <c r="A315" t="s">
        <v>713</v>
      </c>
      <c r="B315">
        <v>42</v>
      </c>
      <c r="C315" t="str" cm="1">
        <f t="array" ref="C315">_xlfn.IFS(B315&lt;=18,"0-18",B315&lt;=29,"19-29",B315&gt;=49,"30-49",B315&gt;=69,"50-69",TRUE,"70+")</f>
        <v>70+</v>
      </c>
      <c r="D315" t="s">
        <v>29</v>
      </c>
      <c r="E315" t="s">
        <v>44</v>
      </c>
      <c r="F315" t="s">
        <v>31</v>
      </c>
      <c r="G315" t="s">
        <v>32</v>
      </c>
      <c r="H315" t="s">
        <v>30</v>
      </c>
      <c r="I315" t="s">
        <v>714</v>
      </c>
      <c r="J315" t="s">
        <v>188</v>
      </c>
      <c r="K315" s="2">
        <v>469.9</v>
      </c>
      <c r="L315">
        <v>4</v>
      </c>
      <c r="M315" t="s">
        <v>35</v>
      </c>
      <c r="N315">
        <v>2</v>
      </c>
      <c r="O315">
        <v>5</v>
      </c>
      <c r="P315">
        <v>1</v>
      </c>
      <c r="Q315" t="s">
        <v>59</v>
      </c>
      <c r="R315" t="s">
        <v>50</v>
      </c>
      <c r="S315">
        <v>1</v>
      </c>
      <c r="T315">
        <v>7</v>
      </c>
      <c r="U315" t="s">
        <v>36</v>
      </c>
      <c r="V315" t="s">
        <v>79</v>
      </c>
      <c r="W315" t="s">
        <v>86</v>
      </c>
      <c r="X315" s="3">
        <v>45607</v>
      </c>
      <c r="Y315" s="1" t="str">
        <f t="shared" si="8"/>
        <v>Nov</v>
      </c>
      <c r="Z315" s="1" t="str">
        <f t="shared" si="9"/>
        <v>2024</v>
      </c>
      <c r="AA315" t="b">
        <v>0</v>
      </c>
      <c r="AB315" t="b">
        <v>0</v>
      </c>
      <c r="AC315" t="s">
        <v>74</v>
      </c>
      <c r="AD315" t="s">
        <v>41</v>
      </c>
      <c r="AE315">
        <v>7</v>
      </c>
    </row>
    <row r="316" spans="1:31" x14ac:dyDescent="0.3">
      <c r="A316" t="s">
        <v>715</v>
      </c>
      <c r="B316">
        <v>28</v>
      </c>
      <c r="C316" t="str" cm="1">
        <f t="array" ref="C316">_xlfn.IFS(B316&lt;=18,"0-18",B316&lt;=29,"19-29",B316&gt;=49,"30-49",B316&gt;=69,"50-69",TRUE,"70+")</f>
        <v>19-29</v>
      </c>
      <c r="D316" t="s">
        <v>43</v>
      </c>
      <c r="E316" t="s">
        <v>44</v>
      </c>
      <c r="F316" t="s">
        <v>31</v>
      </c>
      <c r="G316" t="s">
        <v>32</v>
      </c>
      <c r="H316" t="s">
        <v>44</v>
      </c>
      <c r="I316" t="s">
        <v>716</v>
      </c>
      <c r="J316" t="s">
        <v>93</v>
      </c>
      <c r="K316" s="2">
        <v>207.52</v>
      </c>
      <c r="L316">
        <v>4</v>
      </c>
      <c r="M316" t="s">
        <v>48</v>
      </c>
      <c r="N316">
        <v>3</v>
      </c>
      <c r="O316">
        <v>4</v>
      </c>
      <c r="P316">
        <v>1</v>
      </c>
      <c r="Q316" t="s">
        <v>59</v>
      </c>
      <c r="R316" t="s">
        <v>50</v>
      </c>
      <c r="S316">
        <v>1</v>
      </c>
      <c r="T316">
        <v>8</v>
      </c>
      <c r="U316" t="s">
        <v>44</v>
      </c>
      <c r="V316" t="s">
        <v>79</v>
      </c>
      <c r="W316" t="s">
        <v>61</v>
      </c>
      <c r="X316" s="3">
        <v>45608</v>
      </c>
      <c r="Y316" s="1" t="str">
        <f t="shared" si="8"/>
        <v>Nov</v>
      </c>
      <c r="Z316" s="1" t="str">
        <f t="shared" si="9"/>
        <v>2024</v>
      </c>
      <c r="AA316" t="b">
        <v>0</v>
      </c>
      <c r="AB316" t="b">
        <v>0</v>
      </c>
      <c r="AC316" t="s">
        <v>62</v>
      </c>
      <c r="AD316" t="s">
        <v>41</v>
      </c>
      <c r="AE316">
        <v>2</v>
      </c>
    </row>
    <row r="317" spans="1:31" x14ac:dyDescent="0.3">
      <c r="A317" t="s">
        <v>717</v>
      </c>
      <c r="B317">
        <v>49</v>
      </c>
      <c r="C317" t="str" cm="1">
        <f t="array" ref="C317">_xlfn.IFS(B317&lt;=18,"0-18",B317&lt;=29,"19-29",B317&gt;=49,"30-49",B317&gt;=69,"50-69",TRUE,"70+")</f>
        <v>30-49</v>
      </c>
      <c r="D317" t="s">
        <v>43</v>
      </c>
      <c r="E317" t="s">
        <v>44</v>
      </c>
      <c r="F317" t="s">
        <v>55</v>
      </c>
      <c r="G317" t="s">
        <v>32</v>
      </c>
      <c r="H317" t="s">
        <v>44</v>
      </c>
      <c r="I317" t="s">
        <v>718</v>
      </c>
      <c r="J317" t="s">
        <v>126</v>
      </c>
      <c r="K317" s="2">
        <v>125.89</v>
      </c>
      <c r="L317">
        <v>7</v>
      </c>
      <c r="M317" t="s">
        <v>48</v>
      </c>
      <c r="N317">
        <v>3</v>
      </c>
      <c r="O317">
        <v>3</v>
      </c>
      <c r="P317">
        <v>2</v>
      </c>
      <c r="Q317" t="s">
        <v>59</v>
      </c>
      <c r="R317" t="s">
        <v>50</v>
      </c>
      <c r="S317">
        <v>1</v>
      </c>
      <c r="T317">
        <v>6</v>
      </c>
      <c r="U317" t="s">
        <v>49</v>
      </c>
      <c r="V317" t="s">
        <v>79</v>
      </c>
      <c r="W317" t="s">
        <v>61</v>
      </c>
      <c r="X317" s="3">
        <v>45609</v>
      </c>
      <c r="Y317" s="1" t="str">
        <f t="shared" si="8"/>
        <v>Nov</v>
      </c>
      <c r="Z317" s="1" t="str">
        <f t="shared" si="9"/>
        <v>2024</v>
      </c>
      <c r="AA317" t="b">
        <v>0</v>
      </c>
      <c r="AB317" t="b">
        <v>0</v>
      </c>
      <c r="AC317" t="s">
        <v>52</v>
      </c>
      <c r="AD317" t="s">
        <v>41</v>
      </c>
      <c r="AE317">
        <v>13</v>
      </c>
    </row>
    <row r="318" spans="1:31" x14ac:dyDescent="0.3">
      <c r="A318" t="s">
        <v>719</v>
      </c>
      <c r="B318">
        <v>46</v>
      </c>
      <c r="C318" t="str" cm="1">
        <f t="array" ref="C318">_xlfn.IFS(B318&lt;=18,"0-18",B318&lt;=29,"19-29",B318&gt;=49,"30-49",B318&gt;=69,"50-69",TRUE,"70+")</f>
        <v>70+</v>
      </c>
      <c r="D318" t="s">
        <v>29</v>
      </c>
      <c r="E318" t="s">
        <v>44</v>
      </c>
      <c r="F318" t="s">
        <v>55</v>
      </c>
      <c r="G318" t="s">
        <v>56</v>
      </c>
      <c r="H318" t="s">
        <v>30</v>
      </c>
      <c r="I318" t="s">
        <v>720</v>
      </c>
      <c r="J318" t="s">
        <v>117</v>
      </c>
      <c r="K318" s="2">
        <v>170.77</v>
      </c>
      <c r="L318">
        <v>9</v>
      </c>
      <c r="M318" t="s">
        <v>78</v>
      </c>
      <c r="N318">
        <v>5</v>
      </c>
      <c r="O318">
        <v>2</v>
      </c>
      <c r="P318">
        <v>1</v>
      </c>
      <c r="Q318" t="s">
        <v>49</v>
      </c>
      <c r="R318" t="s">
        <v>37</v>
      </c>
      <c r="S318">
        <v>2</v>
      </c>
      <c r="T318">
        <v>1</v>
      </c>
      <c r="U318" t="s">
        <v>59</v>
      </c>
      <c r="V318" t="s">
        <v>60</v>
      </c>
      <c r="W318" t="s">
        <v>39</v>
      </c>
      <c r="X318" s="3">
        <v>45610</v>
      </c>
      <c r="Y318" s="1" t="str">
        <f t="shared" si="8"/>
        <v>Nov</v>
      </c>
      <c r="Z318" s="1" t="str">
        <f t="shared" si="9"/>
        <v>2024</v>
      </c>
      <c r="AA318" t="b">
        <v>0</v>
      </c>
      <c r="AB318" t="b">
        <v>0</v>
      </c>
      <c r="AC318" t="s">
        <v>62</v>
      </c>
      <c r="AD318" t="s">
        <v>41</v>
      </c>
      <c r="AE318">
        <v>4</v>
      </c>
    </row>
    <row r="319" spans="1:31" x14ac:dyDescent="0.3">
      <c r="A319" t="s">
        <v>721</v>
      </c>
      <c r="B319">
        <v>44</v>
      </c>
      <c r="C319" t="str" cm="1">
        <f t="array" ref="C319">_xlfn.IFS(B319&lt;=18,"0-18",B319&lt;=29,"19-29",B319&gt;=49,"30-49",B319&gt;=69,"50-69",TRUE,"70+")</f>
        <v>70+</v>
      </c>
      <c r="D319" t="s">
        <v>29</v>
      </c>
      <c r="E319" t="s">
        <v>44</v>
      </c>
      <c r="F319" t="s">
        <v>76</v>
      </c>
      <c r="G319" t="s">
        <v>56</v>
      </c>
      <c r="H319" t="s">
        <v>44</v>
      </c>
      <c r="I319" t="s">
        <v>722</v>
      </c>
      <c r="J319" t="s">
        <v>117</v>
      </c>
      <c r="K319" s="2">
        <v>63.91</v>
      </c>
      <c r="L319">
        <v>2</v>
      </c>
      <c r="M319" t="s">
        <v>78</v>
      </c>
      <c r="N319">
        <v>1</v>
      </c>
      <c r="O319">
        <v>4</v>
      </c>
      <c r="P319">
        <v>2</v>
      </c>
      <c r="Q319" t="s">
        <v>36</v>
      </c>
      <c r="R319" t="s">
        <v>50</v>
      </c>
      <c r="S319">
        <v>0</v>
      </c>
      <c r="T319">
        <v>6</v>
      </c>
      <c r="U319" t="s">
        <v>49</v>
      </c>
      <c r="V319" t="s">
        <v>60</v>
      </c>
      <c r="W319" t="s">
        <v>86</v>
      </c>
      <c r="X319" s="3">
        <v>45611</v>
      </c>
      <c r="Y319" s="1" t="str">
        <f t="shared" si="8"/>
        <v>Nov</v>
      </c>
      <c r="Z319" s="1" t="str">
        <f t="shared" si="9"/>
        <v>2024</v>
      </c>
      <c r="AA319" t="b">
        <v>0</v>
      </c>
      <c r="AB319" t="b">
        <v>1</v>
      </c>
      <c r="AC319" t="s">
        <v>74</v>
      </c>
      <c r="AD319" t="s">
        <v>41</v>
      </c>
      <c r="AE319">
        <v>12</v>
      </c>
    </row>
    <row r="320" spans="1:31" x14ac:dyDescent="0.3">
      <c r="A320" t="s">
        <v>723</v>
      </c>
      <c r="B320">
        <v>29</v>
      </c>
      <c r="C320" t="str" cm="1">
        <f t="array" ref="C320">_xlfn.IFS(B320&lt;=18,"0-18",B320&lt;=29,"19-29",B320&gt;=49,"30-49",B320&gt;=69,"50-69",TRUE,"70+")</f>
        <v>19-29</v>
      </c>
      <c r="D320" t="s">
        <v>43</v>
      </c>
      <c r="E320" t="s">
        <v>44</v>
      </c>
      <c r="F320" t="s">
        <v>31</v>
      </c>
      <c r="G320" t="s">
        <v>45</v>
      </c>
      <c r="H320" t="s">
        <v>30</v>
      </c>
      <c r="I320" t="s">
        <v>724</v>
      </c>
      <c r="J320" t="s">
        <v>183</v>
      </c>
      <c r="K320" s="2">
        <v>340.55</v>
      </c>
      <c r="L320">
        <v>7</v>
      </c>
      <c r="M320" t="s">
        <v>48</v>
      </c>
      <c r="N320">
        <v>4</v>
      </c>
      <c r="O320">
        <v>5</v>
      </c>
      <c r="P320">
        <v>0</v>
      </c>
      <c r="Q320" t="s">
        <v>59</v>
      </c>
      <c r="R320" t="s">
        <v>50</v>
      </c>
      <c r="S320">
        <v>0</v>
      </c>
      <c r="T320">
        <v>7</v>
      </c>
      <c r="U320" t="s">
        <v>36</v>
      </c>
      <c r="V320" t="s">
        <v>79</v>
      </c>
      <c r="W320" t="s">
        <v>39</v>
      </c>
      <c r="X320" s="3">
        <v>45612</v>
      </c>
      <c r="Y320" s="1" t="str">
        <f t="shared" si="8"/>
        <v>Nov</v>
      </c>
      <c r="Z320" s="1" t="str">
        <f t="shared" si="9"/>
        <v>2024</v>
      </c>
      <c r="AA320" t="b">
        <v>0</v>
      </c>
      <c r="AB320" t="b">
        <v>1</v>
      </c>
      <c r="AC320" t="s">
        <v>74</v>
      </c>
      <c r="AD320" t="s">
        <v>67</v>
      </c>
      <c r="AE320">
        <v>1</v>
      </c>
    </row>
    <row r="321" spans="1:31" x14ac:dyDescent="0.3">
      <c r="A321" t="s">
        <v>725</v>
      </c>
      <c r="B321">
        <v>47</v>
      </c>
      <c r="C321" t="str" cm="1">
        <f t="array" ref="C321">_xlfn.IFS(B321&lt;=18,"0-18",B321&lt;=29,"19-29",B321&gt;=49,"30-49",B321&gt;=69,"50-69",TRUE,"70+")</f>
        <v>70+</v>
      </c>
      <c r="D321" t="s">
        <v>43</v>
      </c>
      <c r="E321" t="s">
        <v>30</v>
      </c>
      <c r="F321" t="s">
        <v>76</v>
      </c>
      <c r="G321" t="s">
        <v>32</v>
      </c>
      <c r="H321" t="s">
        <v>44</v>
      </c>
      <c r="I321" t="s">
        <v>726</v>
      </c>
      <c r="J321" t="s">
        <v>120</v>
      </c>
      <c r="K321" s="2">
        <v>378.14</v>
      </c>
      <c r="L321">
        <v>6</v>
      </c>
      <c r="M321" t="s">
        <v>35</v>
      </c>
      <c r="N321">
        <v>2</v>
      </c>
      <c r="O321">
        <v>2</v>
      </c>
      <c r="P321">
        <v>1</v>
      </c>
      <c r="Q321" t="s">
        <v>49</v>
      </c>
      <c r="R321" t="s">
        <v>85</v>
      </c>
      <c r="S321">
        <v>1</v>
      </c>
      <c r="T321">
        <v>6</v>
      </c>
      <c r="U321" t="s">
        <v>44</v>
      </c>
      <c r="V321" t="s">
        <v>60</v>
      </c>
      <c r="W321" t="s">
        <v>51</v>
      </c>
      <c r="X321" s="3">
        <v>45613</v>
      </c>
      <c r="Y321" s="1" t="str">
        <f t="shared" si="8"/>
        <v>Nov</v>
      </c>
      <c r="Z321" s="1" t="str">
        <f t="shared" si="9"/>
        <v>2024</v>
      </c>
      <c r="AA321" t="b">
        <v>0</v>
      </c>
      <c r="AB321" t="b">
        <v>0</v>
      </c>
      <c r="AC321" t="s">
        <v>52</v>
      </c>
      <c r="AD321" t="s">
        <v>53</v>
      </c>
      <c r="AE321">
        <v>7</v>
      </c>
    </row>
    <row r="322" spans="1:31" x14ac:dyDescent="0.3">
      <c r="A322" t="s">
        <v>727</v>
      </c>
      <c r="B322">
        <v>37</v>
      </c>
      <c r="C322" t="str" cm="1">
        <f t="array" ref="C322">_xlfn.IFS(B322&lt;=18,"0-18",B322&lt;=29,"19-29",B322&gt;=49,"30-49",B322&gt;=69,"50-69",TRUE,"70+")</f>
        <v>70+</v>
      </c>
      <c r="D322" t="s">
        <v>29</v>
      </c>
      <c r="E322" t="s">
        <v>30</v>
      </c>
      <c r="F322" t="s">
        <v>31</v>
      </c>
      <c r="G322" t="s">
        <v>32</v>
      </c>
      <c r="H322" t="s">
        <v>30</v>
      </c>
      <c r="I322" t="s">
        <v>254</v>
      </c>
      <c r="J322" t="s">
        <v>126</v>
      </c>
      <c r="K322" s="2">
        <v>235.84</v>
      </c>
      <c r="L322">
        <v>9</v>
      </c>
      <c r="M322" t="s">
        <v>35</v>
      </c>
      <c r="N322">
        <v>5</v>
      </c>
      <c r="O322">
        <v>2</v>
      </c>
      <c r="P322">
        <v>0</v>
      </c>
      <c r="Q322" t="s">
        <v>36</v>
      </c>
      <c r="R322" t="s">
        <v>85</v>
      </c>
      <c r="S322">
        <v>2</v>
      </c>
      <c r="T322">
        <v>3</v>
      </c>
      <c r="U322" t="s">
        <v>36</v>
      </c>
      <c r="V322" t="s">
        <v>79</v>
      </c>
      <c r="W322" t="s">
        <v>86</v>
      </c>
      <c r="X322" s="3">
        <v>45614</v>
      </c>
      <c r="Y322" s="1" t="str">
        <f t="shared" si="8"/>
        <v>Nov</v>
      </c>
      <c r="Z322" s="1" t="str">
        <f t="shared" si="9"/>
        <v>2024</v>
      </c>
      <c r="AA322" t="b">
        <v>0</v>
      </c>
      <c r="AB322" t="b">
        <v>0</v>
      </c>
      <c r="AC322" t="s">
        <v>74</v>
      </c>
      <c r="AD322" t="s">
        <v>41</v>
      </c>
      <c r="AE322">
        <v>14</v>
      </c>
    </row>
    <row r="323" spans="1:31" x14ac:dyDescent="0.3">
      <c r="A323" t="s">
        <v>728</v>
      </c>
      <c r="B323">
        <v>47</v>
      </c>
      <c r="C323" t="str" cm="1">
        <f t="array" ref="C323">_xlfn.IFS(B323&lt;=18,"0-18",B323&lt;=29,"19-29",B323&gt;=49,"30-49",B323&gt;=69,"50-69",TRUE,"70+")</f>
        <v>70+</v>
      </c>
      <c r="D323" t="s">
        <v>43</v>
      </c>
      <c r="E323" t="s">
        <v>44</v>
      </c>
      <c r="F323" t="s">
        <v>69</v>
      </c>
      <c r="G323" t="s">
        <v>45</v>
      </c>
      <c r="H323" t="s">
        <v>30</v>
      </c>
      <c r="I323" t="s">
        <v>729</v>
      </c>
      <c r="J323" t="s">
        <v>135</v>
      </c>
      <c r="K323" s="2">
        <v>164.44</v>
      </c>
      <c r="L323">
        <v>5</v>
      </c>
      <c r="M323" t="s">
        <v>48</v>
      </c>
      <c r="N323">
        <v>5</v>
      </c>
      <c r="O323">
        <v>1</v>
      </c>
      <c r="P323">
        <v>2</v>
      </c>
      <c r="Q323" t="s">
        <v>59</v>
      </c>
      <c r="R323" t="s">
        <v>37</v>
      </c>
      <c r="S323">
        <v>1</v>
      </c>
      <c r="T323">
        <v>10</v>
      </c>
      <c r="U323" t="s">
        <v>44</v>
      </c>
      <c r="V323" t="s">
        <v>60</v>
      </c>
      <c r="W323" t="s">
        <v>66</v>
      </c>
      <c r="X323" s="3">
        <v>45615</v>
      </c>
      <c r="Y323" s="1" t="str">
        <f t="shared" ref="Y323:Y386" si="10">TEXT(X323,"mmm")</f>
        <v>Nov</v>
      </c>
      <c r="Z323" s="1" t="str">
        <f t="shared" ref="Z323:Z386" si="11">TEXT(X323,"yyyy")</f>
        <v>2024</v>
      </c>
      <c r="AA323" t="b">
        <v>0</v>
      </c>
      <c r="AB323" t="b">
        <v>0</v>
      </c>
      <c r="AC323" t="s">
        <v>62</v>
      </c>
      <c r="AD323" t="s">
        <v>41</v>
      </c>
      <c r="AE323">
        <v>5</v>
      </c>
    </row>
    <row r="324" spans="1:31" x14ac:dyDescent="0.3">
      <c r="A324" t="s">
        <v>730</v>
      </c>
      <c r="B324">
        <v>24</v>
      </c>
      <c r="C324" t="str" cm="1">
        <f t="array" ref="C324">_xlfn.IFS(B324&lt;=18,"0-18",B324&lt;=29,"19-29",B324&gt;=49,"30-49",B324&gt;=69,"50-69",TRUE,"70+")</f>
        <v>19-29</v>
      </c>
      <c r="D324" t="s">
        <v>43</v>
      </c>
      <c r="E324" t="s">
        <v>44</v>
      </c>
      <c r="F324" t="s">
        <v>31</v>
      </c>
      <c r="G324" t="s">
        <v>32</v>
      </c>
      <c r="H324" t="s">
        <v>44</v>
      </c>
      <c r="I324" t="s">
        <v>731</v>
      </c>
      <c r="J324" t="s">
        <v>90</v>
      </c>
      <c r="K324" s="2">
        <v>455.81</v>
      </c>
      <c r="L324">
        <v>3</v>
      </c>
      <c r="M324" t="s">
        <v>78</v>
      </c>
      <c r="N324">
        <v>2</v>
      </c>
      <c r="O324">
        <v>3</v>
      </c>
      <c r="P324">
        <v>1</v>
      </c>
      <c r="Q324" t="s">
        <v>59</v>
      </c>
      <c r="R324" t="s">
        <v>37</v>
      </c>
      <c r="S324">
        <v>1</v>
      </c>
      <c r="T324">
        <v>6</v>
      </c>
      <c r="U324" t="s">
        <v>49</v>
      </c>
      <c r="V324" t="s">
        <v>60</v>
      </c>
      <c r="W324" t="s">
        <v>61</v>
      </c>
      <c r="X324" s="3">
        <v>45616</v>
      </c>
      <c r="Y324" s="1" t="str">
        <f t="shared" si="10"/>
        <v>Nov</v>
      </c>
      <c r="Z324" s="1" t="str">
        <f t="shared" si="11"/>
        <v>2024</v>
      </c>
      <c r="AA324" t="b">
        <v>0</v>
      </c>
      <c r="AB324" t="b">
        <v>0</v>
      </c>
      <c r="AC324" t="s">
        <v>52</v>
      </c>
      <c r="AD324" t="s">
        <v>67</v>
      </c>
      <c r="AE324">
        <v>6</v>
      </c>
    </row>
    <row r="325" spans="1:31" x14ac:dyDescent="0.3">
      <c r="A325" t="s">
        <v>732</v>
      </c>
      <c r="B325">
        <v>36</v>
      </c>
      <c r="C325" t="str" cm="1">
        <f t="array" ref="C325">_xlfn.IFS(B325&lt;=18,"0-18",B325&lt;=29,"19-29",B325&gt;=49,"30-49",B325&gt;=69,"50-69",TRUE,"70+")</f>
        <v>70+</v>
      </c>
      <c r="D325" t="s">
        <v>43</v>
      </c>
      <c r="E325" t="s">
        <v>44</v>
      </c>
      <c r="F325" t="s">
        <v>69</v>
      </c>
      <c r="G325" t="s">
        <v>56</v>
      </c>
      <c r="H325" t="s">
        <v>44</v>
      </c>
      <c r="I325" t="s">
        <v>733</v>
      </c>
      <c r="J325" t="s">
        <v>104</v>
      </c>
      <c r="K325" s="2">
        <v>298.32</v>
      </c>
      <c r="L325">
        <v>7</v>
      </c>
      <c r="M325" t="s">
        <v>48</v>
      </c>
      <c r="N325">
        <v>3</v>
      </c>
      <c r="O325">
        <v>5</v>
      </c>
      <c r="P325">
        <v>1</v>
      </c>
      <c r="Q325" t="s">
        <v>59</v>
      </c>
      <c r="R325" t="s">
        <v>37</v>
      </c>
      <c r="S325">
        <v>2</v>
      </c>
      <c r="T325">
        <v>8</v>
      </c>
      <c r="U325" t="s">
        <v>36</v>
      </c>
      <c r="V325" t="s">
        <v>38</v>
      </c>
      <c r="W325" t="s">
        <v>66</v>
      </c>
      <c r="X325" s="3">
        <v>45617</v>
      </c>
      <c r="Y325" s="1" t="str">
        <f t="shared" si="10"/>
        <v>Nov</v>
      </c>
      <c r="Z325" s="1" t="str">
        <f t="shared" si="11"/>
        <v>2024</v>
      </c>
      <c r="AA325" t="b">
        <v>1</v>
      </c>
      <c r="AB325" t="b">
        <v>0</v>
      </c>
      <c r="AC325" t="s">
        <v>52</v>
      </c>
      <c r="AD325" t="s">
        <v>53</v>
      </c>
      <c r="AE325">
        <v>12</v>
      </c>
    </row>
    <row r="326" spans="1:31" x14ac:dyDescent="0.3">
      <c r="A326" t="s">
        <v>734</v>
      </c>
      <c r="B326">
        <v>36</v>
      </c>
      <c r="C326" t="str" cm="1">
        <f t="array" ref="C326">_xlfn.IFS(B326&lt;=18,"0-18",B326&lt;=29,"19-29",B326&gt;=49,"30-49",B326&gt;=69,"50-69",TRUE,"70+")</f>
        <v>70+</v>
      </c>
      <c r="D326" t="s">
        <v>29</v>
      </c>
      <c r="E326" t="s">
        <v>44</v>
      </c>
      <c r="F326" t="s">
        <v>55</v>
      </c>
      <c r="G326" t="s">
        <v>32</v>
      </c>
      <c r="H326" t="s">
        <v>44</v>
      </c>
      <c r="I326" t="s">
        <v>735</v>
      </c>
      <c r="J326" t="s">
        <v>107</v>
      </c>
      <c r="K326" s="2">
        <v>351.71</v>
      </c>
      <c r="L326">
        <v>7</v>
      </c>
      <c r="M326" t="s">
        <v>48</v>
      </c>
      <c r="N326">
        <v>2</v>
      </c>
      <c r="O326">
        <v>2</v>
      </c>
      <c r="P326">
        <v>0</v>
      </c>
      <c r="Q326" t="s">
        <v>49</v>
      </c>
      <c r="R326" t="s">
        <v>85</v>
      </c>
      <c r="S326">
        <v>1</v>
      </c>
      <c r="T326">
        <v>6</v>
      </c>
      <c r="U326" t="s">
        <v>49</v>
      </c>
      <c r="V326" t="s">
        <v>38</v>
      </c>
      <c r="W326" t="s">
        <v>66</v>
      </c>
      <c r="X326" s="3">
        <v>45618</v>
      </c>
      <c r="Y326" s="1" t="str">
        <f t="shared" si="10"/>
        <v>Nov</v>
      </c>
      <c r="Z326" s="1" t="str">
        <f t="shared" si="11"/>
        <v>2024</v>
      </c>
      <c r="AA326" t="b">
        <v>1</v>
      </c>
      <c r="AB326" t="b">
        <v>0</v>
      </c>
      <c r="AC326" t="s">
        <v>40</v>
      </c>
      <c r="AD326" t="s">
        <v>53</v>
      </c>
      <c r="AE326">
        <v>8</v>
      </c>
    </row>
    <row r="327" spans="1:31" x14ac:dyDescent="0.3">
      <c r="A327" t="s">
        <v>736</v>
      </c>
      <c r="B327">
        <v>49</v>
      </c>
      <c r="C327" t="str" cm="1">
        <f t="array" ref="C327">_xlfn.IFS(B327&lt;=18,"0-18",B327&lt;=29,"19-29",B327&gt;=49,"30-49",B327&gt;=69,"50-69",TRUE,"70+")</f>
        <v>30-49</v>
      </c>
      <c r="D327" t="s">
        <v>43</v>
      </c>
      <c r="E327" t="s">
        <v>30</v>
      </c>
      <c r="F327" t="s">
        <v>76</v>
      </c>
      <c r="G327" t="s">
        <v>32</v>
      </c>
      <c r="H327" t="s">
        <v>30</v>
      </c>
      <c r="I327" t="s">
        <v>737</v>
      </c>
      <c r="J327" t="s">
        <v>126</v>
      </c>
      <c r="K327" s="2">
        <v>393.48</v>
      </c>
      <c r="L327">
        <v>11</v>
      </c>
      <c r="M327" t="s">
        <v>48</v>
      </c>
      <c r="N327">
        <v>2</v>
      </c>
      <c r="O327">
        <v>2</v>
      </c>
      <c r="P327">
        <v>0</v>
      </c>
      <c r="Q327" t="s">
        <v>44</v>
      </c>
      <c r="R327" t="s">
        <v>85</v>
      </c>
      <c r="S327">
        <v>1</v>
      </c>
      <c r="T327">
        <v>10</v>
      </c>
      <c r="U327" t="s">
        <v>36</v>
      </c>
      <c r="V327" t="s">
        <v>38</v>
      </c>
      <c r="W327" t="s">
        <v>66</v>
      </c>
      <c r="X327" s="3">
        <v>45619</v>
      </c>
      <c r="Y327" s="1" t="str">
        <f t="shared" si="10"/>
        <v>Nov</v>
      </c>
      <c r="Z327" s="1" t="str">
        <f t="shared" si="11"/>
        <v>2024</v>
      </c>
      <c r="AA327" t="b">
        <v>1</v>
      </c>
      <c r="AB327" t="b">
        <v>1</v>
      </c>
      <c r="AC327" t="s">
        <v>40</v>
      </c>
      <c r="AD327" t="s">
        <v>53</v>
      </c>
      <c r="AE327">
        <v>3</v>
      </c>
    </row>
    <row r="328" spans="1:31" x14ac:dyDescent="0.3">
      <c r="A328" t="s">
        <v>738</v>
      </c>
      <c r="B328">
        <v>19</v>
      </c>
      <c r="C328" t="str" cm="1">
        <f t="array" ref="C328">_xlfn.IFS(B328&lt;=18,"0-18",B328&lt;=29,"19-29",B328&gt;=49,"30-49",B328&gt;=69,"50-69",TRUE,"70+")</f>
        <v>19-29</v>
      </c>
      <c r="D328" t="s">
        <v>148</v>
      </c>
      <c r="E328" t="s">
        <v>44</v>
      </c>
      <c r="F328" t="s">
        <v>55</v>
      </c>
      <c r="G328" t="s">
        <v>45</v>
      </c>
      <c r="H328" t="s">
        <v>44</v>
      </c>
      <c r="I328" t="s">
        <v>739</v>
      </c>
      <c r="J328" t="s">
        <v>58</v>
      </c>
      <c r="K328" s="2">
        <v>241.72</v>
      </c>
      <c r="L328">
        <v>6</v>
      </c>
      <c r="M328" t="s">
        <v>35</v>
      </c>
      <c r="N328">
        <v>5</v>
      </c>
      <c r="O328">
        <v>2</v>
      </c>
      <c r="P328">
        <v>1</v>
      </c>
      <c r="Q328" t="s">
        <v>49</v>
      </c>
      <c r="R328" t="s">
        <v>50</v>
      </c>
      <c r="S328">
        <v>0</v>
      </c>
      <c r="T328">
        <v>8</v>
      </c>
      <c r="U328" t="s">
        <v>44</v>
      </c>
      <c r="V328" t="s">
        <v>79</v>
      </c>
      <c r="W328" t="s">
        <v>61</v>
      </c>
      <c r="X328" s="3">
        <v>45620</v>
      </c>
      <c r="Y328" s="1" t="str">
        <f t="shared" si="10"/>
        <v>Nov</v>
      </c>
      <c r="Z328" s="1" t="str">
        <f t="shared" si="11"/>
        <v>2024</v>
      </c>
      <c r="AA328" t="b">
        <v>0</v>
      </c>
      <c r="AB328" t="b">
        <v>1</v>
      </c>
      <c r="AC328" t="s">
        <v>74</v>
      </c>
      <c r="AD328" t="s">
        <v>67</v>
      </c>
      <c r="AE328">
        <v>2</v>
      </c>
    </row>
    <row r="329" spans="1:31" x14ac:dyDescent="0.3">
      <c r="A329" t="s">
        <v>740</v>
      </c>
      <c r="B329">
        <v>27</v>
      </c>
      <c r="C329" t="str" cm="1">
        <f t="array" ref="C329">_xlfn.IFS(B329&lt;=18,"0-18",B329&lt;=29,"19-29",B329&gt;=49,"30-49",B329&gt;=69,"50-69",TRUE,"70+")</f>
        <v>19-29</v>
      </c>
      <c r="D329" t="s">
        <v>29</v>
      </c>
      <c r="E329" t="s">
        <v>44</v>
      </c>
      <c r="F329" t="s">
        <v>55</v>
      </c>
      <c r="G329" t="s">
        <v>32</v>
      </c>
      <c r="H329" t="s">
        <v>44</v>
      </c>
      <c r="I329" t="s">
        <v>645</v>
      </c>
      <c r="J329" t="s">
        <v>120</v>
      </c>
      <c r="K329" s="2">
        <v>280.2</v>
      </c>
      <c r="L329">
        <v>3</v>
      </c>
      <c r="M329" t="s">
        <v>48</v>
      </c>
      <c r="N329">
        <v>4</v>
      </c>
      <c r="O329">
        <v>2</v>
      </c>
      <c r="P329">
        <v>0</v>
      </c>
      <c r="Q329" t="s">
        <v>49</v>
      </c>
      <c r="R329" t="s">
        <v>37</v>
      </c>
      <c r="S329">
        <v>2</v>
      </c>
      <c r="T329">
        <v>7</v>
      </c>
      <c r="U329" t="s">
        <v>36</v>
      </c>
      <c r="V329" t="s">
        <v>79</v>
      </c>
      <c r="W329" t="s">
        <v>66</v>
      </c>
      <c r="X329" s="3">
        <v>45621</v>
      </c>
      <c r="Y329" s="1" t="str">
        <f t="shared" si="10"/>
        <v>Nov</v>
      </c>
      <c r="Z329" s="1" t="str">
        <f t="shared" si="11"/>
        <v>2024</v>
      </c>
      <c r="AA329" t="b">
        <v>0</v>
      </c>
      <c r="AB329" t="b">
        <v>0</v>
      </c>
      <c r="AC329" t="s">
        <v>40</v>
      </c>
      <c r="AD329" t="s">
        <v>41</v>
      </c>
      <c r="AE329">
        <v>13</v>
      </c>
    </row>
    <row r="330" spans="1:31" x14ac:dyDescent="0.3">
      <c r="A330" t="s">
        <v>741</v>
      </c>
      <c r="B330">
        <v>36</v>
      </c>
      <c r="C330" t="str" cm="1">
        <f t="array" ref="C330">_xlfn.IFS(B330&lt;=18,"0-18",B330&lt;=29,"19-29",B330&gt;=49,"30-49",B330&gt;=69,"50-69",TRUE,"70+")</f>
        <v>70+</v>
      </c>
      <c r="D330" t="s">
        <v>29</v>
      </c>
      <c r="E330" t="s">
        <v>30</v>
      </c>
      <c r="F330" t="s">
        <v>55</v>
      </c>
      <c r="G330" t="s">
        <v>56</v>
      </c>
      <c r="H330" t="s">
        <v>30</v>
      </c>
      <c r="I330" t="s">
        <v>742</v>
      </c>
      <c r="J330" t="s">
        <v>142</v>
      </c>
      <c r="K330" s="2">
        <v>178.04</v>
      </c>
      <c r="L330">
        <v>5</v>
      </c>
      <c r="M330" t="s">
        <v>35</v>
      </c>
      <c r="N330">
        <v>1</v>
      </c>
      <c r="O330">
        <v>1</v>
      </c>
      <c r="P330">
        <v>2</v>
      </c>
      <c r="Q330" t="s">
        <v>36</v>
      </c>
      <c r="R330" t="s">
        <v>37</v>
      </c>
      <c r="S330">
        <v>2</v>
      </c>
      <c r="T330">
        <v>10</v>
      </c>
      <c r="U330" t="s">
        <v>44</v>
      </c>
      <c r="V330" t="s">
        <v>60</v>
      </c>
      <c r="W330" t="s">
        <v>39</v>
      </c>
      <c r="X330" s="3">
        <v>45622</v>
      </c>
      <c r="Y330" s="1" t="str">
        <f t="shared" si="10"/>
        <v>Nov</v>
      </c>
      <c r="Z330" s="1" t="str">
        <f t="shared" si="11"/>
        <v>2024</v>
      </c>
      <c r="AA330" t="b">
        <v>1</v>
      </c>
      <c r="AB330" t="b">
        <v>1</v>
      </c>
      <c r="AC330" t="s">
        <v>62</v>
      </c>
      <c r="AD330" t="s">
        <v>67</v>
      </c>
      <c r="AE330">
        <v>11</v>
      </c>
    </row>
    <row r="331" spans="1:31" x14ac:dyDescent="0.3">
      <c r="A331" t="s">
        <v>743</v>
      </c>
      <c r="B331">
        <v>37</v>
      </c>
      <c r="C331" t="str" cm="1">
        <f t="array" ref="C331">_xlfn.IFS(B331&lt;=18,"0-18",B331&lt;=29,"19-29",B331&gt;=49,"30-49",B331&gt;=69,"50-69",TRUE,"70+")</f>
        <v>70+</v>
      </c>
      <c r="D331" t="s">
        <v>43</v>
      </c>
      <c r="E331" t="s">
        <v>44</v>
      </c>
      <c r="F331" t="s">
        <v>31</v>
      </c>
      <c r="G331" t="s">
        <v>56</v>
      </c>
      <c r="H331" t="s">
        <v>30</v>
      </c>
      <c r="I331" t="s">
        <v>744</v>
      </c>
      <c r="J331" t="s">
        <v>114</v>
      </c>
      <c r="K331" s="2">
        <v>347.99</v>
      </c>
      <c r="L331">
        <v>5</v>
      </c>
      <c r="M331" t="s">
        <v>35</v>
      </c>
      <c r="N331">
        <v>4</v>
      </c>
      <c r="O331">
        <v>4</v>
      </c>
      <c r="P331">
        <v>1</v>
      </c>
      <c r="Q331" t="s">
        <v>59</v>
      </c>
      <c r="R331" t="s">
        <v>37</v>
      </c>
      <c r="S331">
        <v>0</v>
      </c>
      <c r="T331">
        <v>1</v>
      </c>
      <c r="U331" t="s">
        <v>44</v>
      </c>
      <c r="V331" t="s">
        <v>79</v>
      </c>
      <c r="W331" t="s">
        <v>51</v>
      </c>
      <c r="X331" s="3">
        <v>45623</v>
      </c>
      <c r="Y331" s="1" t="str">
        <f t="shared" si="10"/>
        <v>Nov</v>
      </c>
      <c r="Z331" s="1" t="str">
        <f t="shared" si="11"/>
        <v>2024</v>
      </c>
      <c r="AA331" t="b">
        <v>1</v>
      </c>
      <c r="AB331" t="b">
        <v>0</v>
      </c>
      <c r="AC331" t="s">
        <v>74</v>
      </c>
      <c r="AD331" t="s">
        <v>53</v>
      </c>
      <c r="AE331">
        <v>6</v>
      </c>
    </row>
    <row r="332" spans="1:31" x14ac:dyDescent="0.3">
      <c r="A332" t="s">
        <v>745</v>
      </c>
      <c r="B332">
        <v>45</v>
      </c>
      <c r="C332" t="str" cm="1">
        <f t="array" ref="C332">_xlfn.IFS(B332&lt;=18,"0-18",B332&lt;=29,"19-29",B332&gt;=49,"30-49",B332&gt;=69,"50-69",TRUE,"70+")</f>
        <v>70+</v>
      </c>
      <c r="D332" t="s">
        <v>29</v>
      </c>
      <c r="E332" t="s">
        <v>30</v>
      </c>
      <c r="F332" t="s">
        <v>55</v>
      </c>
      <c r="G332" t="s">
        <v>56</v>
      </c>
      <c r="H332" t="s">
        <v>44</v>
      </c>
      <c r="I332" t="s">
        <v>746</v>
      </c>
      <c r="J332" t="s">
        <v>58</v>
      </c>
      <c r="K332" s="2">
        <v>343.81</v>
      </c>
      <c r="L332">
        <v>3</v>
      </c>
      <c r="M332" t="s">
        <v>48</v>
      </c>
      <c r="N332">
        <v>3</v>
      </c>
      <c r="O332">
        <v>5</v>
      </c>
      <c r="P332">
        <v>0</v>
      </c>
      <c r="Q332" t="s">
        <v>44</v>
      </c>
      <c r="R332" t="s">
        <v>37</v>
      </c>
      <c r="S332">
        <v>0</v>
      </c>
      <c r="T332">
        <v>7</v>
      </c>
      <c r="U332" t="s">
        <v>49</v>
      </c>
      <c r="V332" t="s">
        <v>79</v>
      </c>
      <c r="W332" t="s">
        <v>39</v>
      </c>
      <c r="X332" s="3">
        <v>45624</v>
      </c>
      <c r="Y332" s="1" t="str">
        <f t="shared" si="10"/>
        <v>Nov</v>
      </c>
      <c r="Z332" s="1" t="str">
        <f t="shared" si="11"/>
        <v>2024</v>
      </c>
      <c r="AA332" t="b">
        <v>0</v>
      </c>
      <c r="AB332" t="b">
        <v>1</v>
      </c>
      <c r="AC332" t="s">
        <v>40</v>
      </c>
      <c r="AD332" t="s">
        <v>53</v>
      </c>
      <c r="AE332">
        <v>3</v>
      </c>
    </row>
    <row r="333" spans="1:31" x14ac:dyDescent="0.3">
      <c r="A333" t="s">
        <v>747</v>
      </c>
      <c r="B333">
        <v>47</v>
      </c>
      <c r="C333" t="str" cm="1">
        <f t="array" ref="C333">_xlfn.IFS(B333&lt;=18,"0-18",B333&lt;=29,"19-29",B333&gt;=49,"30-49",B333&gt;=69,"50-69",TRUE,"70+")</f>
        <v>70+</v>
      </c>
      <c r="D333" t="s">
        <v>29</v>
      </c>
      <c r="E333" t="s">
        <v>30</v>
      </c>
      <c r="F333" t="s">
        <v>31</v>
      </c>
      <c r="G333" t="s">
        <v>56</v>
      </c>
      <c r="H333" t="s">
        <v>30</v>
      </c>
      <c r="I333" t="s">
        <v>748</v>
      </c>
      <c r="J333" t="s">
        <v>101</v>
      </c>
      <c r="K333" s="2">
        <v>105.29</v>
      </c>
      <c r="L333">
        <v>7</v>
      </c>
      <c r="M333" t="s">
        <v>48</v>
      </c>
      <c r="N333">
        <v>2</v>
      </c>
      <c r="O333">
        <v>5</v>
      </c>
      <c r="P333">
        <v>0</v>
      </c>
      <c r="Q333" t="s">
        <v>59</v>
      </c>
      <c r="R333" t="s">
        <v>85</v>
      </c>
      <c r="S333">
        <v>0</v>
      </c>
      <c r="T333">
        <v>1</v>
      </c>
      <c r="U333" t="s">
        <v>44</v>
      </c>
      <c r="V333" t="s">
        <v>79</v>
      </c>
      <c r="W333" t="s">
        <v>86</v>
      </c>
      <c r="X333" s="3">
        <v>45625</v>
      </c>
      <c r="Y333" s="1" t="str">
        <f t="shared" si="10"/>
        <v>Nov</v>
      </c>
      <c r="Z333" s="1" t="str">
        <f t="shared" si="11"/>
        <v>2024</v>
      </c>
      <c r="AA333" t="b">
        <v>0</v>
      </c>
      <c r="AB333" t="b">
        <v>1</v>
      </c>
      <c r="AC333" t="s">
        <v>40</v>
      </c>
      <c r="AD333" t="s">
        <v>67</v>
      </c>
      <c r="AE333">
        <v>4</v>
      </c>
    </row>
    <row r="334" spans="1:31" x14ac:dyDescent="0.3">
      <c r="A334" t="s">
        <v>749</v>
      </c>
      <c r="B334">
        <v>32</v>
      </c>
      <c r="C334" t="str" cm="1">
        <f t="array" ref="C334">_xlfn.IFS(B334&lt;=18,"0-18",B334&lt;=29,"19-29",B334&gt;=49,"30-49",B334&gt;=69,"50-69",TRUE,"70+")</f>
        <v>70+</v>
      </c>
      <c r="D334" t="s">
        <v>43</v>
      </c>
      <c r="E334" t="s">
        <v>30</v>
      </c>
      <c r="F334" t="s">
        <v>55</v>
      </c>
      <c r="G334" t="s">
        <v>45</v>
      </c>
      <c r="H334" t="s">
        <v>30</v>
      </c>
      <c r="I334" t="s">
        <v>750</v>
      </c>
      <c r="J334" t="s">
        <v>107</v>
      </c>
      <c r="K334" s="2">
        <v>483.66</v>
      </c>
      <c r="L334">
        <v>3</v>
      </c>
      <c r="M334" t="s">
        <v>78</v>
      </c>
      <c r="N334">
        <v>1</v>
      </c>
      <c r="O334">
        <v>4</v>
      </c>
      <c r="P334">
        <v>1</v>
      </c>
      <c r="Q334" t="s">
        <v>49</v>
      </c>
      <c r="R334" t="s">
        <v>50</v>
      </c>
      <c r="S334">
        <v>2</v>
      </c>
      <c r="T334">
        <v>1</v>
      </c>
      <c r="U334" t="s">
        <v>49</v>
      </c>
      <c r="V334" t="s">
        <v>79</v>
      </c>
      <c r="W334" t="s">
        <v>66</v>
      </c>
      <c r="X334" s="3">
        <v>45626</v>
      </c>
      <c r="Y334" s="1" t="str">
        <f t="shared" si="10"/>
        <v>Nov</v>
      </c>
      <c r="Z334" s="1" t="str">
        <f t="shared" si="11"/>
        <v>2024</v>
      </c>
      <c r="AA334" t="b">
        <v>0</v>
      </c>
      <c r="AB334" t="b">
        <v>0</v>
      </c>
      <c r="AC334" t="s">
        <v>62</v>
      </c>
      <c r="AD334" t="s">
        <v>53</v>
      </c>
      <c r="AE334">
        <v>9</v>
      </c>
    </row>
    <row r="335" spans="1:31" x14ac:dyDescent="0.3">
      <c r="A335" t="s">
        <v>751</v>
      </c>
      <c r="B335">
        <v>48</v>
      </c>
      <c r="C335" t="str" cm="1">
        <f t="array" ref="C335">_xlfn.IFS(B335&lt;=18,"0-18",B335&lt;=29,"19-29",B335&gt;=49,"30-49",B335&gt;=69,"50-69",TRUE,"70+")</f>
        <v>70+</v>
      </c>
      <c r="D335" t="s">
        <v>43</v>
      </c>
      <c r="E335" t="s">
        <v>30</v>
      </c>
      <c r="F335" t="s">
        <v>31</v>
      </c>
      <c r="G335" t="s">
        <v>32</v>
      </c>
      <c r="H335" t="s">
        <v>30</v>
      </c>
      <c r="I335" t="s">
        <v>752</v>
      </c>
      <c r="J335" t="s">
        <v>65</v>
      </c>
      <c r="K335" s="2">
        <v>69.41</v>
      </c>
      <c r="L335">
        <v>8</v>
      </c>
      <c r="M335" t="s">
        <v>35</v>
      </c>
      <c r="N335">
        <v>5</v>
      </c>
      <c r="O335">
        <v>3</v>
      </c>
      <c r="P335">
        <v>0</v>
      </c>
      <c r="Q335" t="s">
        <v>44</v>
      </c>
      <c r="R335" t="s">
        <v>37</v>
      </c>
      <c r="S335">
        <v>1</v>
      </c>
      <c r="T335">
        <v>9</v>
      </c>
      <c r="U335" t="s">
        <v>44</v>
      </c>
      <c r="V335" t="s">
        <v>38</v>
      </c>
      <c r="W335" t="s">
        <v>86</v>
      </c>
      <c r="X335" s="3">
        <v>45627</v>
      </c>
      <c r="Y335" s="1" t="str">
        <f t="shared" si="10"/>
        <v>Dec</v>
      </c>
      <c r="Z335" s="1" t="str">
        <f t="shared" si="11"/>
        <v>2024</v>
      </c>
      <c r="AA335" t="b">
        <v>0</v>
      </c>
      <c r="AB335" t="b">
        <v>0</v>
      </c>
      <c r="AC335" t="s">
        <v>52</v>
      </c>
      <c r="AD335" t="s">
        <v>53</v>
      </c>
      <c r="AE335">
        <v>5</v>
      </c>
    </row>
    <row r="336" spans="1:31" x14ac:dyDescent="0.3">
      <c r="A336" t="s">
        <v>753</v>
      </c>
      <c r="B336">
        <v>20</v>
      </c>
      <c r="C336" t="str" cm="1">
        <f t="array" ref="C336">_xlfn.IFS(B336&lt;=18,"0-18",B336&lt;=29,"19-29",B336&gt;=49,"30-49",B336&gt;=69,"50-69",TRUE,"70+")</f>
        <v>19-29</v>
      </c>
      <c r="D336" t="s">
        <v>148</v>
      </c>
      <c r="E336" t="s">
        <v>44</v>
      </c>
      <c r="F336" t="s">
        <v>55</v>
      </c>
      <c r="G336" t="s">
        <v>56</v>
      </c>
      <c r="H336" t="s">
        <v>30</v>
      </c>
      <c r="I336" t="s">
        <v>754</v>
      </c>
      <c r="J336" t="s">
        <v>126</v>
      </c>
      <c r="K336" s="2">
        <v>207.18</v>
      </c>
      <c r="L336">
        <v>11</v>
      </c>
      <c r="M336" t="s">
        <v>78</v>
      </c>
      <c r="N336">
        <v>1</v>
      </c>
      <c r="O336">
        <v>3</v>
      </c>
      <c r="P336">
        <v>0</v>
      </c>
      <c r="Q336" t="s">
        <v>59</v>
      </c>
      <c r="R336" t="s">
        <v>37</v>
      </c>
      <c r="S336">
        <v>1</v>
      </c>
      <c r="T336">
        <v>5</v>
      </c>
      <c r="U336" t="s">
        <v>44</v>
      </c>
      <c r="V336" t="s">
        <v>38</v>
      </c>
      <c r="W336" t="s">
        <v>51</v>
      </c>
      <c r="X336" s="3">
        <v>45628</v>
      </c>
      <c r="Y336" s="1" t="str">
        <f t="shared" si="10"/>
        <v>Dec</v>
      </c>
      <c r="Z336" s="1" t="str">
        <f t="shared" si="11"/>
        <v>2024</v>
      </c>
      <c r="AA336" t="b">
        <v>0</v>
      </c>
      <c r="AB336" t="b">
        <v>0</v>
      </c>
      <c r="AC336" t="s">
        <v>52</v>
      </c>
      <c r="AD336" t="s">
        <v>53</v>
      </c>
      <c r="AE336">
        <v>8</v>
      </c>
    </row>
    <row r="337" spans="1:31" x14ac:dyDescent="0.3">
      <c r="A337" t="s">
        <v>755</v>
      </c>
      <c r="B337">
        <v>32</v>
      </c>
      <c r="C337" t="str" cm="1">
        <f t="array" ref="C337">_xlfn.IFS(B337&lt;=18,"0-18",B337&lt;=29,"19-29",B337&gt;=49,"30-49",B337&gt;=69,"50-69",TRUE,"70+")</f>
        <v>70+</v>
      </c>
      <c r="D337" t="s">
        <v>43</v>
      </c>
      <c r="E337" t="s">
        <v>30</v>
      </c>
      <c r="F337" t="s">
        <v>76</v>
      </c>
      <c r="G337" t="s">
        <v>45</v>
      </c>
      <c r="H337" t="s">
        <v>44</v>
      </c>
      <c r="I337" t="s">
        <v>756</v>
      </c>
      <c r="J337" t="s">
        <v>142</v>
      </c>
      <c r="K337" s="2">
        <v>454.15</v>
      </c>
      <c r="L337">
        <v>11</v>
      </c>
      <c r="M337" t="s">
        <v>48</v>
      </c>
      <c r="N337">
        <v>2</v>
      </c>
      <c r="O337">
        <v>1</v>
      </c>
      <c r="P337">
        <v>1</v>
      </c>
      <c r="Q337" t="s">
        <v>44</v>
      </c>
      <c r="R337" t="s">
        <v>50</v>
      </c>
      <c r="S337">
        <v>1</v>
      </c>
      <c r="T337">
        <v>8</v>
      </c>
      <c r="U337" t="s">
        <v>44</v>
      </c>
      <c r="V337" t="s">
        <v>60</v>
      </c>
      <c r="W337" t="s">
        <v>86</v>
      </c>
      <c r="X337" s="3">
        <v>45629</v>
      </c>
      <c r="Y337" s="1" t="str">
        <f t="shared" si="10"/>
        <v>Dec</v>
      </c>
      <c r="Z337" s="1" t="str">
        <f t="shared" si="11"/>
        <v>2024</v>
      </c>
      <c r="AA337" t="b">
        <v>1</v>
      </c>
      <c r="AB337" t="b">
        <v>1</v>
      </c>
      <c r="AC337" t="s">
        <v>74</v>
      </c>
      <c r="AD337" t="s">
        <v>67</v>
      </c>
      <c r="AE337">
        <v>13</v>
      </c>
    </row>
    <row r="338" spans="1:31" x14ac:dyDescent="0.3">
      <c r="A338" t="s">
        <v>757</v>
      </c>
      <c r="B338">
        <v>25</v>
      </c>
      <c r="C338" t="str" cm="1">
        <f t="array" ref="C338">_xlfn.IFS(B338&lt;=18,"0-18",B338&lt;=29,"19-29",B338&gt;=49,"30-49",B338&gt;=69,"50-69",TRUE,"70+")</f>
        <v>19-29</v>
      </c>
      <c r="D338" t="s">
        <v>43</v>
      </c>
      <c r="E338" t="s">
        <v>44</v>
      </c>
      <c r="F338" t="s">
        <v>69</v>
      </c>
      <c r="G338" t="s">
        <v>45</v>
      </c>
      <c r="H338" t="s">
        <v>44</v>
      </c>
      <c r="I338" t="s">
        <v>758</v>
      </c>
      <c r="J338" t="s">
        <v>158</v>
      </c>
      <c r="K338" s="2">
        <v>113.01</v>
      </c>
      <c r="L338">
        <v>11</v>
      </c>
      <c r="M338" t="s">
        <v>48</v>
      </c>
      <c r="N338">
        <v>5</v>
      </c>
      <c r="O338">
        <v>2</v>
      </c>
      <c r="P338">
        <v>2</v>
      </c>
      <c r="Q338" t="s">
        <v>59</v>
      </c>
      <c r="R338" t="s">
        <v>85</v>
      </c>
      <c r="S338">
        <v>1</v>
      </c>
      <c r="T338">
        <v>1</v>
      </c>
      <c r="U338" t="s">
        <v>36</v>
      </c>
      <c r="V338" t="s">
        <v>38</v>
      </c>
      <c r="W338" t="s">
        <v>39</v>
      </c>
      <c r="X338" s="3">
        <v>45630</v>
      </c>
      <c r="Y338" s="1" t="str">
        <f t="shared" si="10"/>
        <v>Dec</v>
      </c>
      <c r="Z338" s="1" t="str">
        <f t="shared" si="11"/>
        <v>2024</v>
      </c>
      <c r="AA338" t="b">
        <v>0</v>
      </c>
      <c r="AB338" t="b">
        <v>1</v>
      </c>
      <c r="AC338" t="s">
        <v>62</v>
      </c>
      <c r="AD338" t="s">
        <v>67</v>
      </c>
      <c r="AE338">
        <v>4</v>
      </c>
    </row>
    <row r="339" spans="1:31" x14ac:dyDescent="0.3">
      <c r="A339" t="s">
        <v>759</v>
      </c>
      <c r="B339">
        <v>42</v>
      </c>
      <c r="C339" t="str" cm="1">
        <f t="array" ref="C339">_xlfn.IFS(B339&lt;=18,"0-18",B339&lt;=29,"19-29",B339&gt;=49,"30-49",B339&gt;=69,"50-69",TRUE,"70+")</f>
        <v>70+</v>
      </c>
      <c r="D339" t="s">
        <v>43</v>
      </c>
      <c r="E339" t="s">
        <v>30</v>
      </c>
      <c r="F339" t="s">
        <v>76</v>
      </c>
      <c r="G339" t="s">
        <v>32</v>
      </c>
      <c r="H339" t="s">
        <v>30</v>
      </c>
      <c r="I339" t="s">
        <v>760</v>
      </c>
      <c r="J339" t="s">
        <v>114</v>
      </c>
      <c r="K339" s="2">
        <v>419.13</v>
      </c>
      <c r="L339">
        <v>4</v>
      </c>
      <c r="M339" t="s">
        <v>35</v>
      </c>
      <c r="N339">
        <v>3</v>
      </c>
      <c r="O339">
        <v>5</v>
      </c>
      <c r="P339">
        <v>1</v>
      </c>
      <c r="Q339" t="s">
        <v>36</v>
      </c>
      <c r="R339" t="s">
        <v>50</v>
      </c>
      <c r="S339">
        <v>0</v>
      </c>
      <c r="T339">
        <v>1</v>
      </c>
      <c r="U339" t="s">
        <v>36</v>
      </c>
      <c r="V339" t="s">
        <v>60</v>
      </c>
      <c r="W339" t="s">
        <v>86</v>
      </c>
      <c r="X339" s="3">
        <v>45631</v>
      </c>
      <c r="Y339" s="1" t="str">
        <f t="shared" si="10"/>
        <v>Dec</v>
      </c>
      <c r="Z339" s="1" t="str">
        <f t="shared" si="11"/>
        <v>2024</v>
      </c>
      <c r="AA339" t="b">
        <v>0</v>
      </c>
      <c r="AB339" t="b">
        <v>1</v>
      </c>
      <c r="AC339" t="s">
        <v>52</v>
      </c>
      <c r="AD339" t="s">
        <v>67</v>
      </c>
      <c r="AE339">
        <v>6</v>
      </c>
    </row>
    <row r="340" spans="1:31" x14ac:dyDescent="0.3">
      <c r="A340" t="s">
        <v>761</v>
      </c>
      <c r="B340">
        <v>37</v>
      </c>
      <c r="C340" t="str" cm="1">
        <f t="array" ref="C340">_xlfn.IFS(B340&lt;=18,"0-18",B340&lt;=29,"19-29",B340&gt;=49,"30-49",B340&gt;=69,"50-69",TRUE,"70+")</f>
        <v>70+</v>
      </c>
      <c r="D340" t="s">
        <v>29</v>
      </c>
      <c r="E340" t="s">
        <v>44</v>
      </c>
      <c r="F340" t="s">
        <v>55</v>
      </c>
      <c r="G340" t="s">
        <v>32</v>
      </c>
      <c r="H340" t="s">
        <v>44</v>
      </c>
      <c r="I340" t="s">
        <v>762</v>
      </c>
      <c r="J340" t="s">
        <v>246</v>
      </c>
      <c r="K340" s="2">
        <v>183.86</v>
      </c>
      <c r="L340">
        <v>5</v>
      </c>
      <c r="M340" t="s">
        <v>35</v>
      </c>
      <c r="N340">
        <v>1</v>
      </c>
      <c r="O340">
        <v>1</v>
      </c>
      <c r="P340">
        <v>2</v>
      </c>
      <c r="Q340" t="s">
        <v>49</v>
      </c>
      <c r="R340" t="s">
        <v>50</v>
      </c>
      <c r="S340">
        <v>1</v>
      </c>
      <c r="T340">
        <v>4</v>
      </c>
      <c r="U340" t="s">
        <v>59</v>
      </c>
      <c r="V340" t="s">
        <v>60</v>
      </c>
      <c r="W340" t="s">
        <v>61</v>
      </c>
      <c r="X340" s="3">
        <v>45632</v>
      </c>
      <c r="Y340" s="1" t="str">
        <f t="shared" si="10"/>
        <v>Dec</v>
      </c>
      <c r="Z340" s="1" t="str">
        <f t="shared" si="11"/>
        <v>2024</v>
      </c>
      <c r="AA340" t="b">
        <v>0</v>
      </c>
      <c r="AB340" t="b">
        <v>1</v>
      </c>
      <c r="AC340" t="s">
        <v>52</v>
      </c>
      <c r="AD340" t="s">
        <v>53</v>
      </c>
      <c r="AE340">
        <v>3</v>
      </c>
    </row>
    <row r="341" spans="1:31" x14ac:dyDescent="0.3">
      <c r="A341" t="s">
        <v>763</v>
      </c>
      <c r="B341">
        <v>21</v>
      </c>
      <c r="C341" t="str" cm="1">
        <f t="array" ref="C341">_xlfn.IFS(B341&lt;=18,"0-18",B341&lt;=29,"19-29",B341&gt;=49,"30-49",B341&gt;=69,"50-69",TRUE,"70+")</f>
        <v>19-29</v>
      </c>
      <c r="D341" t="s">
        <v>148</v>
      </c>
      <c r="E341" t="s">
        <v>30</v>
      </c>
      <c r="F341" t="s">
        <v>69</v>
      </c>
      <c r="G341" t="s">
        <v>56</v>
      </c>
      <c r="H341" t="s">
        <v>30</v>
      </c>
      <c r="I341" t="s">
        <v>764</v>
      </c>
      <c r="J341" t="s">
        <v>114</v>
      </c>
      <c r="K341" s="2">
        <v>53.87</v>
      </c>
      <c r="L341">
        <v>10</v>
      </c>
      <c r="M341" t="s">
        <v>48</v>
      </c>
      <c r="N341">
        <v>4</v>
      </c>
      <c r="O341">
        <v>3</v>
      </c>
      <c r="P341">
        <v>0</v>
      </c>
      <c r="Q341" t="s">
        <v>49</v>
      </c>
      <c r="R341" t="s">
        <v>85</v>
      </c>
      <c r="S341">
        <v>0</v>
      </c>
      <c r="T341">
        <v>10</v>
      </c>
      <c r="U341" t="s">
        <v>44</v>
      </c>
      <c r="V341" t="s">
        <v>38</v>
      </c>
      <c r="W341" t="s">
        <v>86</v>
      </c>
      <c r="X341" s="3">
        <v>45633</v>
      </c>
      <c r="Y341" s="1" t="str">
        <f t="shared" si="10"/>
        <v>Dec</v>
      </c>
      <c r="Z341" s="1" t="str">
        <f t="shared" si="11"/>
        <v>2024</v>
      </c>
      <c r="AA341" t="b">
        <v>1</v>
      </c>
      <c r="AB341" t="b">
        <v>0</v>
      </c>
      <c r="AC341" t="s">
        <v>74</v>
      </c>
      <c r="AD341" t="s">
        <v>41</v>
      </c>
      <c r="AE341">
        <v>2</v>
      </c>
    </row>
    <row r="342" spans="1:31" x14ac:dyDescent="0.3">
      <c r="A342" t="s">
        <v>765</v>
      </c>
      <c r="B342">
        <v>43</v>
      </c>
      <c r="C342" t="str" cm="1">
        <f t="array" ref="C342">_xlfn.IFS(B342&lt;=18,"0-18",B342&lt;=29,"19-29",B342&gt;=49,"30-49",B342&gt;=69,"50-69",TRUE,"70+")</f>
        <v>70+</v>
      </c>
      <c r="D342" t="s">
        <v>29</v>
      </c>
      <c r="E342" t="s">
        <v>44</v>
      </c>
      <c r="F342" t="s">
        <v>69</v>
      </c>
      <c r="G342" t="s">
        <v>32</v>
      </c>
      <c r="H342" t="s">
        <v>44</v>
      </c>
      <c r="I342" t="s">
        <v>766</v>
      </c>
      <c r="J342" t="s">
        <v>47</v>
      </c>
      <c r="K342" s="2">
        <v>427.82</v>
      </c>
      <c r="L342">
        <v>9</v>
      </c>
      <c r="M342" t="s">
        <v>48</v>
      </c>
      <c r="N342">
        <v>5</v>
      </c>
      <c r="O342">
        <v>5</v>
      </c>
      <c r="P342">
        <v>0</v>
      </c>
      <c r="Q342" t="s">
        <v>49</v>
      </c>
      <c r="R342" t="s">
        <v>37</v>
      </c>
      <c r="S342">
        <v>1</v>
      </c>
      <c r="T342">
        <v>2</v>
      </c>
      <c r="U342" t="s">
        <v>49</v>
      </c>
      <c r="V342" t="s">
        <v>79</v>
      </c>
      <c r="W342" t="s">
        <v>51</v>
      </c>
      <c r="X342" s="3">
        <v>45634</v>
      </c>
      <c r="Y342" s="1" t="str">
        <f t="shared" si="10"/>
        <v>Dec</v>
      </c>
      <c r="Z342" s="1" t="str">
        <f t="shared" si="11"/>
        <v>2024</v>
      </c>
      <c r="AA342" t="b">
        <v>1</v>
      </c>
      <c r="AB342" t="b">
        <v>0</v>
      </c>
      <c r="AC342" t="s">
        <v>52</v>
      </c>
      <c r="AD342" t="s">
        <v>41</v>
      </c>
      <c r="AE342">
        <v>14</v>
      </c>
    </row>
    <row r="343" spans="1:31" x14ac:dyDescent="0.3">
      <c r="A343" t="s">
        <v>767</v>
      </c>
      <c r="B343">
        <v>29</v>
      </c>
      <c r="C343" t="str" cm="1">
        <f t="array" ref="C343">_xlfn.IFS(B343&lt;=18,"0-18",B343&lt;=29,"19-29",B343&gt;=49,"30-49",B343&gt;=69,"50-69",TRUE,"70+")</f>
        <v>19-29</v>
      </c>
      <c r="D343" t="s">
        <v>29</v>
      </c>
      <c r="E343" t="s">
        <v>44</v>
      </c>
      <c r="F343" t="s">
        <v>76</v>
      </c>
      <c r="G343" t="s">
        <v>32</v>
      </c>
      <c r="H343" t="s">
        <v>30</v>
      </c>
      <c r="I343" t="s">
        <v>768</v>
      </c>
      <c r="J343" t="s">
        <v>114</v>
      </c>
      <c r="K343" s="2">
        <v>282.82</v>
      </c>
      <c r="L343">
        <v>6</v>
      </c>
      <c r="M343" t="s">
        <v>48</v>
      </c>
      <c r="N343">
        <v>5</v>
      </c>
      <c r="O343">
        <v>3</v>
      </c>
      <c r="P343">
        <v>2</v>
      </c>
      <c r="Q343" t="s">
        <v>49</v>
      </c>
      <c r="R343" t="s">
        <v>85</v>
      </c>
      <c r="S343">
        <v>2</v>
      </c>
      <c r="T343">
        <v>7</v>
      </c>
      <c r="U343" t="s">
        <v>36</v>
      </c>
      <c r="V343" t="s">
        <v>79</v>
      </c>
      <c r="W343" t="s">
        <v>66</v>
      </c>
      <c r="X343" s="3">
        <v>45635</v>
      </c>
      <c r="Y343" s="1" t="str">
        <f t="shared" si="10"/>
        <v>Dec</v>
      </c>
      <c r="Z343" s="1" t="str">
        <f t="shared" si="11"/>
        <v>2024</v>
      </c>
      <c r="AA343" t="b">
        <v>0</v>
      </c>
      <c r="AB343" t="b">
        <v>1</v>
      </c>
      <c r="AC343" t="s">
        <v>52</v>
      </c>
      <c r="AD343" t="s">
        <v>53</v>
      </c>
      <c r="AE343">
        <v>3</v>
      </c>
    </row>
    <row r="344" spans="1:31" x14ac:dyDescent="0.3">
      <c r="A344" t="s">
        <v>769</v>
      </c>
      <c r="B344">
        <v>28</v>
      </c>
      <c r="C344" t="str" cm="1">
        <f t="array" ref="C344">_xlfn.IFS(B344&lt;=18,"0-18",B344&lt;=29,"19-29",B344&gt;=49,"30-49",B344&gt;=69,"50-69",TRUE,"70+")</f>
        <v>19-29</v>
      </c>
      <c r="D344" t="s">
        <v>43</v>
      </c>
      <c r="E344" t="s">
        <v>30</v>
      </c>
      <c r="F344" t="s">
        <v>76</v>
      </c>
      <c r="G344" t="s">
        <v>56</v>
      </c>
      <c r="H344" t="s">
        <v>30</v>
      </c>
      <c r="I344" t="s">
        <v>770</v>
      </c>
      <c r="J344" t="s">
        <v>117</v>
      </c>
      <c r="K344" s="2">
        <v>215.31</v>
      </c>
      <c r="L344">
        <v>7</v>
      </c>
      <c r="M344" t="s">
        <v>78</v>
      </c>
      <c r="N344">
        <v>5</v>
      </c>
      <c r="O344">
        <v>5</v>
      </c>
      <c r="P344">
        <v>2</v>
      </c>
      <c r="Q344" t="s">
        <v>49</v>
      </c>
      <c r="R344" t="s">
        <v>37</v>
      </c>
      <c r="S344">
        <v>1</v>
      </c>
      <c r="T344">
        <v>8</v>
      </c>
      <c r="U344" t="s">
        <v>49</v>
      </c>
      <c r="V344" t="s">
        <v>60</v>
      </c>
      <c r="W344" t="s">
        <v>66</v>
      </c>
      <c r="X344" s="3">
        <v>45636</v>
      </c>
      <c r="Y344" s="1" t="str">
        <f t="shared" si="10"/>
        <v>Dec</v>
      </c>
      <c r="Z344" s="1" t="str">
        <f t="shared" si="11"/>
        <v>2024</v>
      </c>
      <c r="AA344" t="b">
        <v>0</v>
      </c>
      <c r="AB344" t="b">
        <v>1</v>
      </c>
      <c r="AC344" t="s">
        <v>62</v>
      </c>
      <c r="AD344" t="s">
        <v>41</v>
      </c>
      <c r="AE344">
        <v>7</v>
      </c>
    </row>
    <row r="345" spans="1:31" x14ac:dyDescent="0.3">
      <c r="A345" t="s">
        <v>771</v>
      </c>
      <c r="B345">
        <v>43</v>
      </c>
      <c r="C345" t="str" cm="1">
        <f t="array" ref="C345">_xlfn.IFS(B345&lt;=18,"0-18",B345&lt;=29,"19-29",B345&gt;=49,"30-49",B345&gt;=69,"50-69",TRUE,"70+")</f>
        <v>70+</v>
      </c>
      <c r="D345" t="s">
        <v>43</v>
      </c>
      <c r="E345" t="s">
        <v>30</v>
      </c>
      <c r="F345" t="s">
        <v>69</v>
      </c>
      <c r="G345" t="s">
        <v>56</v>
      </c>
      <c r="H345" t="s">
        <v>44</v>
      </c>
      <c r="I345" t="s">
        <v>772</v>
      </c>
      <c r="J345" t="s">
        <v>71</v>
      </c>
      <c r="K345" s="2">
        <v>183.66</v>
      </c>
      <c r="L345">
        <v>11</v>
      </c>
      <c r="M345" t="s">
        <v>78</v>
      </c>
      <c r="N345">
        <v>3</v>
      </c>
      <c r="O345">
        <v>1</v>
      </c>
      <c r="P345">
        <v>1</v>
      </c>
      <c r="Q345" t="s">
        <v>59</v>
      </c>
      <c r="R345" t="s">
        <v>85</v>
      </c>
      <c r="S345">
        <v>0</v>
      </c>
      <c r="T345">
        <v>10</v>
      </c>
      <c r="U345" t="s">
        <v>49</v>
      </c>
      <c r="V345" t="s">
        <v>38</v>
      </c>
      <c r="W345" t="s">
        <v>39</v>
      </c>
      <c r="X345" s="3">
        <v>45637</v>
      </c>
      <c r="Y345" s="1" t="str">
        <f t="shared" si="10"/>
        <v>Dec</v>
      </c>
      <c r="Z345" s="1" t="str">
        <f t="shared" si="11"/>
        <v>2024</v>
      </c>
      <c r="AA345" t="b">
        <v>1</v>
      </c>
      <c r="AB345" t="b">
        <v>1</v>
      </c>
      <c r="AC345" t="s">
        <v>74</v>
      </c>
      <c r="AD345" t="s">
        <v>41</v>
      </c>
      <c r="AE345">
        <v>6</v>
      </c>
    </row>
    <row r="346" spans="1:31" x14ac:dyDescent="0.3">
      <c r="A346" t="s">
        <v>773</v>
      </c>
      <c r="B346">
        <v>48</v>
      </c>
      <c r="C346" t="str" cm="1">
        <f t="array" ref="C346">_xlfn.IFS(B346&lt;=18,"0-18",B346&lt;=29,"19-29",B346&gt;=49,"30-49",B346&gt;=69,"50-69",TRUE,"70+")</f>
        <v>70+</v>
      </c>
      <c r="D346" t="s">
        <v>29</v>
      </c>
      <c r="E346" t="s">
        <v>44</v>
      </c>
      <c r="F346" t="s">
        <v>76</v>
      </c>
      <c r="G346" t="s">
        <v>45</v>
      </c>
      <c r="H346" t="s">
        <v>30</v>
      </c>
      <c r="I346" t="s">
        <v>774</v>
      </c>
      <c r="J346" t="s">
        <v>123</v>
      </c>
      <c r="K346" s="2">
        <v>198.73</v>
      </c>
      <c r="L346">
        <v>10</v>
      </c>
      <c r="M346" t="s">
        <v>48</v>
      </c>
      <c r="N346">
        <v>1</v>
      </c>
      <c r="O346">
        <v>5</v>
      </c>
      <c r="P346">
        <v>2</v>
      </c>
      <c r="Q346" t="s">
        <v>44</v>
      </c>
      <c r="R346" t="s">
        <v>85</v>
      </c>
      <c r="S346">
        <v>1</v>
      </c>
      <c r="T346">
        <v>5</v>
      </c>
      <c r="U346" t="s">
        <v>36</v>
      </c>
      <c r="V346" t="s">
        <v>79</v>
      </c>
      <c r="W346" t="s">
        <v>66</v>
      </c>
      <c r="X346" s="3">
        <v>45638</v>
      </c>
      <c r="Y346" s="1" t="str">
        <f t="shared" si="10"/>
        <v>Dec</v>
      </c>
      <c r="Z346" s="1" t="str">
        <f t="shared" si="11"/>
        <v>2024</v>
      </c>
      <c r="AA346" t="b">
        <v>1</v>
      </c>
      <c r="AB346" t="b">
        <v>0</v>
      </c>
      <c r="AC346" t="s">
        <v>62</v>
      </c>
      <c r="AD346" t="s">
        <v>53</v>
      </c>
      <c r="AE346">
        <v>4</v>
      </c>
    </row>
    <row r="347" spans="1:31" x14ac:dyDescent="0.3">
      <c r="A347" t="s">
        <v>775</v>
      </c>
      <c r="B347">
        <v>26</v>
      </c>
      <c r="C347" t="str" cm="1">
        <f t="array" ref="C347">_xlfn.IFS(B347&lt;=18,"0-18",B347&lt;=29,"19-29",B347&gt;=49,"30-49",B347&gt;=69,"50-69",TRUE,"70+")</f>
        <v>19-29</v>
      </c>
      <c r="D347" t="s">
        <v>29</v>
      </c>
      <c r="E347" t="s">
        <v>30</v>
      </c>
      <c r="F347" t="s">
        <v>31</v>
      </c>
      <c r="G347" t="s">
        <v>45</v>
      </c>
      <c r="H347" t="s">
        <v>44</v>
      </c>
      <c r="I347" t="s">
        <v>776</v>
      </c>
      <c r="J347" t="s">
        <v>194</v>
      </c>
      <c r="K347" s="2">
        <v>265.72000000000003</v>
      </c>
      <c r="L347">
        <v>5</v>
      </c>
      <c r="M347" t="s">
        <v>35</v>
      </c>
      <c r="N347">
        <v>5</v>
      </c>
      <c r="O347">
        <v>4</v>
      </c>
      <c r="P347">
        <v>0</v>
      </c>
      <c r="Q347" t="s">
        <v>36</v>
      </c>
      <c r="R347" t="s">
        <v>85</v>
      </c>
      <c r="S347">
        <v>0</v>
      </c>
      <c r="T347">
        <v>9</v>
      </c>
      <c r="U347" t="s">
        <v>36</v>
      </c>
      <c r="V347" t="s">
        <v>38</v>
      </c>
      <c r="W347" t="s">
        <v>61</v>
      </c>
      <c r="X347" s="3">
        <v>45639</v>
      </c>
      <c r="Y347" s="1" t="str">
        <f t="shared" si="10"/>
        <v>Dec</v>
      </c>
      <c r="Z347" s="1" t="str">
        <f t="shared" si="11"/>
        <v>2024</v>
      </c>
      <c r="AA347" t="b">
        <v>1</v>
      </c>
      <c r="AB347" t="b">
        <v>1</v>
      </c>
      <c r="AC347" t="s">
        <v>74</v>
      </c>
      <c r="AD347" t="s">
        <v>67</v>
      </c>
      <c r="AE347">
        <v>13</v>
      </c>
    </row>
    <row r="348" spans="1:31" x14ac:dyDescent="0.3">
      <c r="A348" t="s">
        <v>777</v>
      </c>
      <c r="B348">
        <v>42</v>
      </c>
      <c r="C348" t="str" cm="1">
        <f t="array" ref="C348">_xlfn.IFS(B348&lt;=18,"0-18",B348&lt;=29,"19-29",B348&gt;=49,"30-49",B348&gt;=69,"50-69",TRUE,"70+")</f>
        <v>70+</v>
      </c>
      <c r="D348" t="s">
        <v>43</v>
      </c>
      <c r="E348" t="s">
        <v>30</v>
      </c>
      <c r="F348" t="s">
        <v>31</v>
      </c>
      <c r="G348" t="s">
        <v>56</v>
      </c>
      <c r="H348" t="s">
        <v>44</v>
      </c>
      <c r="I348" t="s">
        <v>778</v>
      </c>
      <c r="J348" t="s">
        <v>120</v>
      </c>
      <c r="K348" s="2">
        <v>138.35</v>
      </c>
      <c r="L348">
        <v>2</v>
      </c>
      <c r="M348" t="s">
        <v>78</v>
      </c>
      <c r="N348">
        <v>4</v>
      </c>
      <c r="O348">
        <v>5</v>
      </c>
      <c r="P348">
        <v>2</v>
      </c>
      <c r="Q348" t="s">
        <v>59</v>
      </c>
      <c r="R348" t="s">
        <v>50</v>
      </c>
      <c r="S348">
        <v>0</v>
      </c>
      <c r="T348">
        <v>2</v>
      </c>
      <c r="U348" t="s">
        <v>59</v>
      </c>
      <c r="V348" t="s">
        <v>60</v>
      </c>
      <c r="W348" t="s">
        <v>66</v>
      </c>
      <c r="X348" s="3">
        <v>45640</v>
      </c>
      <c r="Y348" s="1" t="str">
        <f t="shared" si="10"/>
        <v>Dec</v>
      </c>
      <c r="Z348" s="1" t="str">
        <f t="shared" si="11"/>
        <v>2024</v>
      </c>
      <c r="AA348" t="b">
        <v>1</v>
      </c>
      <c r="AB348" t="b">
        <v>1</v>
      </c>
      <c r="AC348" t="s">
        <v>52</v>
      </c>
      <c r="AD348" t="s">
        <v>41</v>
      </c>
      <c r="AE348">
        <v>8</v>
      </c>
    </row>
    <row r="349" spans="1:31" x14ac:dyDescent="0.3">
      <c r="A349" t="s">
        <v>779</v>
      </c>
      <c r="B349">
        <v>27</v>
      </c>
      <c r="C349" t="str" cm="1">
        <f t="array" ref="C349">_xlfn.IFS(B349&lt;=18,"0-18",B349&lt;=29,"19-29",B349&gt;=49,"30-49",B349&gt;=69,"50-69",TRUE,"70+")</f>
        <v>19-29</v>
      </c>
      <c r="D349" t="s">
        <v>43</v>
      </c>
      <c r="E349" t="s">
        <v>30</v>
      </c>
      <c r="F349" t="s">
        <v>76</v>
      </c>
      <c r="G349" t="s">
        <v>32</v>
      </c>
      <c r="H349" t="s">
        <v>30</v>
      </c>
      <c r="I349" t="s">
        <v>780</v>
      </c>
      <c r="J349" t="s">
        <v>158</v>
      </c>
      <c r="K349" s="2">
        <v>441.87</v>
      </c>
      <c r="L349">
        <v>3</v>
      </c>
      <c r="M349" t="s">
        <v>35</v>
      </c>
      <c r="N349">
        <v>1</v>
      </c>
      <c r="O349">
        <v>2</v>
      </c>
      <c r="P349">
        <v>1</v>
      </c>
      <c r="Q349" t="s">
        <v>44</v>
      </c>
      <c r="R349" t="s">
        <v>37</v>
      </c>
      <c r="S349">
        <v>0</v>
      </c>
      <c r="T349">
        <v>10</v>
      </c>
      <c r="U349" t="s">
        <v>49</v>
      </c>
      <c r="V349" t="s">
        <v>60</v>
      </c>
      <c r="W349" t="s">
        <v>51</v>
      </c>
      <c r="X349" s="3">
        <v>45641</v>
      </c>
      <c r="Y349" s="1" t="str">
        <f t="shared" si="10"/>
        <v>Dec</v>
      </c>
      <c r="Z349" s="1" t="str">
        <f t="shared" si="11"/>
        <v>2024</v>
      </c>
      <c r="AA349" t="b">
        <v>1</v>
      </c>
      <c r="AB349" t="b">
        <v>0</v>
      </c>
      <c r="AC349" t="s">
        <v>52</v>
      </c>
      <c r="AD349" t="s">
        <v>41</v>
      </c>
      <c r="AE349">
        <v>13</v>
      </c>
    </row>
    <row r="350" spans="1:31" x14ac:dyDescent="0.3">
      <c r="A350" t="s">
        <v>781</v>
      </c>
      <c r="B350">
        <v>40</v>
      </c>
      <c r="C350" t="str" cm="1">
        <f t="array" ref="C350">_xlfn.IFS(B350&lt;=18,"0-18",B350&lt;=29,"19-29",B350&gt;=49,"30-49",B350&gt;=69,"50-69",TRUE,"70+")</f>
        <v>70+</v>
      </c>
      <c r="D350" t="s">
        <v>29</v>
      </c>
      <c r="E350" t="s">
        <v>30</v>
      </c>
      <c r="F350" t="s">
        <v>31</v>
      </c>
      <c r="G350" t="s">
        <v>56</v>
      </c>
      <c r="H350" t="s">
        <v>30</v>
      </c>
      <c r="I350" t="s">
        <v>782</v>
      </c>
      <c r="J350" t="s">
        <v>183</v>
      </c>
      <c r="K350" s="2">
        <v>178.29</v>
      </c>
      <c r="L350">
        <v>4</v>
      </c>
      <c r="M350" t="s">
        <v>35</v>
      </c>
      <c r="N350">
        <v>4</v>
      </c>
      <c r="O350">
        <v>3</v>
      </c>
      <c r="P350">
        <v>2</v>
      </c>
      <c r="Q350" t="s">
        <v>59</v>
      </c>
      <c r="R350" t="s">
        <v>85</v>
      </c>
      <c r="S350">
        <v>2</v>
      </c>
      <c r="T350">
        <v>10</v>
      </c>
      <c r="U350" t="s">
        <v>44</v>
      </c>
      <c r="V350" t="s">
        <v>79</v>
      </c>
      <c r="W350" t="s">
        <v>86</v>
      </c>
      <c r="X350" s="3">
        <v>45642</v>
      </c>
      <c r="Y350" s="1" t="str">
        <f t="shared" si="10"/>
        <v>Dec</v>
      </c>
      <c r="Z350" s="1" t="str">
        <f t="shared" si="11"/>
        <v>2024</v>
      </c>
      <c r="AA350" t="b">
        <v>0</v>
      </c>
      <c r="AB350" t="b">
        <v>1</v>
      </c>
      <c r="AC350" t="s">
        <v>74</v>
      </c>
      <c r="AD350" t="s">
        <v>41</v>
      </c>
      <c r="AE350">
        <v>8</v>
      </c>
    </row>
    <row r="351" spans="1:31" x14ac:dyDescent="0.3">
      <c r="A351" t="s">
        <v>783</v>
      </c>
      <c r="B351">
        <v>23</v>
      </c>
      <c r="C351" t="str" cm="1">
        <f t="array" ref="C351">_xlfn.IFS(B351&lt;=18,"0-18",B351&lt;=29,"19-29",B351&gt;=49,"30-49",B351&gt;=69,"50-69",TRUE,"70+")</f>
        <v>19-29</v>
      </c>
      <c r="D351" t="s">
        <v>43</v>
      </c>
      <c r="E351" t="s">
        <v>30</v>
      </c>
      <c r="F351" t="s">
        <v>69</v>
      </c>
      <c r="G351" t="s">
        <v>45</v>
      </c>
      <c r="H351" t="s">
        <v>44</v>
      </c>
      <c r="I351" t="s">
        <v>784</v>
      </c>
      <c r="J351" t="s">
        <v>90</v>
      </c>
      <c r="K351" s="2">
        <v>77.08</v>
      </c>
      <c r="L351">
        <v>10</v>
      </c>
      <c r="M351" t="s">
        <v>35</v>
      </c>
      <c r="N351">
        <v>2</v>
      </c>
      <c r="O351">
        <v>1</v>
      </c>
      <c r="P351">
        <v>0</v>
      </c>
      <c r="Q351" t="s">
        <v>44</v>
      </c>
      <c r="R351" t="s">
        <v>50</v>
      </c>
      <c r="S351">
        <v>0</v>
      </c>
      <c r="T351">
        <v>8</v>
      </c>
      <c r="U351" t="s">
        <v>36</v>
      </c>
      <c r="V351" t="s">
        <v>38</v>
      </c>
      <c r="W351" t="s">
        <v>51</v>
      </c>
      <c r="X351" s="3">
        <v>45643</v>
      </c>
      <c r="Y351" s="1" t="str">
        <f t="shared" si="10"/>
        <v>Dec</v>
      </c>
      <c r="Z351" s="1" t="str">
        <f t="shared" si="11"/>
        <v>2024</v>
      </c>
      <c r="AA351" t="b">
        <v>1</v>
      </c>
      <c r="AB351" t="b">
        <v>1</v>
      </c>
      <c r="AC351" t="s">
        <v>62</v>
      </c>
      <c r="AD351" t="s">
        <v>53</v>
      </c>
      <c r="AE351">
        <v>1</v>
      </c>
    </row>
    <row r="352" spans="1:31" x14ac:dyDescent="0.3">
      <c r="A352" t="s">
        <v>785</v>
      </c>
      <c r="B352">
        <v>46</v>
      </c>
      <c r="C352" t="str" cm="1">
        <f t="array" ref="C352">_xlfn.IFS(B352&lt;=18,"0-18",B352&lt;=29,"19-29",B352&gt;=49,"30-49",B352&gt;=69,"50-69",TRUE,"70+")</f>
        <v>70+</v>
      </c>
      <c r="D352" t="s">
        <v>43</v>
      </c>
      <c r="E352" t="s">
        <v>44</v>
      </c>
      <c r="F352" t="s">
        <v>31</v>
      </c>
      <c r="G352" t="s">
        <v>45</v>
      </c>
      <c r="H352" t="s">
        <v>44</v>
      </c>
      <c r="I352" t="s">
        <v>786</v>
      </c>
      <c r="J352" t="s">
        <v>58</v>
      </c>
      <c r="K352" s="2">
        <v>266.89999999999998</v>
      </c>
      <c r="L352">
        <v>11</v>
      </c>
      <c r="M352" t="s">
        <v>35</v>
      </c>
      <c r="N352">
        <v>4</v>
      </c>
      <c r="O352">
        <v>2</v>
      </c>
      <c r="P352">
        <v>2</v>
      </c>
      <c r="Q352" t="s">
        <v>59</v>
      </c>
      <c r="R352" t="s">
        <v>50</v>
      </c>
      <c r="S352">
        <v>1</v>
      </c>
      <c r="T352">
        <v>8</v>
      </c>
      <c r="U352" t="s">
        <v>49</v>
      </c>
      <c r="V352" t="s">
        <v>79</v>
      </c>
      <c r="W352" t="s">
        <v>51</v>
      </c>
      <c r="X352" s="3">
        <v>45644</v>
      </c>
      <c r="Y352" s="1" t="str">
        <f t="shared" si="10"/>
        <v>Dec</v>
      </c>
      <c r="Z352" s="1" t="str">
        <f t="shared" si="11"/>
        <v>2024</v>
      </c>
      <c r="AA352" t="b">
        <v>0</v>
      </c>
      <c r="AB352" t="b">
        <v>1</v>
      </c>
      <c r="AC352" t="s">
        <v>52</v>
      </c>
      <c r="AD352" t="s">
        <v>67</v>
      </c>
      <c r="AE352">
        <v>13</v>
      </c>
    </row>
    <row r="353" spans="1:31" x14ac:dyDescent="0.3">
      <c r="A353" t="s">
        <v>787</v>
      </c>
      <c r="B353">
        <v>38</v>
      </c>
      <c r="C353" t="str" cm="1">
        <f t="array" ref="C353">_xlfn.IFS(B353&lt;=18,"0-18",B353&lt;=29,"19-29",B353&gt;=49,"30-49",B353&gt;=69,"50-69",TRUE,"70+")</f>
        <v>70+</v>
      </c>
      <c r="D353" t="s">
        <v>29</v>
      </c>
      <c r="E353" t="s">
        <v>30</v>
      </c>
      <c r="F353" t="s">
        <v>76</v>
      </c>
      <c r="G353" t="s">
        <v>32</v>
      </c>
      <c r="H353" t="s">
        <v>44</v>
      </c>
      <c r="I353" t="s">
        <v>788</v>
      </c>
      <c r="J353" t="s">
        <v>117</v>
      </c>
      <c r="K353" s="2">
        <v>269.83999999999997</v>
      </c>
      <c r="L353">
        <v>4</v>
      </c>
      <c r="M353" t="s">
        <v>48</v>
      </c>
      <c r="N353">
        <v>5</v>
      </c>
      <c r="O353">
        <v>4</v>
      </c>
      <c r="P353">
        <v>0</v>
      </c>
      <c r="Q353" t="s">
        <v>59</v>
      </c>
      <c r="R353" t="s">
        <v>50</v>
      </c>
      <c r="S353">
        <v>2</v>
      </c>
      <c r="T353">
        <v>9</v>
      </c>
      <c r="U353" t="s">
        <v>59</v>
      </c>
      <c r="V353" t="s">
        <v>38</v>
      </c>
      <c r="W353" t="s">
        <v>39</v>
      </c>
      <c r="X353" s="3">
        <v>45645</v>
      </c>
      <c r="Y353" s="1" t="str">
        <f t="shared" si="10"/>
        <v>Dec</v>
      </c>
      <c r="Z353" s="1" t="str">
        <f t="shared" si="11"/>
        <v>2024</v>
      </c>
      <c r="AA353" t="b">
        <v>1</v>
      </c>
      <c r="AB353" t="b">
        <v>1</v>
      </c>
      <c r="AC353" t="s">
        <v>52</v>
      </c>
      <c r="AD353" t="s">
        <v>41</v>
      </c>
      <c r="AE353">
        <v>2</v>
      </c>
    </row>
    <row r="354" spans="1:31" x14ac:dyDescent="0.3">
      <c r="A354" t="s">
        <v>789</v>
      </c>
      <c r="B354">
        <v>23</v>
      </c>
      <c r="C354" t="str" cm="1">
        <f t="array" ref="C354">_xlfn.IFS(B354&lt;=18,"0-18",B354&lt;=29,"19-29",B354&gt;=49,"30-49",B354&gt;=69,"50-69",TRUE,"70+")</f>
        <v>19-29</v>
      </c>
      <c r="D354" t="s">
        <v>43</v>
      </c>
      <c r="E354" t="s">
        <v>30</v>
      </c>
      <c r="F354" t="s">
        <v>31</v>
      </c>
      <c r="G354" t="s">
        <v>56</v>
      </c>
      <c r="H354" t="s">
        <v>44</v>
      </c>
      <c r="I354" t="s">
        <v>790</v>
      </c>
      <c r="J354" t="s">
        <v>65</v>
      </c>
      <c r="K354" s="2">
        <v>334.22</v>
      </c>
      <c r="L354">
        <v>8</v>
      </c>
      <c r="M354" t="s">
        <v>78</v>
      </c>
      <c r="N354">
        <v>2</v>
      </c>
      <c r="O354">
        <v>2</v>
      </c>
      <c r="P354">
        <v>2</v>
      </c>
      <c r="Q354" t="s">
        <v>36</v>
      </c>
      <c r="R354" t="s">
        <v>85</v>
      </c>
      <c r="S354">
        <v>2</v>
      </c>
      <c r="T354">
        <v>8</v>
      </c>
      <c r="U354" t="s">
        <v>36</v>
      </c>
      <c r="V354" t="s">
        <v>38</v>
      </c>
      <c r="W354" t="s">
        <v>86</v>
      </c>
      <c r="X354" s="3">
        <v>45646</v>
      </c>
      <c r="Y354" s="1" t="str">
        <f t="shared" si="10"/>
        <v>Dec</v>
      </c>
      <c r="Z354" s="1" t="str">
        <f t="shared" si="11"/>
        <v>2024</v>
      </c>
      <c r="AA354" t="b">
        <v>0</v>
      </c>
      <c r="AB354" t="b">
        <v>0</v>
      </c>
      <c r="AC354" t="s">
        <v>40</v>
      </c>
      <c r="AD354" t="s">
        <v>53</v>
      </c>
      <c r="AE354">
        <v>1</v>
      </c>
    </row>
    <row r="355" spans="1:31" x14ac:dyDescent="0.3">
      <c r="A355" t="s">
        <v>791</v>
      </c>
      <c r="B355">
        <v>40</v>
      </c>
      <c r="C355" t="str" cm="1">
        <f t="array" ref="C355">_xlfn.IFS(B355&lt;=18,"0-18",B355&lt;=29,"19-29",B355&gt;=49,"30-49",B355&gt;=69,"50-69",TRUE,"70+")</f>
        <v>70+</v>
      </c>
      <c r="D355" t="s">
        <v>29</v>
      </c>
      <c r="E355" t="s">
        <v>30</v>
      </c>
      <c r="F355" t="s">
        <v>31</v>
      </c>
      <c r="G355" t="s">
        <v>45</v>
      </c>
      <c r="H355" t="s">
        <v>44</v>
      </c>
      <c r="I355" t="s">
        <v>792</v>
      </c>
      <c r="J355" t="s">
        <v>194</v>
      </c>
      <c r="K355" s="2">
        <v>474.56</v>
      </c>
      <c r="L355">
        <v>8</v>
      </c>
      <c r="M355" t="s">
        <v>48</v>
      </c>
      <c r="N355">
        <v>1</v>
      </c>
      <c r="O355">
        <v>5</v>
      </c>
      <c r="P355">
        <v>2</v>
      </c>
      <c r="Q355" t="s">
        <v>59</v>
      </c>
      <c r="R355" t="s">
        <v>50</v>
      </c>
      <c r="S355">
        <v>1</v>
      </c>
      <c r="T355">
        <v>6</v>
      </c>
      <c r="U355" t="s">
        <v>44</v>
      </c>
      <c r="V355" t="s">
        <v>60</v>
      </c>
      <c r="W355" t="s">
        <v>51</v>
      </c>
      <c r="X355" s="3">
        <v>45647</v>
      </c>
      <c r="Y355" s="1" t="str">
        <f t="shared" si="10"/>
        <v>Dec</v>
      </c>
      <c r="Z355" s="1" t="str">
        <f t="shared" si="11"/>
        <v>2024</v>
      </c>
      <c r="AA355" t="b">
        <v>1</v>
      </c>
      <c r="AB355" t="b">
        <v>0</v>
      </c>
      <c r="AC355" t="s">
        <v>74</v>
      </c>
      <c r="AD355" t="s">
        <v>53</v>
      </c>
      <c r="AE355">
        <v>12</v>
      </c>
    </row>
    <row r="356" spans="1:31" x14ac:dyDescent="0.3">
      <c r="A356" t="s">
        <v>793</v>
      </c>
      <c r="B356">
        <v>34</v>
      </c>
      <c r="C356" t="str" cm="1">
        <f t="array" ref="C356">_xlfn.IFS(B356&lt;=18,"0-18",B356&lt;=29,"19-29",B356&gt;=49,"30-49",B356&gt;=69,"50-69",TRUE,"70+")</f>
        <v>70+</v>
      </c>
      <c r="D356" t="s">
        <v>43</v>
      </c>
      <c r="E356" t="s">
        <v>44</v>
      </c>
      <c r="F356" t="s">
        <v>31</v>
      </c>
      <c r="G356" t="s">
        <v>56</v>
      </c>
      <c r="H356" t="s">
        <v>44</v>
      </c>
      <c r="I356" t="s">
        <v>794</v>
      </c>
      <c r="J356" t="s">
        <v>117</v>
      </c>
      <c r="K356" s="2">
        <v>360.91</v>
      </c>
      <c r="L356">
        <v>4</v>
      </c>
      <c r="M356" t="s">
        <v>35</v>
      </c>
      <c r="N356">
        <v>3</v>
      </c>
      <c r="O356">
        <v>5</v>
      </c>
      <c r="P356">
        <v>1</v>
      </c>
      <c r="Q356" t="s">
        <v>44</v>
      </c>
      <c r="R356" t="s">
        <v>37</v>
      </c>
      <c r="S356">
        <v>0</v>
      </c>
      <c r="T356">
        <v>8</v>
      </c>
      <c r="U356" t="s">
        <v>44</v>
      </c>
      <c r="V356" t="s">
        <v>79</v>
      </c>
      <c r="W356" t="s">
        <v>39</v>
      </c>
      <c r="X356" s="3">
        <v>45648</v>
      </c>
      <c r="Y356" s="1" t="str">
        <f t="shared" si="10"/>
        <v>Dec</v>
      </c>
      <c r="Z356" s="1" t="str">
        <f t="shared" si="11"/>
        <v>2024</v>
      </c>
      <c r="AA356" t="b">
        <v>1</v>
      </c>
      <c r="AB356" t="b">
        <v>1</v>
      </c>
      <c r="AC356" t="s">
        <v>74</v>
      </c>
      <c r="AD356" t="s">
        <v>41</v>
      </c>
      <c r="AE356">
        <v>4</v>
      </c>
    </row>
    <row r="357" spans="1:31" x14ac:dyDescent="0.3">
      <c r="A357" t="s">
        <v>795</v>
      </c>
      <c r="B357">
        <v>44</v>
      </c>
      <c r="C357" t="str" cm="1">
        <f t="array" ref="C357">_xlfn.IFS(B357&lt;=18,"0-18",B357&lt;=29,"19-29",B357&gt;=49,"30-49",B357&gt;=69,"50-69",TRUE,"70+")</f>
        <v>70+</v>
      </c>
      <c r="D357" t="s">
        <v>29</v>
      </c>
      <c r="E357" t="s">
        <v>30</v>
      </c>
      <c r="F357" t="s">
        <v>69</v>
      </c>
      <c r="G357" t="s">
        <v>32</v>
      </c>
      <c r="H357" t="s">
        <v>44</v>
      </c>
      <c r="I357" t="s">
        <v>796</v>
      </c>
      <c r="J357" t="s">
        <v>158</v>
      </c>
      <c r="K357" s="2">
        <v>373.49</v>
      </c>
      <c r="L357">
        <v>6</v>
      </c>
      <c r="M357" t="s">
        <v>78</v>
      </c>
      <c r="N357">
        <v>4</v>
      </c>
      <c r="O357">
        <v>1</v>
      </c>
      <c r="P357">
        <v>0</v>
      </c>
      <c r="Q357" t="s">
        <v>49</v>
      </c>
      <c r="R357" t="s">
        <v>85</v>
      </c>
      <c r="S357">
        <v>0</v>
      </c>
      <c r="T357">
        <v>10</v>
      </c>
      <c r="U357" t="s">
        <v>59</v>
      </c>
      <c r="V357" t="s">
        <v>38</v>
      </c>
      <c r="W357" t="s">
        <v>86</v>
      </c>
      <c r="X357" s="3">
        <v>45649</v>
      </c>
      <c r="Y357" s="1" t="str">
        <f t="shared" si="10"/>
        <v>Dec</v>
      </c>
      <c r="Z357" s="1" t="str">
        <f t="shared" si="11"/>
        <v>2024</v>
      </c>
      <c r="AA357" t="b">
        <v>1</v>
      </c>
      <c r="AB357" t="b">
        <v>1</v>
      </c>
      <c r="AC357" t="s">
        <v>62</v>
      </c>
      <c r="AD357" t="s">
        <v>53</v>
      </c>
      <c r="AE357">
        <v>1</v>
      </c>
    </row>
    <row r="358" spans="1:31" x14ac:dyDescent="0.3">
      <c r="A358" t="s">
        <v>797</v>
      </c>
      <c r="B358">
        <v>32</v>
      </c>
      <c r="C358" t="str" cm="1">
        <f t="array" ref="C358">_xlfn.IFS(B358&lt;=18,"0-18",B358&lt;=29,"19-29",B358&gt;=49,"30-49",B358&gt;=69,"50-69",TRUE,"70+")</f>
        <v>70+</v>
      </c>
      <c r="D358" t="s">
        <v>29</v>
      </c>
      <c r="E358" t="s">
        <v>44</v>
      </c>
      <c r="F358" t="s">
        <v>31</v>
      </c>
      <c r="G358" t="s">
        <v>56</v>
      </c>
      <c r="H358" t="s">
        <v>30</v>
      </c>
      <c r="I358" t="s">
        <v>798</v>
      </c>
      <c r="J358" t="s">
        <v>90</v>
      </c>
      <c r="K358" s="2">
        <v>462.3</v>
      </c>
      <c r="L358">
        <v>5</v>
      </c>
      <c r="M358" t="s">
        <v>35</v>
      </c>
      <c r="N358">
        <v>3</v>
      </c>
      <c r="O358">
        <v>3</v>
      </c>
      <c r="P358">
        <v>2</v>
      </c>
      <c r="Q358" t="s">
        <v>36</v>
      </c>
      <c r="R358" t="s">
        <v>50</v>
      </c>
      <c r="S358">
        <v>2</v>
      </c>
      <c r="T358">
        <v>4</v>
      </c>
      <c r="U358" t="s">
        <v>49</v>
      </c>
      <c r="V358" t="s">
        <v>38</v>
      </c>
      <c r="W358" t="s">
        <v>86</v>
      </c>
      <c r="X358" s="3">
        <v>45650</v>
      </c>
      <c r="Y358" s="1" t="str">
        <f t="shared" si="10"/>
        <v>Dec</v>
      </c>
      <c r="Z358" s="1" t="str">
        <f t="shared" si="11"/>
        <v>2024</v>
      </c>
      <c r="AA358" t="b">
        <v>1</v>
      </c>
      <c r="AB358" t="b">
        <v>1</v>
      </c>
      <c r="AC358" t="s">
        <v>62</v>
      </c>
      <c r="AD358" t="s">
        <v>53</v>
      </c>
      <c r="AE358">
        <v>4</v>
      </c>
    </row>
    <row r="359" spans="1:31" x14ac:dyDescent="0.3">
      <c r="A359" t="s">
        <v>799</v>
      </c>
      <c r="B359">
        <v>42</v>
      </c>
      <c r="C359" t="str" cm="1">
        <f t="array" ref="C359">_xlfn.IFS(B359&lt;=18,"0-18",B359&lt;=29,"19-29",B359&gt;=49,"30-49",B359&gt;=69,"50-69",TRUE,"70+")</f>
        <v>70+</v>
      </c>
      <c r="D359" t="s">
        <v>29</v>
      </c>
      <c r="E359" t="s">
        <v>30</v>
      </c>
      <c r="F359" t="s">
        <v>55</v>
      </c>
      <c r="G359" t="s">
        <v>56</v>
      </c>
      <c r="H359" t="s">
        <v>30</v>
      </c>
      <c r="I359" t="s">
        <v>800</v>
      </c>
      <c r="J359" t="s">
        <v>126</v>
      </c>
      <c r="K359" s="2">
        <v>332.67</v>
      </c>
      <c r="L359">
        <v>8</v>
      </c>
      <c r="M359" t="s">
        <v>48</v>
      </c>
      <c r="N359">
        <v>1</v>
      </c>
      <c r="O359">
        <v>4</v>
      </c>
      <c r="P359">
        <v>2</v>
      </c>
      <c r="Q359" t="s">
        <v>49</v>
      </c>
      <c r="R359" t="s">
        <v>37</v>
      </c>
      <c r="S359">
        <v>1</v>
      </c>
      <c r="T359">
        <v>2</v>
      </c>
      <c r="U359" t="s">
        <v>44</v>
      </c>
      <c r="V359" t="s">
        <v>60</v>
      </c>
      <c r="W359" t="s">
        <v>66</v>
      </c>
      <c r="X359" s="3">
        <v>45651</v>
      </c>
      <c r="Y359" s="1" t="str">
        <f t="shared" si="10"/>
        <v>Dec</v>
      </c>
      <c r="Z359" s="1" t="str">
        <f t="shared" si="11"/>
        <v>2024</v>
      </c>
      <c r="AA359" t="b">
        <v>0</v>
      </c>
      <c r="AB359" t="b">
        <v>1</v>
      </c>
      <c r="AC359" t="s">
        <v>62</v>
      </c>
      <c r="AD359" t="s">
        <v>67</v>
      </c>
      <c r="AE359">
        <v>4</v>
      </c>
    </row>
    <row r="360" spans="1:31" x14ac:dyDescent="0.3">
      <c r="A360" t="s">
        <v>801</v>
      </c>
      <c r="B360">
        <v>22</v>
      </c>
      <c r="C360" t="str" cm="1">
        <f t="array" ref="C360">_xlfn.IFS(B360&lt;=18,"0-18",B360&lt;=29,"19-29",B360&gt;=49,"30-49",B360&gt;=69,"50-69",TRUE,"70+")</f>
        <v>19-29</v>
      </c>
      <c r="D360" t="s">
        <v>29</v>
      </c>
      <c r="E360" t="s">
        <v>44</v>
      </c>
      <c r="F360" t="s">
        <v>76</v>
      </c>
      <c r="G360" t="s">
        <v>56</v>
      </c>
      <c r="H360" t="s">
        <v>30</v>
      </c>
      <c r="I360" t="s">
        <v>802</v>
      </c>
      <c r="J360" t="s">
        <v>65</v>
      </c>
      <c r="K360" s="2">
        <v>235.39</v>
      </c>
      <c r="L360">
        <v>9</v>
      </c>
      <c r="M360" t="s">
        <v>78</v>
      </c>
      <c r="N360">
        <v>5</v>
      </c>
      <c r="O360">
        <v>4</v>
      </c>
      <c r="P360">
        <v>1</v>
      </c>
      <c r="Q360" t="s">
        <v>36</v>
      </c>
      <c r="R360" t="s">
        <v>50</v>
      </c>
      <c r="S360">
        <v>0</v>
      </c>
      <c r="T360">
        <v>6</v>
      </c>
      <c r="U360" t="s">
        <v>36</v>
      </c>
      <c r="V360" t="s">
        <v>60</v>
      </c>
      <c r="W360" t="s">
        <v>39</v>
      </c>
      <c r="X360" s="3">
        <v>45652</v>
      </c>
      <c r="Y360" s="1" t="str">
        <f t="shared" si="10"/>
        <v>Dec</v>
      </c>
      <c r="Z360" s="1" t="str">
        <f t="shared" si="11"/>
        <v>2024</v>
      </c>
      <c r="AA360" t="b">
        <v>0</v>
      </c>
      <c r="AB360" t="b">
        <v>1</v>
      </c>
      <c r="AC360" t="s">
        <v>74</v>
      </c>
      <c r="AD360" t="s">
        <v>41</v>
      </c>
      <c r="AE360">
        <v>6</v>
      </c>
    </row>
    <row r="361" spans="1:31" x14ac:dyDescent="0.3">
      <c r="A361" t="s">
        <v>803</v>
      </c>
      <c r="B361">
        <v>44</v>
      </c>
      <c r="C361" t="str" cm="1">
        <f t="array" ref="C361">_xlfn.IFS(B361&lt;=18,"0-18",B361&lt;=29,"19-29",B361&gt;=49,"30-49",B361&gt;=69,"50-69",TRUE,"70+")</f>
        <v>70+</v>
      </c>
      <c r="D361" t="s">
        <v>29</v>
      </c>
      <c r="E361" t="s">
        <v>30</v>
      </c>
      <c r="F361" t="s">
        <v>31</v>
      </c>
      <c r="G361" t="s">
        <v>45</v>
      </c>
      <c r="H361" t="s">
        <v>30</v>
      </c>
      <c r="I361" t="s">
        <v>804</v>
      </c>
      <c r="J361" t="s">
        <v>114</v>
      </c>
      <c r="K361" s="2">
        <v>269.77999999999997</v>
      </c>
      <c r="L361">
        <v>7</v>
      </c>
      <c r="M361" t="s">
        <v>48</v>
      </c>
      <c r="N361">
        <v>2</v>
      </c>
      <c r="O361">
        <v>3</v>
      </c>
      <c r="P361">
        <v>1</v>
      </c>
      <c r="Q361" t="s">
        <v>49</v>
      </c>
      <c r="R361" t="s">
        <v>37</v>
      </c>
      <c r="S361">
        <v>2</v>
      </c>
      <c r="T361">
        <v>7</v>
      </c>
      <c r="U361" t="s">
        <v>49</v>
      </c>
      <c r="V361" t="s">
        <v>79</v>
      </c>
      <c r="W361" t="s">
        <v>66</v>
      </c>
      <c r="X361" s="3">
        <v>45653</v>
      </c>
      <c r="Y361" s="1" t="str">
        <f t="shared" si="10"/>
        <v>Dec</v>
      </c>
      <c r="Z361" s="1" t="str">
        <f t="shared" si="11"/>
        <v>2024</v>
      </c>
      <c r="AA361" t="b">
        <v>1</v>
      </c>
      <c r="AB361" t="b">
        <v>1</v>
      </c>
      <c r="AC361" t="s">
        <v>40</v>
      </c>
      <c r="AD361" t="s">
        <v>41</v>
      </c>
      <c r="AE361">
        <v>5</v>
      </c>
    </row>
    <row r="362" spans="1:31" x14ac:dyDescent="0.3">
      <c r="A362" t="s">
        <v>805</v>
      </c>
      <c r="B362">
        <v>29</v>
      </c>
      <c r="C362" t="str" cm="1">
        <f t="array" ref="C362">_xlfn.IFS(B362&lt;=18,"0-18",B362&lt;=29,"19-29",B362&gt;=49,"30-49",B362&gt;=69,"50-69",TRUE,"70+")</f>
        <v>19-29</v>
      </c>
      <c r="D362" t="s">
        <v>43</v>
      </c>
      <c r="E362" t="s">
        <v>30</v>
      </c>
      <c r="F362" t="s">
        <v>31</v>
      </c>
      <c r="G362" t="s">
        <v>32</v>
      </c>
      <c r="H362" t="s">
        <v>30</v>
      </c>
      <c r="I362" t="s">
        <v>806</v>
      </c>
      <c r="J362" t="s">
        <v>34</v>
      </c>
      <c r="K362" s="2">
        <v>498.33</v>
      </c>
      <c r="L362">
        <v>2</v>
      </c>
      <c r="M362" t="s">
        <v>78</v>
      </c>
      <c r="N362">
        <v>3</v>
      </c>
      <c r="O362">
        <v>5</v>
      </c>
      <c r="P362">
        <v>2</v>
      </c>
      <c r="Q362" t="s">
        <v>49</v>
      </c>
      <c r="R362" t="s">
        <v>85</v>
      </c>
      <c r="S362">
        <v>1</v>
      </c>
      <c r="T362">
        <v>9</v>
      </c>
      <c r="U362" t="s">
        <v>49</v>
      </c>
      <c r="V362" t="s">
        <v>60</v>
      </c>
      <c r="W362" t="s">
        <v>51</v>
      </c>
      <c r="X362" s="3">
        <v>45654</v>
      </c>
      <c r="Y362" s="1" t="str">
        <f t="shared" si="10"/>
        <v>Dec</v>
      </c>
      <c r="Z362" s="1" t="str">
        <f t="shared" si="11"/>
        <v>2024</v>
      </c>
      <c r="AA362" t="b">
        <v>1</v>
      </c>
      <c r="AB362" t="b">
        <v>1</v>
      </c>
      <c r="AC362" t="s">
        <v>52</v>
      </c>
      <c r="AD362" t="s">
        <v>67</v>
      </c>
      <c r="AE362">
        <v>1</v>
      </c>
    </row>
    <row r="363" spans="1:31" x14ac:dyDescent="0.3">
      <c r="A363" t="s">
        <v>807</v>
      </c>
      <c r="B363">
        <v>30</v>
      </c>
      <c r="C363" t="str" cm="1">
        <f t="array" ref="C363">_xlfn.IFS(B363&lt;=18,"0-18",B363&lt;=29,"19-29",B363&gt;=49,"30-49",B363&gt;=69,"50-69",TRUE,"70+")</f>
        <v>70+</v>
      </c>
      <c r="D363" t="s">
        <v>29</v>
      </c>
      <c r="E363" t="s">
        <v>44</v>
      </c>
      <c r="F363" t="s">
        <v>55</v>
      </c>
      <c r="G363" t="s">
        <v>45</v>
      </c>
      <c r="H363" t="s">
        <v>44</v>
      </c>
      <c r="I363" t="s">
        <v>808</v>
      </c>
      <c r="J363" t="s">
        <v>142</v>
      </c>
      <c r="K363" s="2">
        <v>182.94</v>
      </c>
      <c r="L363">
        <v>7</v>
      </c>
      <c r="M363" t="s">
        <v>35</v>
      </c>
      <c r="N363">
        <v>1</v>
      </c>
      <c r="O363">
        <v>5</v>
      </c>
      <c r="P363">
        <v>2</v>
      </c>
      <c r="Q363" t="s">
        <v>36</v>
      </c>
      <c r="R363" t="s">
        <v>50</v>
      </c>
      <c r="S363">
        <v>2</v>
      </c>
      <c r="T363">
        <v>7</v>
      </c>
      <c r="U363" t="s">
        <v>59</v>
      </c>
      <c r="V363" t="s">
        <v>79</v>
      </c>
      <c r="W363" t="s">
        <v>66</v>
      </c>
      <c r="X363" s="3">
        <v>45655</v>
      </c>
      <c r="Y363" s="1" t="str">
        <f t="shared" si="10"/>
        <v>Dec</v>
      </c>
      <c r="Z363" s="1" t="str">
        <f t="shared" si="11"/>
        <v>2024</v>
      </c>
      <c r="AA363" t="b">
        <v>1</v>
      </c>
      <c r="AB363" t="b">
        <v>1</v>
      </c>
      <c r="AC363" t="s">
        <v>40</v>
      </c>
      <c r="AD363" t="s">
        <v>67</v>
      </c>
      <c r="AE363">
        <v>12</v>
      </c>
    </row>
    <row r="364" spans="1:31" x14ac:dyDescent="0.3">
      <c r="A364" t="s">
        <v>809</v>
      </c>
      <c r="B364">
        <v>19</v>
      </c>
      <c r="C364" t="str" cm="1">
        <f t="array" ref="C364">_xlfn.IFS(B364&lt;=18,"0-18",B364&lt;=29,"19-29",B364&gt;=49,"30-49",B364&gt;=69,"50-69",TRUE,"70+")</f>
        <v>19-29</v>
      </c>
      <c r="D364" t="s">
        <v>29</v>
      </c>
      <c r="E364" t="s">
        <v>30</v>
      </c>
      <c r="F364" t="s">
        <v>76</v>
      </c>
      <c r="G364" t="s">
        <v>56</v>
      </c>
      <c r="H364" t="s">
        <v>44</v>
      </c>
      <c r="I364" t="s">
        <v>810</v>
      </c>
      <c r="J364" t="s">
        <v>142</v>
      </c>
      <c r="K364" s="2">
        <v>121.7</v>
      </c>
      <c r="L364">
        <v>7</v>
      </c>
      <c r="M364" t="s">
        <v>35</v>
      </c>
      <c r="N364">
        <v>4</v>
      </c>
      <c r="O364">
        <v>3</v>
      </c>
      <c r="P364">
        <v>0</v>
      </c>
      <c r="Q364" t="s">
        <v>44</v>
      </c>
      <c r="R364" t="s">
        <v>85</v>
      </c>
      <c r="S364">
        <v>2</v>
      </c>
      <c r="T364">
        <v>5</v>
      </c>
      <c r="U364" t="s">
        <v>36</v>
      </c>
      <c r="V364" t="s">
        <v>60</v>
      </c>
      <c r="W364" t="s">
        <v>39</v>
      </c>
      <c r="X364" s="3">
        <v>45656</v>
      </c>
      <c r="Y364" s="1" t="str">
        <f t="shared" si="10"/>
        <v>Dec</v>
      </c>
      <c r="Z364" s="1" t="str">
        <f t="shared" si="11"/>
        <v>2024</v>
      </c>
      <c r="AA364" t="b">
        <v>1</v>
      </c>
      <c r="AB364" t="b">
        <v>1</v>
      </c>
      <c r="AC364" t="s">
        <v>74</v>
      </c>
      <c r="AD364" t="s">
        <v>53</v>
      </c>
      <c r="AE364">
        <v>8</v>
      </c>
    </row>
    <row r="365" spans="1:31" x14ac:dyDescent="0.3">
      <c r="A365" t="s">
        <v>811</v>
      </c>
      <c r="B365">
        <v>45</v>
      </c>
      <c r="C365" t="str" cm="1">
        <f t="array" ref="C365">_xlfn.IFS(B365&lt;=18,"0-18",B365&lt;=29,"19-29",B365&gt;=49,"30-49",B365&gt;=69,"50-69",TRUE,"70+")</f>
        <v>70+</v>
      </c>
      <c r="D365" t="s">
        <v>29</v>
      </c>
      <c r="E365" t="s">
        <v>44</v>
      </c>
      <c r="F365" t="s">
        <v>69</v>
      </c>
      <c r="G365" t="s">
        <v>56</v>
      </c>
      <c r="H365" t="s">
        <v>30</v>
      </c>
      <c r="I365" t="s">
        <v>812</v>
      </c>
      <c r="J365" t="s">
        <v>120</v>
      </c>
      <c r="K365" s="2">
        <v>489.27</v>
      </c>
      <c r="L365">
        <v>4</v>
      </c>
      <c r="M365" t="s">
        <v>35</v>
      </c>
      <c r="N365">
        <v>1</v>
      </c>
      <c r="O365">
        <v>4</v>
      </c>
      <c r="P365">
        <v>1</v>
      </c>
      <c r="Q365" t="s">
        <v>44</v>
      </c>
      <c r="R365" t="s">
        <v>37</v>
      </c>
      <c r="S365">
        <v>1</v>
      </c>
      <c r="T365">
        <v>3</v>
      </c>
      <c r="U365" t="s">
        <v>36</v>
      </c>
      <c r="V365" t="s">
        <v>38</v>
      </c>
      <c r="W365" t="s">
        <v>61</v>
      </c>
      <c r="X365" s="3">
        <v>45657</v>
      </c>
      <c r="Y365" s="1" t="str">
        <f t="shared" si="10"/>
        <v>Dec</v>
      </c>
      <c r="Z365" s="1" t="str">
        <f t="shared" si="11"/>
        <v>2024</v>
      </c>
      <c r="AA365" t="b">
        <v>0</v>
      </c>
      <c r="AB365" t="b">
        <v>0</v>
      </c>
      <c r="AC365" t="s">
        <v>52</v>
      </c>
      <c r="AD365" t="s">
        <v>53</v>
      </c>
      <c r="AE365">
        <v>3</v>
      </c>
    </row>
    <row r="366" spans="1:31" x14ac:dyDescent="0.3">
      <c r="A366" t="s">
        <v>813</v>
      </c>
      <c r="B366">
        <v>38</v>
      </c>
      <c r="C366" t="str" cm="1">
        <f t="array" ref="C366">_xlfn.IFS(B366&lt;=18,"0-18",B366&lt;=29,"19-29",B366&gt;=49,"30-49",B366&gt;=69,"50-69",TRUE,"70+")</f>
        <v>70+</v>
      </c>
      <c r="D366" t="s">
        <v>43</v>
      </c>
      <c r="E366" t="s">
        <v>30</v>
      </c>
      <c r="F366" t="s">
        <v>31</v>
      </c>
      <c r="G366" t="s">
        <v>32</v>
      </c>
      <c r="H366" t="s">
        <v>30</v>
      </c>
      <c r="I366" t="s">
        <v>814</v>
      </c>
      <c r="J366" t="s">
        <v>120</v>
      </c>
      <c r="K366" s="2">
        <v>303.93</v>
      </c>
      <c r="L366">
        <v>6</v>
      </c>
      <c r="M366" t="s">
        <v>35</v>
      </c>
      <c r="N366">
        <v>3</v>
      </c>
      <c r="O366">
        <v>2</v>
      </c>
      <c r="P366">
        <v>0</v>
      </c>
      <c r="Q366" t="s">
        <v>44</v>
      </c>
      <c r="R366" t="s">
        <v>50</v>
      </c>
      <c r="S366">
        <v>1</v>
      </c>
      <c r="T366">
        <v>10</v>
      </c>
      <c r="U366" t="s">
        <v>59</v>
      </c>
      <c r="V366" t="s">
        <v>60</v>
      </c>
      <c r="W366" t="s">
        <v>61</v>
      </c>
      <c r="X366" s="3">
        <v>45658</v>
      </c>
      <c r="Y366" s="1" t="str">
        <f t="shared" si="10"/>
        <v>Jan</v>
      </c>
      <c r="Z366" s="1" t="str">
        <f t="shared" si="11"/>
        <v>2025</v>
      </c>
      <c r="AA366" t="b">
        <v>1</v>
      </c>
      <c r="AB366" t="b">
        <v>0</v>
      </c>
      <c r="AC366" t="s">
        <v>40</v>
      </c>
      <c r="AD366" t="s">
        <v>41</v>
      </c>
      <c r="AE366">
        <v>2</v>
      </c>
    </row>
    <row r="367" spans="1:31" x14ac:dyDescent="0.3">
      <c r="A367" t="s">
        <v>815</v>
      </c>
      <c r="B367">
        <v>24</v>
      </c>
      <c r="C367" t="str" cm="1">
        <f t="array" ref="C367">_xlfn.IFS(B367&lt;=18,"0-18",B367&lt;=29,"19-29",B367&gt;=49,"30-49",B367&gt;=69,"50-69",TRUE,"70+")</f>
        <v>19-29</v>
      </c>
      <c r="D367" t="s">
        <v>29</v>
      </c>
      <c r="E367" t="s">
        <v>30</v>
      </c>
      <c r="F367" t="s">
        <v>31</v>
      </c>
      <c r="G367" t="s">
        <v>32</v>
      </c>
      <c r="H367" t="s">
        <v>30</v>
      </c>
      <c r="I367" t="s">
        <v>816</v>
      </c>
      <c r="J367" t="s">
        <v>47</v>
      </c>
      <c r="K367" s="2">
        <v>302.74</v>
      </c>
      <c r="L367">
        <v>11</v>
      </c>
      <c r="M367" t="s">
        <v>35</v>
      </c>
      <c r="N367">
        <v>1</v>
      </c>
      <c r="O367">
        <v>5</v>
      </c>
      <c r="P367">
        <v>0</v>
      </c>
      <c r="Q367" t="s">
        <v>44</v>
      </c>
      <c r="R367" t="s">
        <v>85</v>
      </c>
      <c r="S367">
        <v>0</v>
      </c>
      <c r="T367">
        <v>6</v>
      </c>
      <c r="U367" t="s">
        <v>44</v>
      </c>
      <c r="V367" t="s">
        <v>60</v>
      </c>
      <c r="W367" t="s">
        <v>51</v>
      </c>
      <c r="X367" s="3">
        <v>45659</v>
      </c>
      <c r="Y367" s="1" t="str">
        <f t="shared" si="10"/>
        <v>Jan</v>
      </c>
      <c r="Z367" s="1" t="str">
        <f t="shared" si="11"/>
        <v>2025</v>
      </c>
      <c r="AA367" t="b">
        <v>1</v>
      </c>
      <c r="AB367" t="b">
        <v>1</v>
      </c>
      <c r="AC367" t="s">
        <v>52</v>
      </c>
      <c r="AD367" t="s">
        <v>67</v>
      </c>
      <c r="AE367">
        <v>5</v>
      </c>
    </row>
    <row r="368" spans="1:31" x14ac:dyDescent="0.3">
      <c r="A368" t="s">
        <v>817</v>
      </c>
      <c r="B368">
        <v>42</v>
      </c>
      <c r="C368" t="str" cm="1">
        <f t="array" ref="C368">_xlfn.IFS(B368&lt;=18,"0-18",B368&lt;=29,"19-29",B368&gt;=49,"30-49",B368&gt;=69,"50-69",TRUE,"70+")</f>
        <v>70+</v>
      </c>
      <c r="D368" t="s">
        <v>352</v>
      </c>
      <c r="E368" t="s">
        <v>44</v>
      </c>
      <c r="F368" t="s">
        <v>55</v>
      </c>
      <c r="G368" t="s">
        <v>32</v>
      </c>
      <c r="H368" t="s">
        <v>44</v>
      </c>
      <c r="I368" t="s">
        <v>818</v>
      </c>
      <c r="J368" t="s">
        <v>188</v>
      </c>
      <c r="K368" s="2">
        <v>157.21</v>
      </c>
      <c r="L368">
        <v>11</v>
      </c>
      <c r="M368" t="s">
        <v>78</v>
      </c>
      <c r="N368">
        <v>3</v>
      </c>
      <c r="O368">
        <v>3</v>
      </c>
      <c r="P368">
        <v>0</v>
      </c>
      <c r="Q368" t="s">
        <v>49</v>
      </c>
      <c r="R368" t="s">
        <v>50</v>
      </c>
      <c r="S368">
        <v>0</v>
      </c>
      <c r="T368">
        <v>3</v>
      </c>
      <c r="U368" t="s">
        <v>44</v>
      </c>
      <c r="V368" t="s">
        <v>38</v>
      </c>
      <c r="W368" t="s">
        <v>61</v>
      </c>
      <c r="X368" s="3">
        <v>45660</v>
      </c>
      <c r="Y368" s="1" t="str">
        <f t="shared" si="10"/>
        <v>Jan</v>
      </c>
      <c r="Z368" s="1" t="str">
        <f t="shared" si="11"/>
        <v>2025</v>
      </c>
      <c r="AA368" t="b">
        <v>1</v>
      </c>
      <c r="AB368" t="b">
        <v>0</v>
      </c>
      <c r="AC368" t="s">
        <v>52</v>
      </c>
      <c r="AD368" t="s">
        <v>67</v>
      </c>
      <c r="AE368">
        <v>5</v>
      </c>
    </row>
    <row r="369" spans="1:31" x14ac:dyDescent="0.3">
      <c r="A369" t="s">
        <v>819</v>
      </c>
      <c r="B369">
        <v>46</v>
      </c>
      <c r="C369" t="str" cm="1">
        <f t="array" ref="C369">_xlfn.IFS(B369&lt;=18,"0-18",B369&lt;=29,"19-29",B369&gt;=49,"30-49",B369&gt;=69,"50-69",TRUE,"70+")</f>
        <v>70+</v>
      </c>
      <c r="D369" t="s">
        <v>29</v>
      </c>
      <c r="E369" t="s">
        <v>44</v>
      </c>
      <c r="F369" t="s">
        <v>69</v>
      </c>
      <c r="G369" t="s">
        <v>45</v>
      </c>
      <c r="H369" t="s">
        <v>44</v>
      </c>
      <c r="I369" t="s">
        <v>820</v>
      </c>
      <c r="J369" t="s">
        <v>90</v>
      </c>
      <c r="K369" s="2">
        <v>159.44999999999999</v>
      </c>
      <c r="L369">
        <v>2</v>
      </c>
      <c r="M369" t="s">
        <v>78</v>
      </c>
      <c r="N369">
        <v>3</v>
      </c>
      <c r="O369">
        <v>2</v>
      </c>
      <c r="P369">
        <v>2</v>
      </c>
      <c r="Q369" t="s">
        <v>49</v>
      </c>
      <c r="R369" t="s">
        <v>85</v>
      </c>
      <c r="S369">
        <v>0</v>
      </c>
      <c r="T369">
        <v>5</v>
      </c>
      <c r="U369" t="s">
        <v>36</v>
      </c>
      <c r="V369" t="s">
        <v>60</v>
      </c>
      <c r="W369" t="s">
        <v>61</v>
      </c>
      <c r="X369" s="3">
        <v>45661</v>
      </c>
      <c r="Y369" s="1" t="str">
        <f t="shared" si="10"/>
        <v>Jan</v>
      </c>
      <c r="Z369" s="1" t="str">
        <f t="shared" si="11"/>
        <v>2025</v>
      </c>
      <c r="AA369" t="b">
        <v>1</v>
      </c>
      <c r="AB369" t="b">
        <v>0</v>
      </c>
      <c r="AC369" t="s">
        <v>62</v>
      </c>
      <c r="AD369" t="s">
        <v>53</v>
      </c>
      <c r="AE369">
        <v>14</v>
      </c>
    </row>
    <row r="370" spans="1:31" x14ac:dyDescent="0.3">
      <c r="A370" t="s">
        <v>821</v>
      </c>
      <c r="B370">
        <v>44</v>
      </c>
      <c r="C370" t="str" cm="1">
        <f t="array" ref="C370">_xlfn.IFS(B370&lt;=18,"0-18",B370&lt;=29,"19-29",B370&gt;=49,"30-49",B370&gt;=69,"50-69",TRUE,"70+")</f>
        <v>70+</v>
      </c>
      <c r="D370" t="s">
        <v>29</v>
      </c>
      <c r="E370" t="s">
        <v>44</v>
      </c>
      <c r="F370" t="s">
        <v>69</v>
      </c>
      <c r="G370" t="s">
        <v>45</v>
      </c>
      <c r="H370" t="s">
        <v>30</v>
      </c>
      <c r="I370" t="s">
        <v>822</v>
      </c>
      <c r="J370" t="s">
        <v>98</v>
      </c>
      <c r="K370" s="2">
        <v>312.93</v>
      </c>
      <c r="L370">
        <v>2</v>
      </c>
      <c r="M370" t="s">
        <v>48</v>
      </c>
      <c r="N370">
        <v>2</v>
      </c>
      <c r="O370">
        <v>2</v>
      </c>
      <c r="P370">
        <v>1</v>
      </c>
      <c r="Q370" t="s">
        <v>44</v>
      </c>
      <c r="R370" t="s">
        <v>85</v>
      </c>
      <c r="S370">
        <v>0</v>
      </c>
      <c r="T370">
        <v>7</v>
      </c>
      <c r="U370" t="s">
        <v>36</v>
      </c>
      <c r="V370" t="s">
        <v>60</v>
      </c>
      <c r="W370" t="s">
        <v>51</v>
      </c>
      <c r="X370" s="3">
        <v>45662</v>
      </c>
      <c r="Y370" s="1" t="str">
        <f t="shared" si="10"/>
        <v>Jan</v>
      </c>
      <c r="Z370" s="1" t="str">
        <f t="shared" si="11"/>
        <v>2025</v>
      </c>
      <c r="AA370" t="b">
        <v>1</v>
      </c>
      <c r="AB370" t="b">
        <v>1</v>
      </c>
      <c r="AC370" t="s">
        <v>52</v>
      </c>
      <c r="AD370" t="s">
        <v>41</v>
      </c>
      <c r="AE370">
        <v>3</v>
      </c>
    </row>
    <row r="371" spans="1:31" x14ac:dyDescent="0.3">
      <c r="A371" t="s">
        <v>823</v>
      </c>
      <c r="B371">
        <v>38</v>
      </c>
      <c r="C371" t="str" cm="1">
        <f t="array" ref="C371">_xlfn.IFS(B371&lt;=18,"0-18",B371&lt;=29,"19-29",B371&gt;=49,"30-49",B371&gt;=69,"50-69",TRUE,"70+")</f>
        <v>70+</v>
      </c>
      <c r="D371" t="s">
        <v>43</v>
      </c>
      <c r="E371" t="s">
        <v>44</v>
      </c>
      <c r="F371" t="s">
        <v>31</v>
      </c>
      <c r="G371" t="s">
        <v>56</v>
      </c>
      <c r="H371" t="s">
        <v>30</v>
      </c>
      <c r="I371" t="s">
        <v>824</v>
      </c>
      <c r="J371" t="s">
        <v>107</v>
      </c>
      <c r="K371" s="2">
        <v>65.680000000000007</v>
      </c>
      <c r="L371">
        <v>4</v>
      </c>
      <c r="M371" t="s">
        <v>48</v>
      </c>
      <c r="N371">
        <v>4</v>
      </c>
      <c r="O371">
        <v>4</v>
      </c>
      <c r="P371">
        <v>0</v>
      </c>
      <c r="Q371" t="s">
        <v>49</v>
      </c>
      <c r="R371" t="s">
        <v>50</v>
      </c>
      <c r="S371">
        <v>0</v>
      </c>
      <c r="T371">
        <v>8</v>
      </c>
      <c r="U371" t="s">
        <v>49</v>
      </c>
      <c r="V371" t="s">
        <v>60</v>
      </c>
      <c r="W371" t="s">
        <v>66</v>
      </c>
      <c r="X371" s="3">
        <v>45663</v>
      </c>
      <c r="Y371" s="1" t="str">
        <f t="shared" si="10"/>
        <v>Jan</v>
      </c>
      <c r="Z371" s="1" t="str">
        <f t="shared" si="11"/>
        <v>2025</v>
      </c>
      <c r="AA371" t="b">
        <v>0</v>
      </c>
      <c r="AB371" t="b">
        <v>0</v>
      </c>
      <c r="AC371" t="s">
        <v>62</v>
      </c>
      <c r="AD371" t="s">
        <v>53</v>
      </c>
      <c r="AE371">
        <v>12</v>
      </c>
    </row>
    <row r="372" spans="1:31" x14ac:dyDescent="0.3">
      <c r="A372" t="s">
        <v>825</v>
      </c>
      <c r="B372">
        <v>44</v>
      </c>
      <c r="C372" t="str" cm="1">
        <f t="array" ref="C372">_xlfn.IFS(B372&lt;=18,"0-18",B372&lt;=29,"19-29",B372&gt;=49,"30-49",B372&gt;=69,"50-69",TRUE,"70+")</f>
        <v>70+</v>
      </c>
      <c r="D372" t="s">
        <v>43</v>
      </c>
      <c r="E372" t="s">
        <v>30</v>
      </c>
      <c r="F372" t="s">
        <v>55</v>
      </c>
      <c r="G372" t="s">
        <v>56</v>
      </c>
      <c r="H372" t="s">
        <v>30</v>
      </c>
      <c r="I372" t="s">
        <v>826</v>
      </c>
      <c r="J372" t="s">
        <v>120</v>
      </c>
      <c r="K372" s="2">
        <v>61.86</v>
      </c>
      <c r="L372">
        <v>5</v>
      </c>
      <c r="M372" t="s">
        <v>48</v>
      </c>
      <c r="N372">
        <v>4</v>
      </c>
      <c r="O372">
        <v>5</v>
      </c>
      <c r="P372">
        <v>2</v>
      </c>
      <c r="Q372" t="s">
        <v>36</v>
      </c>
      <c r="R372" t="s">
        <v>50</v>
      </c>
      <c r="S372">
        <v>2</v>
      </c>
      <c r="T372">
        <v>8</v>
      </c>
      <c r="U372" t="s">
        <v>36</v>
      </c>
      <c r="V372" t="s">
        <v>60</v>
      </c>
      <c r="W372" t="s">
        <v>86</v>
      </c>
      <c r="X372" s="3">
        <v>45664</v>
      </c>
      <c r="Y372" s="1" t="str">
        <f t="shared" si="10"/>
        <v>Jan</v>
      </c>
      <c r="Z372" s="1" t="str">
        <f t="shared" si="11"/>
        <v>2025</v>
      </c>
      <c r="AA372" t="b">
        <v>0</v>
      </c>
      <c r="AB372" t="b">
        <v>1</v>
      </c>
      <c r="AC372" t="s">
        <v>40</v>
      </c>
      <c r="AD372" t="s">
        <v>53</v>
      </c>
      <c r="AE372">
        <v>9</v>
      </c>
    </row>
    <row r="373" spans="1:31" x14ac:dyDescent="0.3">
      <c r="A373" t="s">
        <v>827</v>
      </c>
      <c r="B373">
        <v>18</v>
      </c>
      <c r="C373" t="str" cm="1">
        <f t="array" ref="C373">_xlfn.IFS(B373&lt;=18,"0-18",B373&lt;=29,"19-29",B373&gt;=49,"30-49",B373&gt;=69,"50-69",TRUE,"70+")</f>
        <v>0-18</v>
      </c>
      <c r="D373" t="s">
        <v>29</v>
      </c>
      <c r="E373" t="s">
        <v>44</v>
      </c>
      <c r="F373" t="s">
        <v>55</v>
      </c>
      <c r="G373" t="s">
        <v>56</v>
      </c>
      <c r="H373" t="s">
        <v>30</v>
      </c>
      <c r="I373" t="s">
        <v>828</v>
      </c>
      <c r="J373" t="s">
        <v>117</v>
      </c>
      <c r="K373" s="2">
        <v>343.77</v>
      </c>
      <c r="L373">
        <v>6</v>
      </c>
      <c r="M373" t="s">
        <v>35</v>
      </c>
      <c r="N373">
        <v>5</v>
      </c>
      <c r="O373">
        <v>4</v>
      </c>
      <c r="P373">
        <v>2</v>
      </c>
      <c r="Q373" t="s">
        <v>36</v>
      </c>
      <c r="R373" t="s">
        <v>50</v>
      </c>
      <c r="S373">
        <v>2</v>
      </c>
      <c r="T373">
        <v>4</v>
      </c>
      <c r="U373" t="s">
        <v>49</v>
      </c>
      <c r="V373" t="s">
        <v>79</v>
      </c>
      <c r="W373" t="s">
        <v>39</v>
      </c>
      <c r="X373" s="3">
        <v>45665</v>
      </c>
      <c r="Y373" s="1" t="str">
        <f t="shared" si="10"/>
        <v>Jan</v>
      </c>
      <c r="Z373" s="1" t="str">
        <f t="shared" si="11"/>
        <v>2025</v>
      </c>
      <c r="AA373" t="b">
        <v>1</v>
      </c>
      <c r="AB373" t="b">
        <v>0</v>
      </c>
      <c r="AC373" t="s">
        <v>62</v>
      </c>
      <c r="AD373" t="s">
        <v>41</v>
      </c>
      <c r="AE373">
        <v>3</v>
      </c>
    </row>
    <row r="374" spans="1:31" x14ac:dyDescent="0.3">
      <c r="A374" t="s">
        <v>829</v>
      </c>
      <c r="B374">
        <v>37</v>
      </c>
      <c r="C374" t="str" cm="1">
        <f t="array" ref="C374">_xlfn.IFS(B374&lt;=18,"0-18",B374&lt;=29,"19-29",B374&gt;=49,"30-49",B374&gt;=69,"50-69",TRUE,"70+")</f>
        <v>70+</v>
      </c>
      <c r="D374" t="s">
        <v>43</v>
      </c>
      <c r="E374" t="s">
        <v>30</v>
      </c>
      <c r="F374" t="s">
        <v>76</v>
      </c>
      <c r="G374" t="s">
        <v>56</v>
      </c>
      <c r="H374" t="s">
        <v>44</v>
      </c>
      <c r="I374" t="s">
        <v>830</v>
      </c>
      <c r="J374" t="s">
        <v>65</v>
      </c>
      <c r="K374" s="2">
        <v>107.21</v>
      </c>
      <c r="L374">
        <v>2</v>
      </c>
      <c r="M374" t="s">
        <v>78</v>
      </c>
      <c r="N374">
        <v>4</v>
      </c>
      <c r="O374">
        <v>2</v>
      </c>
      <c r="P374">
        <v>1</v>
      </c>
      <c r="Q374" t="s">
        <v>36</v>
      </c>
      <c r="R374" t="s">
        <v>50</v>
      </c>
      <c r="S374">
        <v>2</v>
      </c>
      <c r="T374">
        <v>9</v>
      </c>
      <c r="U374" t="s">
        <v>49</v>
      </c>
      <c r="V374" t="s">
        <v>79</v>
      </c>
      <c r="W374" t="s">
        <v>66</v>
      </c>
      <c r="X374" s="3">
        <v>45666</v>
      </c>
      <c r="Y374" s="1" t="str">
        <f t="shared" si="10"/>
        <v>Jan</v>
      </c>
      <c r="Z374" s="1" t="str">
        <f t="shared" si="11"/>
        <v>2025</v>
      </c>
      <c r="AA374" t="b">
        <v>1</v>
      </c>
      <c r="AB374" t="b">
        <v>1</v>
      </c>
      <c r="AC374" t="s">
        <v>74</v>
      </c>
      <c r="AD374" t="s">
        <v>53</v>
      </c>
      <c r="AE374">
        <v>6</v>
      </c>
    </row>
    <row r="375" spans="1:31" x14ac:dyDescent="0.3">
      <c r="A375" t="s">
        <v>831</v>
      </c>
      <c r="B375">
        <v>31</v>
      </c>
      <c r="C375" t="str" cm="1">
        <f t="array" ref="C375">_xlfn.IFS(B375&lt;=18,"0-18",B375&lt;=29,"19-29",B375&gt;=49,"30-49",B375&gt;=69,"50-69",TRUE,"70+")</f>
        <v>70+</v>
      </c>
      <c r="D375" t="s">
        <v>148</v>
      </c>
      <c r="E375" t="s">
        <v>44</v>
      </c>
      <c r="F375" t="s">
        <v>55</v>
      </c>
      <c r="G375" t="s">
        <v>56</v>
      </c>
      <c r="H375" t="s">
        <v>30</v>
      </c>
      <c r="I375" t="s">
        <v>832</v>
      </c>
      <c r="J375" t="s">
        <v>65</v>
      </c>
      <c r="K375" s="2">
        <v>148.97999999999999</v>
      </c>
      <c r="L375">
        <v>12</v>
      </c>
      <c r="M375" t="s">
        <v>78</v>
      </c>
      <c r="N375">
        <v>5</v>
      </c>
      <c r="O375">
        <v>1</v>
      </c>
      <c r="P375">
        <v>2</v>
      </c>
      <c r="Q375" t="s">
        <v>36</v>
      </c>
      <c r="R375" t="s">
        <v>85</v>
      </c>
      <c r="S375">
        <v>0</v>
      </c>
      <c r="T375">
        <v>8</v>
      </c>
      <c r="U375" t="s">
        <v>59</v>
      </c>
      <c r="V375" t="s">
        <v>38</v>
      </c>
      <c r="W375" t="s">
        <v>61</v>
      </c>
      <c r="X375" s="3">
        <v>45667</v>
      </c>
      <c r="Y375" s="1" t="str">
        <f t="shared" si="10"/>
        <v>Jan</v>
      </c>
      <c r="Z375" s="1" t="str">
        <f t="shared" si="11"/>
        <v>2025</v>
      </c>
      <c r="AA375" t="b">
        <v>1</v>
      </c>
      <c r="AB375" t="b">
        <v>1</v>
      </c>
      <c r="AC375" t="s">
        <v>52</v>
      </c>
      <c r="AD375" t="s">
        <v>53</v>
      </c>
      <c r="AE375">
        <v>13</v>
      </c>
    </row>
    <row r="376" spans="1:31" x14ac:dyDescent="0.3">
      <c r="A376" t="s">
        <v>833</v>
      </c>
      <c r="B376">
        <v>22</v>
      </c>
      <c r="C376" t="str" cm="1">
        <f t="array" ref="C376">_xlfn.IFS(B376&lt;=18,"0-18",B376&lt;=29,"19-29",B376&gt;=49,"30-49",B376&gt;=69,"50-69",TRUE,"70+")</f>
        <v>19-29</v>
      </c>
      <c r="D376" t="s">
        <v>29</v>
      </c>
      <c r="E376" t="s">
        <v>44</v>
      </c>
      <c r="F376" t="s">
        <v>69</v>
      </c>
      <c r="G376" t="s">
        <v>56</v>
      </c>
      <c r="H376" t="s">
        <v>30</v>
      </c>
      <c r="I376" t="s">
        <v>834</v>
      </c>
      <c r="J376" t="s">
        <v>104</v>
      </c>
      <c r="K376" s="2">
        <v>490.41</v>
      </c>
      <c r="L376">
        <v>4</v>
      </c>
      <c r="M376" t="s">
        <v>35</v>
      </c>
      <c r="N376">
        <v>3</v>
      </c>
      <c r="O376">
        <v>4</v>
      </c>
      <c r="P376">
        <v>0</v>
      </c>
      <c r="Q376" t="s">
        <v>59</v>
      </c>
      <c r="R376" t="s">
        <v>37</v>
      </c>
      <c r="S376">
        <v>0</v>
      </c>
      <c r="T376">
        <v>2</v>
      </c>
      <c r="U376" t="s">
        <v>44</v>
      </c>
      <c r="V376" t="s">
        <v>38</v>
      </c>
      <c r="W376" t="s">
        <v>66</v>
      </c>
      <c r="X376" s="3">
        <v>45668</v>
      </c>
      <c r="Y376" s="1" t="str">
        <f t="shared" si="10"/>
        <v>Jan</v>
      </c>
      <c r="Z376" s="1" t="str">
        <f t="shared" si="11"/>
        <v>2025</v>
      </c>
      <c r="AA376" t="b">
        <v>0</v>
      </c>
      <c r="AB376" t="b">
        <v>1</v>
      </c>
      <c r="AC376" t="s">
        <v>74</v>
      </c>
      <c r="AD376" t="s">
        <v>67</v>
      </c>
      <c r="AE376">
        <v>3</v>
      </c>
    </row>
    <row r="377" spans="1:31" x14ac:dyDescent="0.3">
      <c r="A377" t="s">
        <v>835</v>
      </c>
      <c r="B377">
        <v>33</v>
      </c>
      <c r="C377" t="str" cm="1">
        <f t="array" ref="C377">_xlfn.IFS(B377&lt;=18,"0-18",B377&lt;=29,"19-29",B377&gt;=49,"30-49",B377&gt;=69,"50-69",TRUE,"70+")</f>
        <v>70+</v>
      </c>
      <c r="D377" t="s">
        <v>43</v>
      </c>
      <c r="E377" t="s">
        <v>44</v>
      </c>
      <c r="F377" t="s">
        <v>31</v>
      </c>
      <c r="G377" t="s">
        <v>45</v>
      </c>
      <c r="H377" t="s">
        <v>30</v>
      </c>
      <c r="I377" t="s">
        <v>836</v>
      </c>
      <c r="J377" t="s">
        <v>158</v>
      </c>
      <c r="K377" s="2">
        <v>461.34</v>
      </c>
      <c r="L377">
        <v>4</v>
      </c>
      <c r="M377" t="s">
        <v>48</v>
      </c>
      <c r="N377">
        <v>3</v>
      </c>
      <c r="O377">
        <v>1</v>
      </c>
      <c r="P377">
        <v>0</v>
      </c>
      <c r="Q377" t="s">
        <v>44</v>
      </c>
      <c r="R377" t="s">
        <v>37</v>
      </c>
      <c r="S377">
        <v>1</v>
      </c>
      <c r="T377">
        <v>9</v>
      </c>
      <c r="U377" t="s">
        <v>59</v>
      </c>
      <c r="V377" t="s">
        <v>79</v>
      </c>
      <c r="W377" t="s">
        <v>86</v>
      </c>
      <c r="X377" s="3">
        <v>45669</v>
      </c>
      <c r="Y377" s="1" t="str">
        <f t="shared" si="10"/>
        <v>Jan</v>
      </c>
      <c r="Z377" s="1" t="str">
        <f t="shared" si="11"/>
        <v>2025</v>
      </c>
      <c r="AA377" t="b">
        <v>0</v>
      </c>
      <c r="AB377" t="b">
        <v>1</v>
      </c>
      <c r="AC377" t="s">
        <v>52</v>
      </c>
      <c r="AD377" t="s">
        <v>67</v>
      </c>
      <c r="AE377">
        <v>7</v>
      </c>
    </row>
    <row r="378" spans="1:31" x14ac:dyDescent="0.3">
      <c r="A378" t="s">
        <v>837</v>
      </c>
      <c r="B378">
        <v>20</v>
      </c>
      <c r="C378" t="str" cm="1">
        <f t="array" ref="C378">_xlfn.IFS(B378&lt;=18,"0-18",B378&lt;=29,"19-29",B378&gt;=49,"30-49",B378&gt;=69,"50-69",TRUE,"70+")</f>
        <v>19-29</v>
      </c>
      <c r="D378" t="s">
        <v>29</v>
      </c>
      <c r="E378" t="s">
        <v>44</v>
      </c>
      <c r="F378" t="s">
        <v>55</v>
      </c>
      <c r="G378" t="s">
        <v>56</v>
      </c>
      <c r="H378" t="s">
        <v>44</v>
      </c>
      <c r="I378" t="s">
        <v>838</v>
      </c>
      <c r="J378" t="s">
        <v>58</v>
      </c>
      <c r="K378" s="2">
        <v>338.89</v>
      </c>
      <c r="L378">
        <v>7</v>
      </c>
      <c r="M378" t="s">
        <v>48</v>
      </c>
      <c r="N378">
        <v>4</v>
      </c>
      <c r="O378">
        <v>2</v>
      </c>
      <c r="P378">
        <v>1</v>
      </c>
      <c r="Q378" t="s">
        <v>59</v>
      </c>
      <c r="R378" t="s">
        <v>37</v>
      </c>
      <c r="S378">
        <v>2</v>
      </c>
      <c r="T378">
        <v>6</v>
      </c>
      <c r="U378" t="s">
        <v>36</v>
      </c>
      <c r="V378" t="s">
        <v>79</v>
      </c>
      <c r="W378" t="s">
        <v>39</v>
      </c>
      <c r="X378" s="3">
        <v>45670</v>
      </c>
      <c r="Y378" s="1" t="str">
        <f t="shared" si="10"/>
        <v>Jan</v>
      </c>
      <c r="Z378" s="1" t="str">
        <f t="shared" si="11"/>
        <v>2025</v>
      </c>
      <c r="AA378" t="b">
        <v>1</v>
      </c>
      <c r="AB378" t="b">
        <v>1</v>
      </c>
      <c r="AC378" t="s">
        <v>52</v>
      </c>
      <c r="AD378" t="s">
        <v>67</v>
      </c>
      <c r="AE378">
        <v>3</v>
      </c>
    </row>
    <row r="379" spans="1:31" x14ac:dyDescent="0.3">
      <c r="A379" t="s">
        <v>839</v>
      </c>
      <c r="B379">
        <v>26</v>
      </c>
      <c r="C379" t="str" cm="1">
        <f t="array" ref="C379">_xlfn.IFS(B379&lt;=18,"0-18",B379&lt;=29,"19-29",B379&gt;=49,"30-49",B379&gt;=69,"50-69",TRUE,"70+")</f>
        <v>19-29</v>
      </c>
      <c r="D379" t="s">
        <v>43</v>
      </c>
      <c r="E379" t="s">
        <v>44</v>
      </c>
      <c r="F379" t="s">
        <v>31</v>
      </c>
      <c r="G379" t="s">
        <v>45</v>
      </c>
      <c r="H379" t="s">
        <v>44</v>
      </c>
      <c r="I379" t="s">
        <v>840</v>
      </c>
      <c r="J379" t="s">
        <v>34</v>
      </c>
      <c r="K379" s="2">
        <v>222.63</v>
      </c>
      <c r="L379">
        <v>3</v>
      </c>
      <c r="M379" t="s">
        <v>35</v>
      </c>
      <c r="N379">
        <v>1</v>
      </c>
      <c r="O379">
        <v>1</v>
      </c>
      <c r="P379">
        <v>0</v>
      </c>
      <c r="Q379" t="s">
        <v>49</v>
      </c>
      <c r="R379" t="s">
        <v>37</v>
      </c>
      <c r="S379">
        <v>2</v>
      </c>
      <c r="T379">
        <v>2</v>
      </c>
      <c r="U379" t="s">
        <v>36</v>
      </c>
      <c r="V379" t="s">
        <v>38</v>
      </c>
      <c r="W379" t="s">
        <v>86</v>
      </c>
      <c r="X379" s="3">
        <v>45671</v>
      </c>
      <c r="Y379" s="1" t="str">
        <f t="shared" si="10"/>
        <v>Jan</v>
      </c>
      <c r="Z379" s="1" t="str">
        <f t="shared" si="11"/>
        <v>2025</v>
      </c>
      <c r="AA379" t="b">
        <v>0</v>
      </c>
      <c r="AB379" t="b">
        <v>1</v>
      </c>
      <c r="AC379" t="s">
        <v>62</v>
      </c>
      <c r="AD379" t="s">
        <v>67</v>
      </c>
      <c r="AE379">
        <v>6</v>
      </c>
    </row>
    <row r="380" spans="1:31" x14ac:dyDescent="0.3">
      <c r="A380" t="s">
        <v>841</v>
      </c>
      <c r="B380">
        <v>26</v>
      </c>
      <c r="C380" t="str" cm="1">
        <f t="array" ref="C380">_xlfn.IFS(B380&lt;=18,"0-18",B380&lt;=29,"19-29",B380&gt;=49,"30-49",B380&gt;=69,"50-69",TRUE,"70+")</f>
        <v>19-29</v>
      </c>
      <c r="D380" t="s">
        <v>43</v>
      </c>
      <c r="E380" t="s">
        <v>44</v>
      </c>
      <c r="F380" t="s">
        <v>31</v>
      </c>
      <c r="G380" t="s">
        <v>45</v>
      </c>
      <c r="H380" t="s">
        <v>44</v>
      </c>
      <c r="I380" t="s">
        <v>842</v>
      </c>
      <c r="J380" t="s">
        <v>126</v>
      </c>
      <c r="K380" s="2">
        <v>71.95</v>
      </c>
      <c r="L380">
        <v>2</v>
      </c>
      <c r="M380" t="s">
        <v>35</v>
      </c>
      <c r="N380">
        <v>3</v>
      </c>
      <c r="O380">
        <v>5</v>
      </c>
      <c r="P380">
        <v>2</v>
      </c>
      <c r="Q380" t="s">
        <v>36</v>
      </c>
      <c r="R380" t="s">
        <v>85</v>
      </c>
      <c r="S380">
        <v>2</v>
      </c>
      <c r="T380">
        <v>10</v>
      </c>
      <c r="U380" t="s">
        <v>36</v>
      </c>
      <c r="V380" t="s">
        <v>79</v>
      </c>
      <c r="W380" t="s">
        <v>61</v>
      </c>
      <c r="X380" s="3">
        <v>45672</v>
      </c>
      <c r="Y380" s="1" t="str">
        <f t="shared" si="10"/>
        <v>Jan</v>
      </c>
      <c r="Z380" s="1" t="str">
        <f t="shared" si="11"/>
        <v>2025</v>
      </c>
      <c r="AA380" t="b">
        <v>0</v>
      </c>
      <c r="AB380" t="b">
        <v>1</v>
      </c>
      <c r="AC380" t="s">
        <v>74</v>
      </c>
      <c r="AD380" t="s">
        <v>41</v>
      </c>
      <c r="AE380">
        <v>13</v>
      </c>
    </row>
    <row r="381" spans="1:31" x14ac:dyDescent="0.3">
      <c r="A381" t="s">
        <v>843</v>
      </c>
      <c r="B381">
        <v>21</v>
      </c>
      <c r="C381" t="str" cm="1">
        <f t="array" ref="C381">_xlfn.IFS(B381&lt;=18,"0-18",B381&lt;=29,"19-29",B381&gt;=49,"30-49",B381&gt;=69,"50-69",TRUE,"70+")</f>
        <v>19-29</v>
      </c>
      <c r="D381" t="s">
        <v>43</v>
      </c>
      <c r="E381" t="s">
        <v>44</v>
      </c>
      <c r="F381" t="s">
        <v>76</v>
      </c>
      <c r="G381" t="s">
        <v>45</v>
      </c>
      <c r="H381" t="s">
        <v>30</v>
      </c>
      <c r="I381" t="s">
        <v>844</v>
      </c>
      <c r="J381" t="s">
        <v>120</v>
      </c>
      <c r="K381" s="2">
        <v>264.52</v>
      </c>
      <c r="L381">
        <v>9</v>
      </c>
      <c r="M381" t="s">
        <v>78</v>
      </c>
      <c r="N381">
        <v>3</v>
      </c>
      <c r="O381">
        <v>3</v>
      </c>
      <c r="P381">
        <v>1</v>
      </c>
      <c r="Q381" t="s">
        <v>36</v>
      </c>
      <c r="R381" t="s">
        <v>50</v>
      </c>
      <c r="S381">
        <v>0</v>
      </c>
      <c r="T381">
        <v>10</v>
      </c>
      <c r="U381" t="s">
        <v>36</v>
      </c>
      <c r="V381" t="s">
        <v>60</v>
      </c>
      <c r="W381" t="s">
        <v>61</v>
      </c>
      <c r="X381" s="3">
        <v>45673</v>
      </c>
      <c r="Y381" s="1" t="str">
        <f t="shared" si="10"/>
        <v>Jan</v>
      </c>
      <c r="Z381" s="1" t="str">
        <f t="shared" si="11"/>
        <v>2025</v>
      </c>
      <c r="AA381" t="b">
        <v>1</v>
      </c>
      <c r="AB381" t="b">
        <v>1</v>
      </c>
      <c r="AC381" t="s">
        <v>74</v>
      </c>
      <c r="AD381" t="s">
        <v>41</v>
      </c>
      <c r="AE381">
        <v>6</v>
      </c>
    </row>
    <row r="382" spans="1:31" x14ac:dyDescent="0.3">
      <c r="A382" t="s">
        <v>845</v>
      </c>
      <c r="B382">
        <v>43</v>
      </c>
      <c r="C382" t="str" cm="1">
        <f t="array" ref="C382">_xlfn.IFS(B382&lt;=18,"0-18",B382&lt;=29,"19-29",B382&gt;=49,"30-49",B382&gt;=69,"50-69",TRUE,"70+")</f>
        <v>70+</v>
      </c>
      <c r="D382" t="s">
        <v>43</v>
      </c>
      <c r="E382" t="s">
        <v>44</v>
      </c>
      <c r="F382" t="s">
        <v>76</v>
      </c>
      <c r="G382" t="s">
        <v>45</v>
      </c>
      <c r="H382" t="s">
        <v>44</v>
      </c>
      <c r="I382" t="s">
        <v>846</v>
      </c>
      <c r="J382" t="s">
        <v>47</v>
      </c>
      <c r="K382" s="2">
        <v>414.8</v>
      </c>
      <c r="L382">
        <v>9</v>
      </c>
      <c r="M382" t="s">
        <v>35</v>
      </c>
      <c r="N382">
        <v>2</v>
      </c>
      <c r="O382">
        <v>3</v>
      </c>
      <c r="P382">
        <v>2</v>
      </c>
      <c r="Q382" t="s">
        <v>59</v>
      </c>
      <c r="R382" t="s">
        <v>85</v>
      </c>
      <c r="S382">
        <v>2</v>
      </c>
      <c r="T382">
        <v>9</v>
      </c>
      <c r="U382" t="s">
        <v>36</v>
      </c>
      <c r="V382" t="s">
        <v>79</v>
      </c>
      <c r="W382" t="s">
        <v>51</v>
      </c>
      <c r="X382" s="3">
        <v>45674</v>
      </c>
      <c r="Y382" s="1" t="str">
        <f t="shared" si="10"/>
        <v>Jan</v>
      </c>
      <c r="Z382" s="1" t="str">
        <f t="shared" si="11"/>
        <v>2025</v>
      </c>
      <c r="AA382" t="b">
        <v>0</v>
      </c>
      <c r="AB382" t="b">
        <v>1</v>
      </c>
      <c r="AC382" t="s">
        <v>74</v>
      </c>
      <c r="AD382" t="s">
        <v>41</v>
      </c>
      <c r="AE382">
        <v>7</v>
      </c>
    </row>
    <row r="383" spans="1:31" x14ac:dyDescent="0.3">
      <c r="A383" t="s">
        <v>847</v>
      </c>
      <c r="B383">
        <v>50</v>
      </c>
      <c r="C383" t="str" cm="1">
        <f t="array" ref="C383">_xlfn.IFS(B383&lt;=18,"0-18",B383&lt;=29,"19-29",B383&gt;=49,"30-49",B383&gt;=69,"50-69",TRUE,"70+")</f>
        <v>30-49</v>
      </c>
      <c r="D383" t="s">
        <v>43</v>
      </c>
      <c r="E383" t="s">
        <v>30</v>
      </c>
      <c r="F383" t="s">
        <v>55</v>
      </c>
      <c r="G383" t="s">
        <v>32</v>
      </c>
      <c r="H383" t="s">
        <v>44</v>
      </c>
      <c r="I383" t="s">
        <v>848</v>
      </c>
      <c r="J383" t="s">
        <v>158</v>
      </c>
      <c r="K383" s="2">
        <v>50.79</v>
      </c>
      <c r="L383">
        <v>12</v>
      </c>
      <c r="M383" t="s">
        <v>35</v>
      </c>
      <c r="N383">
        <v>5</v>
      </c>
      <c r="O383">
        <v>1</v>
      </c>
      <c r="P383">
        <v>0</v>
      </c>
      <c r="Q383" t="s">
        <v>49</v>
      </c>
      <c r="R383" t="s">
        <v>37</v>
      </c>
      <c r="S383">
        <v>0</v>
      </c>
      <c r="T383">
        <v>2</v>
      </c>
      <c r="U383" t="s">
        <v>49</v>
      </c>
      <c r="V383" t="s">
        <v>79</v>
      </c>
      <c r="W383" t="s">
        <v>66</v>
      </c>
      <c r="X383" s="3">
        <v>45675</v>
      </c>
      <c r="Y383" s="1" t="str">
        <f t="shared" si="10"/>
        <v>Jan</v>
      </c>
      <c r="Z383" s="1" t="str">
        <f t="shared" si="11"/>
        <v>2025</v>
      </c>
      <c r="AA383" t="b">
        <v>1</v>
      </c>
      <c r="AB383" t="b">
        <v>0</v>
      </c>
      <c r="AC383" t="s">
        <v>74</v>
      </c>
      <c r="AD383" t="s">
        <v>53</v>
      </c>
      <c r="AE383">
        <v>3</v>
      </c>
    </row>
    <row r="384" spans="1:31" x14ac:dyDescent="0.3">
      <c r="A384" t="s">
        <v>849</v>
      </c>
      <c r="B384">
        <v>42</v>
      </c>
      <c r="C384" t="str" cm="1">
        <f t="array" ref="C384">_xlfn.IFS(B384&lt;=18,"0-18",B384&lt;=29,"19-29",B384&gt;=49,"30-49",B384&gt;=69,"50-69",TRUE,"70+")</f>
        <v>70+</v>
      </c>
      <c r="D384" t="s">
        <v>29</v>
      </c>
      <c r="E384" t="s">
        <v>30</v>
      </c>
      <c r="F384" t="s">
        <v>31</v>
      </c>
      <c r="G384" t="s">
        <v>45</v>
      </c>
      <c r="H384" t="s">
        <v>30</v>
      </c>
      <c r="I384" t="s">
        <v>850</v>
      </c>
      <c r="J384" t="s">
        <v>107</v>
      </c>
      <c r="K384" s="2">
        <v>264.3</v>
      </c>
      <c r="L384">
        <v>10</v>
      </c>
      <c r="M384" t="s">
        <v>48</v>
      </c>
      <c r="N384">
        <v>5</v>
      </c>
      <c r="O384">
        <v>4</v>
      </c>
      <c r="P384">
        <v>1</v>
      </c>
      <c r="Q384" t="s">
        <v>59</v>
      </c>
      <c r="R384" t="s">
        <v>50</v>
      </c>
      <c r="S384">
        <v>2</v>
      </c>
      <c r="T384">
        <v>2</v>
      </c>
      <c r="U384" t="s">
        <v>44</v>
      </c>
      <c r="V384" t="s">
        <v>60</v>
      </c>
      <c r="W384" t="s">
        <v>51</v>
      </c>
      <c r="X384" s="3">
        <v>45676</v>
      </c>
      <c r="Y384" s="1" t="str">
        <f t="shared" si="10"/>
        <v>Jan</v>
      </c>
      <c r="Z384" s="1" t="str">
        <f t="shared" si="11"/>
        <v>2025</v>
      </c>
      <c r="AA384" t="b">
        <v>1</v>
      </c>
      <c r="AB384" t="b">
        <v>1</v>
      </c>
      <c r="AC384" t="s">
        <v>74</v>
      </c>
      <c r="AD384" t="s">
        <v>41</v>
      </c>
      <c r="AE384">
        <v>5</v>
      </c>
    </row>
    <row r="385" spans="1:31" x14ac:dyDescent="0.3">
      <c r="A385" t="s">
        <v>851</v>
      </c>
      <c r="B385">
        <v>29</v>
      </c>
      <c r="C385" t="str" cm="1">
        <f t="array" ref="C385">_xlfn.IFS(B385&lt;=18,"0-18",B385&lt;=29,"19-29",B385&gt;=49,"30-49",B385&gt;=69,"50-69",TRUE,"70+")</f>
        <v>19-29</v>
      </c>
      <c r="D385" t="s">
        <v>43</v>
      </c>
      <c r="E385" t="s">
        <v>44</v>
      </c>
      <c r="F385" t="s">
        <v>31</v>
      </c>
      <c r="G385" t="s">
        <v>32</v>
      </c>
      <c r="H385" t="s">
        <v>30</v>
      </c>
      <c r="I385" t="s">
        <v>852</v>
      </c>
      <c r="J385" t="s">
        <v>101</v>
      </c>
      <c r="K385" s="2">
        <v>122.46</v>
      </c>
      <c r="L385">
        <v>12</v>
      </c>
      <c r="M385" t="s">
        <v>35</v>
      </c>
      <c r="N385">
        <v>2</v>
      </c>
      <c r="O385">
        <v>3</v>
      </c>
      <c r="P385">
        <v>0</v>
      </c>
      <c r="Q385" t="s">
        <v>44</v>
      </c>
      <c r="R385" t="s">
        <v>50</v>
      </c>
      <c r="S385">
        <v>0</v>
      </c>
      <c r="T385">
        <v>3</v>
      </c>
      <c r="U385" t="s">
        <v>59</v>
      </c>
      <c r="V385" t="s">
        <v>38</v>
      </c>
      <c r="W385" t="s">
        <v>39</v>
      </c>
      <c r="X385" s="3">
        <v>45677</v>
      </c>
      <c r="Y385" s="1" t="str">
        <f t="shared" si="10"/>
        <v>Jan</v>
      </c>
      <c r="Z385" s="1" t="str">
        <f t="shared" si="11"/>
        <v>2025</v>
      </c>
      <c r="AA385" t="b">
        <v>0</v>
      </c>
      <c r="AB385" t="b">
        <v>1</v>
      </c>
      <c r="AC385" t="s">
        <v>52</v>
      </c>
      <c r="AD385" t="s">
        <v>53</v>
      </c>
      <c r="AE385">
        <v>6</v>
      </c>
    </row>
    <row r="386" spans="1:31" x14ac:dyDescent="0.3">
      <c r="A386" t="s">
        <v>853</v>
      </c>
      <c r="B386">
        <v>20</v>
      </c>
      <c r="C386" t="str" cm="1">
        <f t="array" ref="C386">_xlfn.IFS(B386&lt;=18,"0-18",B386&lt;=29,"19-29",B386&gt;=49,"30-49",B386&gt;=69,"50-69",TRUE,"70+")</f>
        <v>19-29</v>
      </c>
      <c r="D386" t="s">
        <v>43</v>
      </c>
      <c r="E386" t="s">
        <v>30</v>
      </c>
      <c r="F386" t="s">
        <v>69</v>
      </c>
      <c r="G386" t="s">
        <v>45</v>
      </c>
      <c r="H386" t="s">
        <v>30</v>
      </c>
      <c r="I386" t="s">
        <v>854</v>
      </c>
      <c r="J386" t="s">
        <v>120</v>
      </c>
      <c r="K386" s="2">
        <v>238.01</v>
      </c>
      <c r="L386">
        <v>8</v>
      </c>
      <c r="M386" t="s">
        <v>48</v>
      </c>
      <c r="N386">
        <v>2</v>
      </c>
      <c r="O386">
        <v>2</v>
      </c>
      <c r="P386">
        <v>0</v>
      </c>
      <c r="Q386" t="s">
        <v>44</v>
      </c>
      <c r="R386" t="s">
        <v>37</v>
      </c>
      <c r="S386">
        <v>0</v>
      </c>
      <c r="T386">
        <v>9</v>
      </c>
      <c r="U386" t="s">
        <v>59</v>
      </c>
      <c r="V386" t="s">
        <v>79</v>
      </c>
      <c r="W386" t="s">
        <v>86</v>
      </c>
      <c r="X386" s="3">
        <v>45678</v>
      </c>
      <c r="Y386" s="1" t="str">
        <f t="shared" si="10"/>
        <v>Jan</v>
      </c>
      <c r="Z386" s="1" t="str">
        <f t="shared" si="11"/>
        <v>2025</v>
      </c>
      <c r="AA386" t="b">
        <v>0</v>
      </c>
      <c r="AB386" t="b">
        <v>1</v>
      </c>
      <c r="AC386" t="s">
        <v>40</v>
      </c>
      <c r="AD386" t="s">
        <v>53</v>
      </c>
      <c r="AE386">
        <v>5</v>
      </c>
    </row>
    <row r="387" spans="1:31" x14ac:dyDescent="0.3">
      <c r="A387" t="s">
        <v>855</v>
      </c>
      <c r="B387">
        <v>40</v>
      </c>
      <c r="C387" t="str" cm="1">
        <f t="array" ref="C387">_xlfn.IFS(B387&lt;=18,"0-18",B387&lt;=29,"19-29",B387&gt;=49,"30-49",B387&gt;=69,"50-69",TRUE,"70+")</f>
        <v>70+</v>
      </c>
      <c r="D387" t="s">
        <v>190</v>
      </c>
      <c r="E387" t="s">
        <v>44</v>
      </c>
      <c r="F387" t="s">
        <v>31</v>
      </c>
      <c r="G387" t="s">
        <v>56</v>
      </c>
      <c r="H387" t="s">
        <v>30</v>
      </c>
      <c r="I387" t="s">
        <v>856</v>
      </c>
      <c r="J387" t="s">
        <v>65</v>
      </c>
      <c r="K387" s="2">
        <v>490.34</v>
      </c>
      <c r="L387">
        <v>4</v>
      </c>
      <c r="M387" t="s">
        <v>48</v>
      </c>
      <c r="N387">
        <v>5</v>
      </c>
      <c r="O387">
        <v>2</v>
      </c>
      <c r="P387">
        <v>2</v>
      </c>
      <c r="Q387" t="s">
        <v>36</v>
      </c>
      <c r="R387" t="s">
        <v>50</v>
      </c>
      <c r="S387">
        <v>2</v>
      </c>
      <c r="T387">
        <v>7</v>
      </c>
      <c r="U387" t="s">
        <v>44</v>
      </c>
      <c r="V387" t="s">
        <v>38</v>
      </c>
      <c r="W387" t="s">
        <v>66</v>
      </c>
      <c r="X387" s="3">
        <v>45679</v>
      </c>
      <c r="Y387" s="1" t="str">
        <f t="shared" ref="Y387:Y450" si="12">TEXT(X387,"mmm")</f>
        <v>Jan</v>
      </c>
      <c r="Z387" s="1" t="str">
        <f t="shared" ref="Z387:Z450" si="13">TEXT(X387,"yyyy")</f>
        <v>2025</v>
      </c>
      <c r="AA387" t="b">
        <v>0</v>
      </c>
      <c r="AB387" t="b">
        <v>1</v>
      </c>
      <c r="AC387" t="s">
        <v>40</v>
      </c>
      <c r="AD387" t="s">
        <v>41</v>
      </c>
      <c r="AE387">
        <v>2</v>
      </c>
    </row>
    <row r="388" spans="1:31" x14ac:dyDescent="0.3">
      <c r="A388" t="s">
        <v>857</v>
      </c>
      <c r="B388">
        <v>38</v>
      </c>
      <c r="C388" t="str" cm="1">
        <f t="array" ref="C388">_xlfn.IFS(B388&lt;=18,"0-18",B388&lt;=29,"19-29",B388&gt;=49,"30-49",B388&gt;=69,"50-69",TRUE,"70+")</f>
        <v>70+</v>
      </c>
      <c r="D388" t="s">
        <v>43</v>
      </c>
      <c r="E388" t="s">
        <v>44</v>
      </c>
      <c r="F388" t="s">
        <v>76</v>
      </c>
      <c r="G388" t="s">
        <v>32</v>
      </c>
      <c r="H388" t="s">
        <v>30</v>
      </c>
      <c r="I388" t="s">
        <v>858</v>
      </c>
      <c r="J388" t="s">
        <v>246</v>
      </c>
      <c r="K388" s="2">
        <v>245.98</v>
      </c>
      <c r="L388">
        <v>4</v>
      </c>
      <c r="M388" t="s">
        <v>35</v>
      </c>
      <c r="N388">
        <v>5</v>
      </c>
      <c r="O388">
        <v>1</v>
      </c>
      <c r="P388">
        <v>1</v>
      </c>
      <c r="Q388" t="s">
        <v>44</v>
      </c>
      <c r="R388" t="s">
        <v>50</v>
      </c>
      <c r="S388">
        <v>0</v>
      </c>
      <c r="T388">
        <v>1</v>
      </c>
      <c r="U388" t="s">
        <v>49</v>
      </c>
      <c r="V388" t="s">
        <v>79</v>
      </c>
      <c r="W388" t="s">
        <v>51</v>
      </c>
      <c r="X388" s="3">
        <v>45680</v>
      </c>
      <c r="Y388" s="1" t="str">
        <f t="shared" si="12"/>
        <v>Jan</v>
      </c>
      <c r="Z388" s="1" t="str">
        <f t="shared" si="13"/>
        <v>2025</v>
      </c>
      <c r="AA388" t="b">
        <v>0</v>
      </c>
      <c r="AB388" t="b">
        <v>0</v>
      </c>
      <c r="AC388" t="s">
        <v>74</v>
      </c>
      <c r="AD388" t="s">
        <v>53</v>
      </c>
      <c r="AE388">
        <v>10</v>
      </c>
    </row>
    <row r="389" spans="1:31" x14ac:dyDescent="0.3">
      <c r="A389" t="s">
        <v>859</v>
      </c>
      <c r="B389">
        <v>45</v>
      </c>
      <c r="C389" t="str" cm="1">
        <f t="array" ref="C389">_xlfn.IFS(B389&lt;=18,"0-18",B389&lt;=29,"19-29",B389&gt;=49,"30-49",B389&gt;=69,"50-69",TRUE,"70+")</f>
        <v>70+</v>
      </c>
      <c r="D389" t="s">
        <v>212</v>
      </c>
      <c r="E389" t="s">
        <v>30</v>
      </c>
      <c r="F389" t="s">
        <v>69</v>
      </c>
      <c r="G389" t="s">
        <v>45</v>
      </c>
      <c r="H389" t="s">
        <v>44</v>
      </c>
      <c r="I389" t="s">
        <v>860</v>
      </c>
      <c r="J389" t="s">
        <v>107</v>
      </c>
      <c r="K389" s="2">
        <v>390.83</v>
      </c>
      <c r="L389">
        <v>9</v>
      </c>
      <c r="M389" t="s">
        <v>78</v>
      </c>
      <c r="N389">
        <v>5</v>
      </c>
      <c r="O389">
        <v>5</v>
      </c>
      <c r="P389">
        <v>0</v>
      </c>
      <c r="Q389" t="s">
        <v>49</v>
      </c>
      <c r="R389" t="s">
        <v>37</v>
      </c>
      <c r="S389">
        <v>0</v>
      </c>
      <c r="T389">
        <v>5</v>
      </c>
      <c r="U389" t="s">
        <v>44</v>
      </c>
      <c r="V389" t="s">
        <v>79</v>
      </c>
      <c r="W389" t="s">
        <v>86</v>
      </c>
      <c r="X389" s="3">
        <v>45681</v>
      </c>
      <c r="Y389" s="1" t="str">
        <f t="shared" si="12"/>
        <v>Jan</v>
      </c>
      <c r="Z389" s="1" t="str">
        <f t="shared" si="13"/>
        <v>2025</v>
      </c>
      <c r="AA389" t="b">
        <v>0</v>
      </c>
      <c r="AB389" t="b">
        <v>1</v>
      </c>
      <c r="AC389" t="s">
        <v>62</v>
      </c>
      <c r="AD389" t="s">
        <v>41</v>
      </c>
      <c r="AE389">
        <v>8</v>
      </c>
    </row>
    <row r="390" spans="1:31" x14ac:dyDescent="0.3">
      <c r="A390" t="s">
        <v>861</v>
      </c>
      <c r="B390">
        <v>49</v>
      </c>
      <c r="C390" t="str" cm="1">
        <f t="array" ref="C390">_xlfn.IFS(B390&lt;=18,"0-18",B390&lt;=29,"19-29",B390&gt;=49,"30-49",B390&gt;=69,"50-69",TRUE,"70+")</f>
        <v>30-49</v>
      </c>
      <c r="D390" t="s">
        <v>43</v>
      </c>
      <c r="E390" t="s">
        <v>44</v>
      </c>
      <c r="F390" t="s">
        <v>69</v>
      </c>
      <c r="G390" t="s">
        <v>45</v>
      </c>
      <c r="H390" t="s">
        <v>30</v>
      </c>
      <c r="I390" t="s">
        <v>862</v>
      </c>
      <c r="J390" t="s">
        <v>246</v>
      </c>
      <c r="K390" s="2">
        <v>158.84</v>
      </c>
      <c r="L390">
        <v>6</v>
      </c>
      <c r="M390" t="s">
        <v>78</v>
      </c>
      <c r="N390">
        <v>2</v>
      </c>
      <c r="O390">
        <v>1</v>
      </c>
      <c r="P390">
        <v>1</v>
      </c>
      <c r="Q390" t="s">
        <v>36</v>
      </c>
      <c r="R390" t="s">
        <v>50</v>
      </c>
      <c r="S390">
        <v>1</v>
      </c>
      <c r="T390">
        <v>8</v>
      </c>
      <c r="U390" t="s">
        <v>59</v>
      </c>
      <c r="V390" t="s">
        <v>79</v>
      </c>
      <c r="W390" t="s">
        <v>86</v>
      </c>
      <c r="X390" s="3">
        <v>45682</v>
      </c>
      <c r="Y390" s="1" t="str">
        <f t="shared" si="12"/>
        <v>Jan</v>
      </c>
      <c r="Z390" s="1" t="str">
        <f t="shared" si="13"/>
        <v>2025</v>
      </c>
      <c r="AA390" t="b">
        <v>1</v>
      </c>
      <c r="AB390" t="b">
        <v>1</v>
      </c>
      <c r="AC390" t="s">
        <v>40</v>
      </c>
      <c r="AD390" t="s">
        <v>67</v>
      </c>
      <c r="AE390">
        <v>5</v>
      </c>
    </row>
    <row r="391" spans="1:31" x14ac:dyDescent="0.3">
      <c r="A391" t="s">
        <v>863</v>
      </c>
      <c r="B391">
        <v>37</v>
      </c>
      <c r="C391" t="str" cm="1">
        <f t="array" ref="C391">_xlfn.IFS(B391&lt;=18,"0-18",B391&lt;=29,"19-29",B391&gt;=49,"30-49",B391&gt;=69,"50-69",TRUE,"70+")</f>
        <v>70+</v>
      </c>
      <c r="D391" t="s">
        <v>43</v>
      </c>
      <c r="E391" t="s">
        <v>30</v>
      </c>
      <c r="F391" t="s">
        <v>55</v>
      </c>
      <c r="G391" t="s">
        <v>45</v>
      </c>
      <c r="H391" t="s">
        <v>30</v>
      </c>
      <c r="I391" t="s">
        <v>864</v>
      </c>
      <c r="J391" t="s">
        <v>123</v>
      </c>
      <c r="K391" s="2">
        <v>439.24</v>
      </c>
      <c r="L391">
        <v>8</v>
      </c>
      <c r="M391" t="s">
        <v>35</v>
      </c>
      <c r="N391">
        <v>3</v>
      </c>
      <c r="O391">
        <v>3</v>
      </c>
      <c r="P391">
        <v>1</v>
      </c>
      <c r="Q391" t="s">
        <v>44</v>
      </c>
      <c r="R391" t="s">
        <v>37</v>
      </c>
      <c r="S391">
        <v>2</v>
      </c>
      <c r="T391">
        <v>9</v>
      </c>
      <c r="U391" t="s">
        <v>49</v>
      </c>
      <c r="V391" t="s">
        <v>38</v>
      </c>
      <c r="W391" t="s">
        <v>66</v>
      </c>
      <c r="X391" s="3">
        <v>45683</v>
      </c>
      <c r="Y391" s="1" t="str">
        <f t="shared" si="12"/>
        <v>Jan</v>
      </c>
      <c r="Z391" s="1" t="str">
        <f t="shared" si="13"/>
        <v>2025</v>
      </c>
      <c r="AA391" t="b">
        <v>0</v>
      </c>
      <c r="AB391" t="b">
        <v>0</v>
      </c>
      <c r="AC391" t="s">
        <v>52</v>
      </c>
      <c r="AD391" t="s">
        <v>53</v>
      </c>
      <c r="AE391">
        <v>10</v>
      </c>
    </row>
    <row r="392" spans="1:31" x14ac:dyDescent="0.3">
      <c r="A392" t="s">
        <v>865</v>
      </c>
      <c r="B392">
        <v>23</v>
      </c>
      <c r="C392" t="str" cm="1">
        <f t="array" ref="C392">_xlfn.IFS(B392&lt;=18,"0-18",B392&lt;=29,"19-29",B392&gt;=49,"30-49",B392&gt;=69,"50-69",TRUE,"70+")</f>
        <v>19-29</v>
      </c>
      <c r="D392" t="s">
        <v>212</v>
      </c>
      <c r="E392" t="s">
        <v>30</v>
      </c>
      <c r="F392" t="s">
        <v>69</v>
      </c>
      <c r="G392" t="s">
        <v>56</v>
      </c>
      <c r="H392" t="s">
        <v>44</v>
      </c>
      <c r="I392" t="s">
        <v>866</v>
      </c>
      <c r="J392" t="s">
        <v>126</v>
      </c>
      <c r="K392" s="2">
        <v>92.43</v>
      </c>
      <c r="L392">
        <v>12</v>
      </c>
      <c r="M392" t="s">
        <v>35</v>
      </c>
      <c r="N392">
        <v>4</v>
      </c>
      <c r="O392">
        <v>1</v>
      </c>
      <c r="P392">
        <v>0</v>
      </c>
      <c r="Q392" t="s">
        <v>49</v>
      </c>
      <c r="R392" t="s">
        <v>37</v>
      </c>
      <c r="S392">
        <v>2</v>
      </c>
      <c r="T392">
        <v>9</v>
      </c>
      <c r="U392" t="s">
        <v>36</v>
      </c>
      <c r="V392" t="s">
        <v>60</v>
      </c>
      <c r="W392" t="s">
        <v>66</v>
      </c>
      <c r="X392" s="3">
        <v>45684</v>
      </c>
      <c r="Y392" s="1" t="str">
        <f t="shared" si="12"/>
        <v>Jan</v>
      </c>
      <c r="Z392" s="1" t="str">
        <f t="shared" si="13"/>
        <v>2025</v>
      </c>
      <c r="AA392" t="b">
        <v>0</v>
      </c>
      <c r="AB392" t="b">
        <v>1</v>
      </c>
      <c r="AC392" t="s">
        <v>40</v>
      </c>
      <c r="AD392" t="s">
        <v>53</v>
      </c>
      <c r="AE392">
        <v>6</v>
      </c>
    </row>
    <row r="393" spans="1:31" x14ac:dyDescent="0.3">
      <c r="A393" t="s">
        <v>867</v>
      </c>
      <c r="B393">
        <v>48</v>
      </c>
      <c r="C393" t="str" cm="1">
        <f t="array" ref="C393">_xlfn.IFS(B393&lt;=18,"0-18",B393&lt;=29,"19-29",B393&gt;=49,"30-49",B393&gt;=69,"50-69",TRUE,"70+")</f>
        <v>70+</v>
      </c>
      <c r="D393" t="s">
        <v>29</v>
      </c>
      <c r="E393" t="s">
        <v>44</v>
      </c>
      <c r="F393" t="s">
        <v>31</v>
      </c>
      <c r="G393" t="s">
        <v>56</v>
      </c>
      <c r="H393" t="s">
        <v>30</v>
      </c>
      <c r="I393" t="s">
        <v>868</v>
      </c>
      <c r="J393" t="s">
        <v>183</v>
      </c>
      <c r="K393" s="2">
        <v>333.15</v>
      </c>
      <c r="L393">
        <v>9</v>
      </c>
      <c r="M393" t="s">
        <v>35</v>
      </c>
      <c r="N393">
        <v>1</v>
      </c>
      <c r="O393">
        <v>5</v>
      </c>
      <c r="P393">
        <v>1</v>
      </c>
      <c r="Q393" t="s">
        <v>44</v>
      </c>
      <c r="R393" t="s">
        <v>85</v>
      </c>
      <c r="S393">
        <v>1</v>
      </c>
      <c r="T393">
        <v>8</v>
      </c>
      <c r="U393" t="s">
        <v>44</v>
      </c>
      <c r="V393" t="s">
        <v>60</v>
      </c>
      <c r="W393" t="s">
        <v>66</v>
      </c>
      <c r="X393" s="3">
        <v>45685</v>
      </c>
      <c r="Y393" s="1" t="str">
        <f t="shared" si="12"/>
        <v>Jan</v>
      </c>
      <c r="Z393" s="1" t="str">
        <f t="shared" si="13"/>
        <v>2025</v>
      </c>
      <c r="AA393" t="b">
        <v>0</v>
      </c>
      <c r="AB393" t="b">
        <v>0</v>
      </c>
      <c r="AC393" t="s">
        <v>62</v>
      </c>
      <c r="AD393" t="s">
        <v>53</v>
      </c>
      <c r="AE393">
        <v>14</v>
      </c>
    </row>
    <row r="394" spans="1:31" x14ac:dyDescent="0.3">
      <c r="A394" t="s">
        <v>869</v>
      </c>
      <c r="B394">
        <v>19</v>
      </c>
      <c r="C394" t="str" cm="1">
        <f t="array" ref="C394">_xlfn.IFS(B394&lt;=18,"0-18",B394&lt;=29,"19-29",B394&gt;=49,"30-49",B394&gt;=69,"50-69",TRUE,"70+")</f>
        <v>19-29</v>
      </c>
      <c r="D394" t="s">
        <v>43</v>
      </c>
      <c r="E394" t="s">
        <v>30</v>
      </c>
      <c r="F394" t="s">
        <v>76</v>
      </c>
      <c r="G394" t="s">
        <v>56</v>
      </c>
      <c r="H394" t="s">
        <v>30</v>
      </c>
      <c r="I394" t="s">
        <v>870</v>
      </c>
      <c r="J394" t="s">
        <v>98</v>
      </c>
      <c r="K394" s="2">
        <v>64.22</v>
      </c>
      <c r="L394">
        <v>9</v>
      </c>
      <c r="M394" t="s">
        <v>78</v>
      </c>
      <c r="N394">
        <v>1</v>
      </c>
      <c r="O394">
        <v>1</v>
      </c>
      <c r="P394">
        <v>2</v>
      </c>
      <c r="Q394" t="s">
        <v>44</v>
      </c>
      <c r="R394" t="s">
        <v>37</v>
      </c>
      <c r="S394">
        <v>1</v>
      </c>
      <c r="T394">
        <v>9</v>
      </c>
      <c r="U394" t="s">
        <v>49</v>
      </c>
      <c r="V394" t="s">
        <v>60</v>
      </c>
      <c r="W394" t="s">
        <v>51</v>
      </c>
      <c r="X394" s="3">
        <v>45686</v>
      </c>
      <c r="Y394" s="1" t="str">
        <f t="shared" si="12"/>
        <v>Jan</v>
      </c>
      <c r="Z394" s="1" t="str">
        <f t="shared" si="13"/>
        <v>2025</v>
      </c>
      <c r="AA394" t="b">
        <v>1</v>
      </c>
      <c r="AB394" t="b">
        <v>0</v>
      </c>
      <c r="AC394" t="s">
        <v>62</v>
      </c>
      <c r="AD394" t="s">
        <v>41</v>
      </c>
      <c r="AE394">
        <v>10</v>
      </c>
    </row>
    <row r="395" spans="1:31" x14ac:dyDescent="0.3">
      <c r="A395" t="s">
        <v>871</v>
      </c>
      <c r="B395">
        <v>46</v>
      </c>
      <c r="C395" t="str" cm="1">
        <f t="array" ref="C395">_xlfn.IFS(B395&lt;=18,"0-18",B395&lt;=29,"19-29",B395&gt;=49,"30-49",B395&gt;=69,"50-69",TRUE,"70+")</f>
        <v>70+</v>
      </c>
      <c r="D395" t="s">
        <v>29</v>
      </c>
      <c r="E395" t="s">
        <v>44</v>
      </c>
      <c r="F395" t="s">
        <v>55</v>
      </c>
      <c r="G395" t="s">
        <v>45</v>
      </c>
      <c r="H395" t="s">
        <v>44</v>
      </c>
      <c r="I395" t="s">
        <v>872</v>
      </c>
      <c r="J395" t="s">
        <v>65</v>
      </c>
      <c r="K395" s="2">
        <v>290.52999999999997</v>
      </c>
      <c r="L395">
        <v>3</v>
      </c>
      <c r="M395" t="s">
        <v>78</v>
      </c>
      <c r="N395">
        <v>3</v>
      </c>
      <c r="O395">
        <v>2</v>
      </c>
      <c r="P395">
        <v>1</v>
      </c>
      <c r="Q395" t="s">
        <v>59</v>
      </c>
      <c r="R395" t="s">
        <v>85</v>
      </c>
      <c r="S395">
        <v>0</v>
      </c>
      <c r="T395">
        <v>6</v>
      </c>
      <c r="U395" t="s">
        <v>44</v>
      </c>
      <c r="V395" t="s">
        <v>79</v>
      </c>
      <c r="W395" t="s">
        <v>61</v>
      </c>
      <c r="X395" s="3">
        <v>45687</v>
      </c>
      <c r="Y395" s="1" t="str">
        <f t="shared" si="12"/>
        <v>Jan</v>
      </c>
      <c r="Z395" s="1" t="str">
        <f t="shared" si="13"/>
        <v>2025</v>
      </c>
      <c r="AA395" t="b">
        <v>1</v>
      </c>
      <c r="AB395" t="b">
        <v>0</v>
      </c>
      <c r="AC395" t="s">
        <v>74</v>
      </c>
      <c r="AD395" t="s">
        <v>41</v>
      </c>
      <c r="AE395">
        <v>10</v>
      </c>
    </row>
    <row r="396" spans="1:31" x14ac:dyDescent="0.3">
      <c r="A396" t="s">
        <v>873</v>
      </c>
      <c r="B396">
        <v>39</v>
      </c>
      <c r="C396" t="str" cm="1">
        <f t="array" ref="C396">_xlfn.IFS(B396&lt;=18,"0-18",B396&lt;=29,"19-29",B396&gt;=49,"30-49",B396&gt;=69,"50-69",TRUE,"70+")</f>
        <v>70+</v>
      </c>
      <c r="D396" t="s">
        <v>43</v>
      </c>
      <c r="E396" t="s">
        <v>30</v>
      </c>
      <c r="F396" t="s">
        <v>76</v>
      </c>
      <c r="G396" t="s">
        <v>32</v>
      </c>
      <c r="H396" t="s">
        <v>44</v>
      </c>
      <c r="I396" t="s">
        <v>874</v>
      </c>
      <c r="J396" t="s">
        <v>123</v>
      </c>
      <c r="K396" s="2">
        <v>251.8</v>
      </c>
      <c r="L396">
        <v>6</v>
      </c>
      <c r="M396" t="s">
        <v>35</v>
      </c>
      <c r="N396">
        <v>5</v>
      </c>
      <c r="O396">
        <v>1</v>
      </c>
      <c r="P396">
        <v>2</v>
      </c>
      <c r="Q396" t="s">
        <v>44</v>
      </c>
      <c r="R396" t="s">
        <v>85</v>
      </c>
      <c r="S396">
        <v>1</v>
      </c>
      <c r="T396">
        <v>8</v>
      </c>
      <c r="U396" t="s">
        <v>59</v>
      </c>
      <c r="V396" t="s">
        <v>60</v>
      </c>
      <c r="W396" t="s">
        <v>61</v>
      </c>
      <c r="X396" s="3">
        <v>45688</v>
      </c>
      <c r="Y396" s="1" t="str">
        <f t="shared" si="12"/>
        <v>Jan</v>
      </c>
      <c r="Z396" s="1" t="str">
        <f t="shared" si="13"/>
        <v>2025</v>
      </c>
      <c r="AA396" t="b">
        <v>1</v>
      </c>
      <c r="AB396" t="b">
        <v>1</v>
      </c>
      <c r="AC396" t="s">
        <v>62</v>
      </c>
      <c r="AD396" t="s">
        <v>41</v>
      </c>
      <c r="AE396">
        <v>11</v>
      </c>
    </row>
    <row r="397" spans="1:31" x14ac:dyDescent="0.3">
      <c r="A397" t="s">
        <v>875</v>
      </c>
      <c r="B397">
        <v>27</v>
      </c>
      <c r="C397" t="str" cm="1">
        <f t="array" ref="C397">_xlfn.IFS(B397&lt;=18,"0-18",B397&lt;=29,"19-29",B397&gt;=49,"30-49",B397&gt;=69,"50-69",TRUE,"70+")</f>
        <v>19-29</v>
      </c>
      <c r="D397" t="s">
        <v>212</v>
      </c>
      <c r="E397" t="s">
        <v>30</v>
      </c>
      <c r="F397" t="s">
        <v>76</v>
      </c>
      <c r="G397" t="s">
        <v>56</v>
      </c>
      <c r="H397" t="s">
        <v>30</v>
      </c>
      <c r="I397" t="s">
        <v>876</v>
      </c>
      <c r="J397" t="s">
        <v>90</v>
      </c>
      <c r="K397" s="2">
        <v>480.52</v>
      </c>
      <c r="L397">
        <v>3</v>
      </c>
      <c r="M397" t="s">
        <v>78</v>
      </c>
      <c r="N397">
        <v>5</v>
      </c>
      <c r="O397">
        <v>4</v>
      </c>
      <c r="P397">
        <v>2</v>
      </c>
      <c r="Q397" t="s">
        <v>59</v>
      </c>
      <c r="R397" t="s">
        <v>37</v>
      </c>
      <c r="S397">
        <v>1</v>
      </c>
      <c r="T397">
        <v>5</v>
      </c>
      <c r="U397" t="s">
        <v>36</v>
      </c>
      <c r="V397" t="s">
        <v>60</v>
      </c>
      <c r="W397" t="s">
        <v>86</v>
      </c>
      <c r="X397" s="3">
        <v>45689</v>
      </c>
      <c r="Y397" s="1" t="str">
        <f t="shared" si="12"/>
        <v>Feb</v>
      </c>
      <c r="Z397" s="1" t="str">
        <f t="shared" si="13"/>
        <v>2025</v>
      </c>
      <c r="AA397" t="b">
        <v>0</v>
      </c>
      <c r="AB397" t="b">
        <v>0</v>
      </c>
      <c r="AC397" t="s">
        <v>74</v>
      </c>
      <c r="AD397" t="s">
        <v>41</v>
      </c>
      <c r="AE397">
        <v>13</v>
      </c>
    </row>
    <row r="398" spans="1:31" x14ac:dyDescent="0.3">
      <c r="A398" t="s">
        <v>877</v>
      </c>
      <c r="B398">
        <v>28</v>
      </c>
      <c r="C398" t="str" cm="1">
        <f t="array" ref="C398">_xlfn.IFS(B398&lt;=18,"0-18",B398&lt;=29,"19-29",B398&gt;=49,"30-49",B398&gt;=69,"50-69",TRUE,"70+")</f>
        <v>19-29</v>
      </c>
      <c r="D398" t="s">
        <v>29</v>
      </c>
      <c r="E398" t="s">
        <v>30</v>
      </c>
      <c r="F398" t="s">
        <v>31</v>
      </c>
      <c r="G398" t="s">
        <v>45</v>
      </c>
      <c r="H398" t="s">
        <v>44</v>
      </c>
      <c r="I398" t="s">
        <v>878</v>
      </c>
      <c r="J398" t="s">
        <v>114</v>
      </c>
      <c r="K398" s="2">
        <v>461.71</v>
      </c>
      <c r="L398">
        <v>10</v>
      </c>
      <c r="M398" t="s">
        <v>35</v>
      </c>
      <c r="N398">
        <v>3</v>
      </c>
      <c r="O398">
        <v>1</v>
      </c>
      <c r="P398">
        <v>0</v>
      </c>
      <c r="Q398" t="s">
        <v>59</v>
      </c>
      <c r="R398" t="s">
        <v>50</v>
      </c>
      <c r="S398">
        <v>0</v>
      </c>
      <c r="T398">
        <v>9</v>
      </c>
      <c r="U398" t="s">
        <v>44</v>
      </c>
      <c r="V398" t="s">
        <v>60</v>
      </c>
      <c r="W398" t="s">
        <v>86</v>
      </c>
      <c r="X398" s="3">
        <v>45690</v>
      </c>
      <c r="Y398" s="1" t="str">
        <f t="shared" si="12"/>
        <v>Feb</v>
      </c>
      <c r="Z398" s="1" t="str">
        <f t="shared" si="13"/>
        <v>2025</v>
      </c>
      <c r="AA398" t="b">
        <v>0</v>
      </c>
      <c r="AB398" t="b">
        <v>0</v>
      </c>
      <c r="AC398" t="s">
        <v>74</v>
      </c>
      <c r="AD398" t="s">
        <v>53</v>
      </c>
      <c r="AE398">
        <v>11</v>
      </c>
    </row>
    <row r="399" spans="1:31" x14ac:dyDescent="0.3">
      <c r="A399" t="s">
        <v>879</v>
      </c>
      <c r="B399">
        <v>50</v>
      </c>
      <c r="C399" t="str" cm="1">
        <f t="array" ref="C399">_xlfn.IFS(B399&lt;=18,"0-18",B399&lt;=29,"19-29",B399&gt;=49,"30-49",B399&gt;=69,"50-69",TRUE,"70+")</f>
        <v>30-49</v>
      </c>
      <c r="D399" t="s">
        <v>29</v>
      </c>
      <c r="E399" t="s">
        <v>44</v>
      </c>
      <c r="F399" t="s">
        <v>31</v>
      </c>
      <c r="G399" t="s">
        <v>45</v>
      </c>
      <c r="H399" t="s">
        <v>30</v>
      </c>
      <c r="I399" t="s">
        <v>880</v>
      </c>
      <c r="J399" t="s">
        <v>120</v>
      </c>
      <c r="K399" s="2">
        <v>288.33999999999997</v>
      </c>
      <c r="L399">
        <v>12</v>
      </c>
      <c r="M399" t="s">
        <v>35</v>
      </c>
      <c r="N399">
        <v>5</v>
      </c>
      <c r="O399">
        <v>2</v>
      </c>
      <c r="P399">
        <v>2</v>
      </c>
      <c r="Q399" t="s">
        <v>36</v>
      </c>
      <c r="R399" t="s">
        <v>85</v>
      </c>
      <c r="S399">
        <v>0</v>
      </c>
      <c r="T399">
        <v>8</v>
      </c>
      <c r="U399" t="s">
        <v>59</v>
      </c>
      <c r="V399" t="s">
        <v>38</v>
      </c>
      <c r="W399" t="s">
        <v>86</v>
      </c>
      <c r="X399" s="3">
        <v>45691</v>
      </c>
      <c r="Y399" s="1" t="str">
        <f t="shared" si="12"/>
        <v>Feb</v>
      </c>
      <c r="Z399" s="1" t="str">
        <f t="shared" si="13"/>
        <v>2025</v>
      </c>
      <c r="AA399" t="b">
        <v>0</v>
      </c>
      <c r="AB399" t="b">
        <v>0</v>
      </c>
      <c r="AC399" t="s">
        <v>40</v>
      </c>
      <c r="AD399" t="s">
        <v>67</v>
      </c>
      <c r="AE399">
        <v>6</v>
      </c>
    </row>
    <row r="400" spans="1:31" x14ac:dyDescent="0.3">
      <c r="A400" t="s">
        <v>881</v>
      </c>
      <c r="B400">
        <v>19</v>
      </c>
      <c r="C400" t="str" cm="1">
        <f t="array" ref="C400">_xlfn.IFS(B400&lt;=18,"0-18",B400&lt;=29,"19-29",B400&gt;=49,"30-49",B400&gt;=69,"50-69",TRUE,"70+")</f>
        <v>19-29</v>
      </c>
      <c r="D400" t="s">
        <v>29</v>
      </c>
      <c r="E400" t="s">
        <v>44</v>
      </c>
      <c r="F400" t="s">
        <v>76</v>
      </c>
      <c r="G400" t="s">
        <v>32</v>
      </c>
      <c r="H400" t="s">
        <v>44</v>
      </c>
      <c r="I400" t="s">
        <v>882</v>
      </c>
      <c r="J400" t="s">
        <v>34</v>
      </c>
      <c r="K400" s="2">
        <v>194.08</v>
      </c>
      <c r="L400">
        <v>3</v>
      </c>
      <c r="M400" t="s">
        <v>48</v>
      </c>
      <c r="N400">
        <v>5</v>
      </c>
      <c r="O400">
        <v>5</v>
      </c>
      <c r="P400">
        <v>1</v>
      </c>
      <c r="Q400" t="s">
        <v>59</v>
      </c>
      <c r="R400" t="s">
        <v>50</v>
      </c>
      <c r="S400">
        <v>0</v>
      </c>
      <c r="T400">
        <v>2</v>
      </c>
      <c r="U400" t="s">
        <v>36</v>
      </c>
      <c r="V400" t="s">
        <v>60</v>
      </c>
      <c r="W400" t="s">
        <v>51</v>
      </c>
      <c r="X400" s="3">
        <v>45692</v>
      </c>
      <c r="Y400" s="1" t="str">
        <f t="shared" si="12"/>
        <v>Feb</v>
      </c>
      <c r="Z400" s="1" t="str">
        <f t="shared" si="13"/>
        <v>2025</v>
      </c>
      <c r="AA400" t="b">
        <v>1</v>
      </c>
      <c r="AB400" t="b">
        <v>1</v>
      </c>
      <c r="AC400" t="s">
        <v>52</v>
      </c>
      <c r="AD400" t="s">
        <v>53</v>
      </c>
      <c r="AE400">
        <v>13</v>
      </c>
    </row>
    <row r="401" spans="1:31" x14ac:dyDescent="0.3">
      <c r="A401" t="s">
        <v>883</v>
      </c>
      <c r="B401">
        <v>27</v>
      </c>
      <c r="C401" t="str" cm="1">
        <f t="array" ref="C401">_xlfn.IFS(B401&lt;=18,"0-18",B401&lt;=29,"19-29",B401&gt;=49,"30-49",B401&gt;=69,"50-69",TRUE,"70+")</f>
        <v>19-29</v>
      </c>
      <c r="D401" t="s">
        <v>274</v>
      </c>
      <c r="E401" t="s">
        <v>30</v>
      </c>
      <c r="F401" t="s">
        <v>69</v>
      </c>
      <c r="G401" t="s">
        <v>45</v>
      </c>
      <c r="H401" t="s">
        <v>44</v>
      </c>
      <c r="I401" t="s">
        <v>884</v>
      </c>
      <c r="J401" t="s">
        <v>194</v>
      </c>
      <c r="K401" s="2">
        <v>198.45</v>
      </c>
      <c r="L401">
        <v>11</v>
      </c>
      <c r="M401" t="s">
        <v>78</v>
      </c>
      <c r="N401">
        <v>3</v>
      </c>
      <c r="O401">
        <v>5</v>
      </c>
      <c r="P401">
        <v>1</v>
      </c>
      <c r="Q401" t="s">
        <v>44</v>
      </c>
      <c r="R401" t="s">
        <v>50</v>
      </c>
      <c r="S401">
        <v>2</v>
      </c>
      <c r="T401">
        <v>8</v>
      </c>
      <c r="U401" t="s">
        <v>44</v>
      </c>
      <c r="V401" t="s">
        <v>38</v>
      </c>
      <c r="W401" t="s">
        <v>51</v>
      </c>
      <c r="X401" s="3">
        <v>45693</v>
      </c>
      <c r="Y401" s="1" t="str">
        <f t="shared" si="12"/>
        <v>Feb</v>
      </c>
      <c r="Z401" s="1" t="str">
        <f t="shared" si="13"/>
        <v>2025</v>
      </c>
      <c r="AA401" t="b">
        <v>1</v>
      </c>
      <c r="AB401" t="b">
        <v>0</v>
      </c>
      <c r="AC401" t="s">
        <v>52</v>
      </c>
      <c r="AD401" t="s">
        <v>41</v>
      </c>
      <c r="AE401">
        <v>5</v>
      </c>
    </row>
    <row r="402" spans="1:31" x14ac:dyDescent="0.3">
      <c r="A402" t="s">
        <v>885</v>
      </c>
      <c r="B402">
        <v>23</v>
      </c>
      <c r="C402" t="str" cm="1">
        <f t="array" ref="C402">_xlfn.IFS(B402&lt;=18,"0-18",B402&lt;=29,"19-29",B402&gt;=49,"30-49",B402&gt;=69,"50-69",TRUE,"70+")</f>
        <v>19-29</v>
      </c>
      <c r="D402" t="s">
        <v>43</v>
      </c>
      <c r="E402" t="s">
        <v>44</v>
      </c>
      <c r="F402" t="s">
        <v>31</v>
      </c>
      <c r="G402" t="s">
        <v>56</v>
      </c>
      <c r="H402" t="s">
        <v>30</v>
      </c>
      <c r="I402" t="s">
        <v>886</v>
      </c>
      <c r="J402" t="s">
        <v>123</v>
      </c>
      <c r="K402" s="2">
        <v>216.45</v>
      </c>
      <c r="L402">
        <v>5</v>
      </c>
      <c r="M402" t="s">
        <v>35</v>
      </c>
      <c r="N402">
        <v>5</v>
      </c>
      <c r="O402">
        <v>2</v>
      </c>
      <c r="P402">
        <v>0</v>
      </c>
      <c r="Q402" t="s">
        <v>49</v>
      </c>
      <c r="R402" t="s">
        <v>85</v>
      </c>
      <c r="S402">
        <v>2</v>
      </c>
      <c r="T402">
        <v>7</v>
      </c>
      <c r="U402" t="s">
        <v>59</v>
      </c>
      <c r="V402" t="s">
        <v>38</v>
      </c>
      <c r="W402" t="s">
        <v>39</v>
      </c>
      <c r="X402" s="3">
        <v>45694</v>
      </c>
      <c r="Y402" s="1" t="str">
        <f t="shared" si="12"/>
        <v>Feb</v>
      </c>
      <c r="Z402" s="1" t="str">
        <f t="shared" si="13"/>
        <v>2025</v>
      </c>
      <c r="AA402" t="b">
        <v>0</v>
      </c>
      <c r="AB402" t="b">
        <v>0</v>
      </c>
      <c r="AC402" t="s">
        <v>40</v>
      </c>
      <c r="AD402" t="s">
        <v>41</v>
      </c>
      <c r="AE402">
        <v>3</v>
      </c>
    </row>
    <row r="403" spans="1:31" x14ac:dyDescent="0.3">
      <c r="A403" t="s">
        <v>887</v>
      </c>
      <c r="B403">
        <v>19</v>
      </c>
      <c r="C403" t="str" cm="1">
        <f t="array" ref="C403">_xlfn.IFS(B403&lt;=18,"0-18",B403&lt;=29,"19-29",B403&gt;=49,"30-49",B403&gt;=69,"50-69",TRUE,"70+")</f>
        <v>19-29</v>
      </c>
      <c r="D403" t="s">
        <v>29</v>
      </c>
      <c r="E403" t="s">
        <v>44</v>
      </c>
      <c r="F403" t="s">
        <v>69</v>
      </c>
      <c r="G403" t="s">
        <v>32</v>
      </c>
      <c r="H403" t="s">
        <v>44</v>
      </c>
      <c r="I403" t="s">
        <v>888</v>
      </c>
      <c r="J403" t="s">
        <v>123</v>
      </c>
      <c r="K403" s="2">
        <v>358.72</v>
      </c>
      <c r="L403">
        <v>5</v>
      </c>
      <c r="M403" t="s">
        <v>48</v>
      </c>
      <c r="N403">
        <v>3</v>
      </c>
      <c r="O403">
        <v>5</v>
      </c>
      <c r="P403">
        <v>1</v>
      </c>
      <c r="Q403" t="s">
        <v>59</v>
      </c>
      <c r="R403" t="s">
        <v>85</v>
      </c>
      <c r="S403">
        <v>0</v>
      </c>
      <c r="T403">
        <v>8</v>
      </c>
      <c r="U403" t="s">
        <v>59</v>
      </c>
      <c r="V403" t="s">
        <v>38</v>
      </c>
      <c r="W403" t="s">
        <v>39</v>
      </c>
      <c r="X403" s="3">
        <v>45695</v>
      </c>
      <c r="Y403" s="1" t="str">
        <f t="shared" si="12"/>
        <v>Feb</v>
      </c>
      <c r="Z403" s="1" t="str">
        <f t="shared" si="13"/>
        <v>2025</v>
      </c>
      <c r="AA403" t="b">
        <v>1</v>
      </c>
      <c r="AB403" t="b">
        <v>1</v>
      </c>
      <c r="AC403" t="s">
        <v>62</v>
      </c>
      <c r="AD403" t="s">
        <v>53</v>
      </c>
      <c r="AE403">
        <v>12</v>
      </c>
    </row>
    <row r="404" spans="1:31" x14ac:dyDescent="0.3">
      <c r="A404" t="s">
        <v>889</v>
      </c>
      <c r="B404">
        <v>22</v>
      </c>
      <c r="C404" t="str" cm="1">
        <f t="array" ref="C404">_xlfn.IFS(B404&lt;=18,"0-18",B404&lt;=29,"19-29",B404&gt;=49,"30-49",B404&gt;=69,"50-69",TRUE,"70+")</f>
        <v>19-29</v>
      </c>
      <c r="D404" t="s">
        <v>29</v>
      </c>
      <c r="E404" t="s">
        <v>30</v>
      </c>
      <c r="F404" t="s">
        <v>69</v>
      </c>
      <c r="G404" t="s">
        <v>32</v>
      </c>
      <c r="H404" t="s">
        <v>44</v>
      </c>
      <c r="I404" t="s">
        <v>890</v>
      </c>
      <c r="J404" t="s">
        <v>98</v>
      </c>
      <c r="K404" s="2">
        <v>367.56</v>
      </c>
      <c r="L404">
        <v>9</v>
      </c>
      <c r="M404" t="s">
        <v>78</v>
      </c>
      <c r="N404">
        <v>4</v>
      </c>
      <c r="O404">
        <v>5</v>
      </c>
      <c r="P404">
        <v>1</v>
      </c>
      <c r="Q404" t="s">
        <v>36</v>
      </c>
      <c r="R404" t="s">
        <v>50</v>
      </c>
      <c r="S404">
        <v>0</v>
      </c>
      <c r="T404">
        <v>8</v>
      </c>
      <c r="U404" t="s">
        <v>59</v>
      </c>
      <c r="V404" t="s">
        <v>60</v>
      </c>
      <c r="W404" t="s">
        <v>66</v>
      </c>
      <c r="X404" s="3">
        <v>45696</v>
      </c>
      <c r="Y404" s="1" t="str">
        <f t="shared" si="12"/>
        <v>Feb</v>
      </c>
      <c r="Z404" s="1" t="str">
        <f t="shared" si="13"/>
        <v>2025</v>
      </c>
      <c r="AA404" t="b">
        <v>0</v>
      </c>
      <c r="AB404" t="b">
        <v>0</v>
      </c>
      <c r="AC404" t="s">
        <v>40</v>
      </c>
      <c r="AD404" t="s">
        <v>53</v>
      </c>
      <c r="AE404">
        <v>14</v>
      </c>
    </row>
    <row r="405" spans="1:31" x14ac:dyDescent="0.3">
      <c r="A405" t="s">
        <v>891</v>
      </c>
      <c r="B405">
        <v>40</v>
      </c>
      <c r="C405" t="str" cm="1">
        <f t="array" ref="C405">_xlfn.IFS(B405&lt;=18,"0-18",B405&lt;=29,"19-29",B405&gt;=49,"30-49",B405&gt;=69,"50-69",TRUE,"70+")</f>
        <v>70+</v>
      </c>
      <c r="D405" t="s">
        <v>43</v>
      </c>
      <c r="E405" t="s">
        <v>30</v>
      </c>
      <c r="F405" t="s">
        <v>76</v>
      </c>
      <c r="G405" t="s">
        <v>45</v>
      </c>
      <c r="H405" t="s">
        <v>44</v>
      </c>
      <c r="I405" t="s">
        <v>892</v>
      </c>
      <c r="J405" t="s">
        <v>183</v>
      </c>
      <c r="K405" s="2">
        <v>88.78</v>
      </c>
      <c r="L405">
        <v>10</v>
      </c>
      <c r="M405" t="s">
        <v>78</v>
      </c>
      <c r="N405">
        <v>5</v>
      </c>
      <c r="O405">
        <v>3</v>
      </c>
      <c r="P405">
        <v>0</v>
      </c>
      <c r="Q405" t="s">
        <v>44</v>
      </c>
      <c r="R405" t="s">
        <v>85</v>
      </c>
      <c r="S405">
        <v>1</v>
      </c>
      <c r="T405">
        <v>7</v>
      </c>
      <c r="U405" t="s">
        <v>49</v>
      </c>
      <c r="V405" t="s">
        <v>79</v>
      </c>
      <c r="W405" t="s">
        <v>51</v>
      </c>
      <c r="X405" s="3">
        <v>45697</v>
      </c>
      <c r="Y405" s="1" t="str">
        <f t="shared" si="12"/>
        <v>Feb</v>
      </c>
      <c r="Z405" s="1" t="str">
        <f t="shared" si="13"/>
        <v>2025</v>
      </c>
      <c r="AA405" t="b">
        <v>0</v>
      </c>
      <c r="AB405" t="b">
        <v>0</v>
      </c>
      <c r="AC405" t="s">
        <v>74</v>
      </c>
      <c r="AD405" t="s">
        <v>53</v>
      </c>
      <c r="AE405">
        <v>13</v>
      </c>
    </row>
    <row r="406" spans="1:31" x14ac:dyDescent="0.3">
      <c r="A406" t="s">
        <v>893</v>
      </c>
      <c r="B406">
        <v>48</v>
      </c>
      <c r="C406" t="str" cm="1">
        <f t="array" ref="C406">_xlfn.IFS(B406&lt;=18,"0-18",B406&lt;=29,"19-29",B406&gt;=49,"30-49",B406&gt;=69,"50-69",TRUE,"70+")</f>
        <v>70+</v>
      </c>
      <c r="D406" t="s">
        <v>43</v>
      </c>
      <c r="E406" t="s">
        <v>30</v>
      </c>
      <c r="F406" t="s">
        <v>31</v>
      </c>
      <c r="G406" t="s">
        <v>32</v>
      </c>
      <c r="H406" t="s">
        <v>30</v>
      </c>
      <c r="I406" t="s">
        <v>894</v>
      </c>
      <c r="J406" t="s">
        <v>47</v>
      </c>
      <c r="K406" s="2">
        <v>465.85</v>
      </c>
      <c r="L406">
        <v>10</v>
      </c>
      <c r="M406" t="s">
        <v>78</v>
      </c>
      <c r="N406">
        <v>5</v>
      </c>
      <c r="O406">
        <v>3</v>
      </c>
      <c r="P406">
        <v>2</v>
      </c>
      <c r="Q406" t="s">
        <v>36</v>
      </c>
      <c r="R406" t="s">
        <v>37</v>
      </c>
      <c r="S406">
        <v>2</v>
      </c>
      <c r="T406">
        <v>10</v>
      </c>
      <c r="U406" t="s">
        <v>49</v>
      </c>
      <c r="V406" t="s">
        <v>79</v>
      </c>
      <c r="W406" t="s">
        <v>51</v>
      </c>
      <c r="X406" s="3">
        <v>45698</v>
      </c>
      <c r="Y406" s="1" t="str">
        <f t="shared" si="12"/>
        <v>Feb</v>
      </c>
      <c r="Z406" s="1" t="str">
        <f t="shared" si="13"/>
        <v>2025</v>
      </c>
      <c r="AA406" t="b">
        <v>1</v>
      </c>
      <c r="AB406" t="b">
        <v>0</v>
      </c>
      <c r="AC406" t="s">
        <v>52</v>
      </c>
      <c r="AD406" t="s">
        <v>53</v>
      </c>
      <c r="AE406">
        <v>7</v>
      </c>
    </row>
    <row r="407" spans="1:31" x14ac:dyDescent="0.3">
      <c r="A407" t="s">
        <v>895</v>
      </c>
      <c r="B407">
        <v>49</v>
      </c>
      <c r="C407" t="str" cm="1">
        <f t="array" ref="C407">_xlfn.IFS(B407&lt;=18,"0-18",B407&lt;=29,"19-29",B407&gt;=49,"30-49",B407&gt;=69,"50-69",TRUE,"70+")</f>
        <v>30-49</v>
      </c>
      <c r="D407" t="s">
        <v>43</v>
      </c>
      <c r="E407" t="s">
        <v>30</v>
      </c>
      <c r="F407" t="s">
        <v>31</v>
      </c>
      <c r="G407" t="s">
        <v>45</v>
      </c>
      <c r="H407" t="s">
        <v>44</v>
      </c>
      <c r="I407" t="s">
        <v>896</v>
      </c>
      <c r="J407" t="s">
        <v>183</v>
      </c>
      <c r="K407" s="2">
        <v>262.61</v>
      </c>
      <c r="L407">
        <v>3</v>
      </c>
      <c r="M407" t="s">
        <v>48</v>
      </c>
      <c r="N407">
        <v>2</v>
      </c>
      <c r="O407">
        <v>5</v>
      </c>
      <c r="P407">
        <v>1</v>
      </c>
      <c r="Q407" t="s">
        <v>49</v>
      </c>
      <c r="R407" t="s">
        <v>37</v>
      </c>
      <c r="S407">
        <v>0</v>
      </c>
      <c r="T407">
        <v>10</v>
      </c>
      <c r="U407" t="s">
        <v>49</v>
      </c>
      <c r="V407" t="s">
        <v>60</v>
      </c>
      <c r="W407" t="s">
        <v>66</v>
      </c>
      <c r="X407" s="3">
        <v>45699</v>
      </c>
      <c r="Y407" s="1" t="str">
        <f t="shared" si="12"/>
        <v>Feb</v>
      </c>
      <c r="Z407" s="1" t="str">
        <f t="shared" si="13"/>
        <v>2025</v>
      </c>
      <c r="AA407" t="b">
        <v>0</v>
      </c>
      <c r="AB407" t="b">
        <v>1</v>
      </c>
      <c r="AC407" t="s">
        <v>52</v>
      </c>
      <c r="AD407" t="s">
        <v>53</v>
      </c>
      <c r="AE407">
        <v>6</v>
      </c>
    </row>
    <row r="408" spans="1:31" x14ac:dyDescent="0.3">
      <c r="A408" t="s">
        <v>897</v>
      </c>
      <c r="B408">
        <v>45</v>
      </c>
      <c r="C408" t="str" cm="1">
        <f t="array" ref="C408">_xlfn.IFS(B408&lt;=18,"0-18",B408&lt;=29,"19-29",B408&gt;=49,"30-49",B408&gt;=69,"50-69",TRUE,"70+")</f>
        <v>70+</v>
      </c>
      <c r="D408" t="s">
        <v>274</v>
      </c>
      <c r="E408" t="s">
        <v>30</v>
      </c>
      <c r="F408" t="s">
        <v>69</v>
      </c>
      <c r="G408" t="s">
        <v>56</v>
      </c>
      <c r="H408" t="s">
        <v>30</v>
      </c>
      <c r="I408" t="s">
        <v>898</v>
      </c>
      <c r="J408" t="s">
        <v>65</v>
      </c>
      <c r="K408" s="2">
        <v>91.24</v>
      </c>
      <c r="L408">
        <v>8</v>
      </c>
      <c r="M408" t="s">
        <v>48</v>
      </c>
      <c r="N408">
        <v>4</v>
      </c>
      <c r="O408">
        <v>3</v>
      </c>
      <c r="P408">
        <v>0</v>
      </c>
      <c r="Q408" t="s">
        <v>44</v>
      </c>
      <c r="R408" t="s">
        <v>37</v>
      </c>
      <c r="S408">
        <v>0</v>
      </c>
      <c r="T408">
        <v>4</v>
      </c>
      <c r="U408" t="s">
        <v>59</v>
      </c>
      <c r="V408" t="s">
        <v>38</v>
      </c>
      <c r="W408" t="s">
        <v>86</v>
      </c>
      <c r="X408" s="3">
        <v>45700</v>
      </c>
      <c r="Y408" s="1" t="str">
        <f t="shared" si="12"/>
        <v>Feb</v>
      </c>
      <c r="Z408" s="1" t="str">
        <f t="shared" si="13"/>
        <v>2025</v>
      </c>
      <c r="AA408" t="b">
        <v>1</v>
      </c>
      <c r="AB408" t="b">
        <v>0</v>
      </c>
      <c r="AC408" t="s">
        <v>52</v>
      </c>
      <c r="AD408" t="s">
        <v>53</v>
      </c>
      <c r="AE408">
        <v>4</v>
      </c>
    </row>
    <row r="409" spans="1:31" x14ac:dyDescent="0.3">
      <c r="A409" t="s">
        <v>899</v>
      </c>
      <c r="B409">
        <v>42</v>
      </c>
      <c r="C409" t="str" cm="1">
        <f t="array" ref="C409">_xlfn.IFS(B409&lt;=18,"0-18",B409&lt;=29,"19-29",B409&gt;=49,"30-49",B409&gt;=69,"50-69",TRUE,"70+")</f>
        <v>70+</v>
      </c>
      <c r="D409" t="s">
        <v>29</v>
      </c>
      <c r="E409" t="s">
        <v>44</v>
      </c>
      <c r="F409" t="s">
        <v>31</v>
      </c>
      <c r="G409" t="s">
        <v>45</v>
      </c>
      <c r="H409" t="s">
        <v>44</v>
      </c>
      <c r="I409" t="s">
        <v>900</v>
      </c>
      <c r="J409" t="s">
        <v>98</v>
      </c>
      <c r="K409" s="2">
        <v>425.69</v>
      </c>
      <c r="L409">
        <v>5</v>
      </c>
      <c r="M409" t="s">
        <v>48</v>
      </c>
      <c r="N409">
        <v>2</v>
      </c>
      <c r="O409">
        <v>5</v>
      </c>
      <c r="P409">
        <v>0</v>
      </c>
      <c r="Q409" t="s">
        <v>44</v>
      </c>
      <c r="R409" t="s">
        <v>85</v>
      </c>
      <c r="S409">
        <v>0</v>
      </c>
      <c r="T409">
        <v>4</v>
      </c>
      <c r="U409" t="s">
        <v>49</v>
      </c>
      <c r="V409" t="s">
        <v>38</v>
      </c>
      <c r="W409" t="s">
        <v>39</v>
      </c>
      <c r="X409" s="3">
        <v>45701</v>
      </c>
      <c r="Y409" s="1" t="str">
        <f t="shared" si="12"/>
        <v>Feb</v>
      </c>
      <c r="Z409" s="1" t="str">
        <f t="shared" si="13"/>
        <v>2025</v>
      </c>
      <c r="AA409" t="b">
        <v>0</v>
      </c>
      <c r="AB409" t="b">
        <v>1</v>
      </c>
      <c r="AC409" t="s">
        <v>62</v>
      </c>
      <c r="AD409" t="s">
        <v>41</v>
      </c>
      <c r="AE409">
        <v>4</v>
      </c>
    </row>
    <row r="410" spans="1:31" x14ac:dyDescent="0.3">
      <c r="A410" t="s">
        <v>901</v>
      </c>
      <c r="B410">
        <v>41</v>
      </c>
      <c r="C410" t="str" cm="1">
        <f t="array" ref="C410">_xlfn.IFS(B410&lt;=18,"0-18",B410&lt;=29,"19-29",B410&gt;=49,"30-49",B410&gt;=69,"50-69",TRUE,"70+")</f>
        <v>70+</v>
      </c>
      <c r="D410" t="s">
        <v>29</v>
      </c>
      <c r="E410" t="s">
        <v>44</v>
      </c>
      <c r="F410" t="s">
        <v>31</v>
      </c>
      <c r="G410" t="s">
        <v>32</v>
      </c>
      <c r="H410" t="s">
        <v>44</v>
      </c>
      <c r="I410" t="s">
        <v>902</v>
      </c>
      <c r="J410" t="s">
        <v>114</v>
      </c>
      <c r="K410" s="2">
        <v>446.11</v>
      </c>
      <c r="L410">
        <v>9</v>
      </c>
      <c r="M410" t="s">
        <v>35</v>
      </c>
      <c r="N410">
        <v>3</v>
      </c>
      <c r="O410">
        <v>1</v>
      </c>
      <c r="P410">
        <v>1</v>
      </c>
      <c r="Q410" t="s">
        <v>49</v>
      </c>
      <c r="R410" t="s">
        <v>85</v>
      </c>
      <c r="S410">
        <v>0</v>
      </c>
      <c r="T410">
        <v>10</v>
      </c>
      <c r="U410" t="s">
        <v>49</v>
      </c>
      <c r="V410" t="s">
        <v>79</v>
      </c>
      <c r="W410" t="s">
        <v>51</v>
      </c>
      <c r="X410" s="3">
        <v>45702</v>
      </c>
      <c r="Y410" s="1" t="str">
        <f t="shared" si="12"/>
        <v>Feb</v>
      </c>
      <c r="Z410" s="1" t="str">
        <f t="shared" si="13"/>
        <v>2025</v>
      </c>
      <c r="AA410" t="b">
        <v>1</v>
      </c>
      <c r="AB410" t="b">
        <v>1</v>
      </c>
      <c r="AC410" t="s">
        <v>52</v>
      </c>
      <c r="AD410" t="s">
        <v>67</v>
      </c>
      <c r="AE410">
        <v>11</v>
      </c>
    </row>
    <row r="411" spans="1:31" x14ac:dyDescent="0.3">
      <c r="A411" t="s">
        <v>903</v>
      </c>
      <c r="B411">
        <v>23</v>
      </c>
      <c r="C411" t="str" cm="1">
        <f t="array" ref="C411">_xlfn.IFS(B411&lt;=18,"0-18",B411&lt;=29,"19-29",B411&gt;=49,"30-49",B411&gt;=69,"50-69",TRUE,"70+")</f>
        <v>19-29</v>
      </c>
      <c r="D411" t="s">
        <v>88</v>
      </c>
      <c r="E411" t="s">
        <v>44</v>
      </c>
      <c r="F411" t="s">
        <v>55</v>
      </c>
      <c r="G411" t="s">
        <v>45</v>
      </c>
      <c r="H411" t="s">
        <v>44</v>
      </c>
      <c r="I411" t="s">
        <v>904</v>
      </c>
      <c r="J411" t="s">
        <v>120</v>
      </c>
      <c r="K411" s="2">
        <v>490.11</v>
      </c>
      <c r="L411">
        <v>8</v>
      </c>
      <c r="M411" t="s">
        <v>78</v>
      </c>
      <c r="N411">
        <v>3</v>
      </c>
      <c r="O411">
        <v>4</v>
      </c>
      <c r="P411">
        <v>2</v>
      </c>
      <c r="Q411" t="s">
        <v>59</v>
      </c>
      <c r="R411" t="s">
        <v>50</v>
      </c>
      <c r="S411">
        <v>1</v>
      </c>
      <c r="T411">
        <v>1</v>
      </c>
      <c r="U411" t="s">
        <v>59</v>
      </c>
      <c r="V411" t="s">
        <v>60</v>
      </c>
      <c r="W411" t="s">
        <v>66</v>
      </c>
      <c r="X411" s="3">
        <v>45703</v>
      </c>
      <c r="Y411" s="1" t="str">
        <f t="shared" si="12"/>
        <v>Feb</v>
      </c>
      <c r="Z411" s="1" t="str">
        <f t="shared" si="13"/>
        <v>2025</v>
      </c>
      <c r="AA411" t="b">
        <v>0</v>
      </c>
      <c r="AB411" t="b">
        <v>0</v>
      </c>
      <c r="AC411" t="s">
        <v>74</v>
      </c>
      <c r="AD411" t="s">
        <v>53</v>
      </c>
      <c r="AE411">
        <v>14</v>
      </c>
    </row>
    <row r="412" spans="1:31" x14ac:dyDescent="0.3">
      <c r="A412" t="s">
        <v>905</v>
      </c>
      <c r="B412">
        <v>44</v>
      </c>
      <c r="C412" t="str" cm="1">
        <f t="array" ref="C412">_xlfn.IFS(B412&lt;=18,"0-18",B412&lt;=29,"19-29",B412&gt;=49,"30-49",B412&gt;=69,"50-69",TRUE,"70+")</f>
        <v>70+</v>
      </c>
      <c r="D412" t="s">
        <v>29</v>
      </c>
      <c r="E412" t="s">
        <v>44</v>
      </c>
      <c r="F412" t="s">
        <v>76</v>
      </c>
      <c r="G412" t="s">
        <v>45</v>
      </c>
      <c r="H412" t="s">
        <v>30</v>
      </c>
      <c r="I412" t="s">
        <v>906</v>
      </c>
      <c r="J412" t="s">
        <v>90</v>
      </c>
      <c r="K412" s="2">
        <v>403.57</v>
      </c>
      <c r="L412">
        <v>6</v>
      </c>
      <c r="M412" t="s">
        <v>78</v>
      </c>
      <c r="N412">
        <v>2</v>
      </c>
      <c r="O412">
        <v>2</v>
      </c>
      <c r="P412">
        <v>2</v>
      </c>
      <c r="Q412" t="s">
        <v>44</v>
      </c>
      <c r="R412" t="s">
        <v>50</v>
      </c>
      <c r="S412">
        <v>2</v>
      </c>
      <c r="T412">
        <v>2</v>
      </c>
      <c r="U412" t="s">
        <v>36</v>
      </c>
      <c r="V412" t="s">
        <v>60</v>
      </c>
      <c r="W412" t="s">
        <v>66</v>
      </c>
      <c r="X412" s="3">
        <v>45704</v>
      </c>
      <c r="Y412" s="1" t="str">
        <f t="shared" si="12"/>
        <v>Feb</v>
      </c>
      <c r="Z412" s="1" t="str">
        <f t="shared" si="13"/>
        <v>2025</v>
      </c>
      <c r="AA412" t="b">
        <v>0</v>
      </c>
      <c r="AB412" t="b">
        <v>0</v>
      </c>
      <c r="AC412" t="s">
        <v>62</v>
      </c>
      <c r="AD412" t="s">
        <v>67</v>
      </c>
      <c r="AE412">
        <v>1</v>
      </c>
    </row>
    <row r="413" spans="1:31" x14ac:dyDescent="0.3">
      <c r="A413" t="s">
        <v>907</v>
      </c>
      <c r="B413">
        <v>42</v>
      </c>
      <c r="C413" t="str" cm="1">
        <f t="array" ref="C413">_xlfn.IFS(B413&lt;=18,"0-18",B413&lt;=29,"19-29",B413&gt;=49,"30-49",B413&gt;=69,"50-69",TRUE,"70+")</f>
        <v>70+</v>
      </c>
      <c r="D413" t="s">
        <v>29</v>
      </c>
      <c r="E413" t="s">
        <v>44</v>
      </c>
      <c r="F413" t="s">
        <v>31</v>
      </c>
      <c r="G413" t="s">
        <v>32</v>
      </c>
      <c r="H413" t="s">
        <v>30</v>
      </c>
      <c r="I413" t="s">
        <v>908</v>
      </c>
      <c r="J413" t="s">
        <v>114</v>
      </c>
      <c r="K413" s="2">
        <v>442.15</v>
      </c>
      <c r="L413">
        <v>10</v>
      </c>
      <c r="M413" t="s">
        <v>35</v>
      </c>
      <c r="N413">
        <v>2</v>
      </c>
      <c r="O413">
        <v>3</v>
      </c>
      <c r="P413">
        <v>1</v>
      </c>
      <c r="Q413" t="s">
        <v>44</v>
      </c>
      <c r="R413" t="s">
        <v>50</v>
      </c>
      <c r="S413">
        <v>2</v>
      </c>
      <c r="T413">
        <v>1</v>
      </c>
      <c r="U413" t="s">
        <v>36</v>
      </c>
      <c r="V413" t="s">
        <v>60</v>
      </c>
      <c r="W413" t="s">
        <v>39</v>
      </c>
      <c r="X413" s="3">
        <v>45705</v>
      </c>
      <c r="Y413" s="1" t="str">
        <f t="shared" si="12"/>
        <v>Feb</v>
      </c>
      <c r="Z413" s="1" t="str">
        <f t="shared" si="13"/>
        <v>2025</v>
      </c>
      <c r="AA413" t="b">
        <v>0</v>
      </c>
      <c r="AB413" t="b">
        <v>1</v>
      </c>
      <c r="AC413" t="s">
        <v>40</v>
      </c>
      <c r="AD413" t="s">
        <v>41</v>
      </c>
      <c r="AE413">
        <v>9</v>
      </c>
    </row>
    <row r="414" spans="1:31" x14ac:dyDescent="0.3">
      <c r="A414" t="s">
        <v>909</v>
      </c>
      <c r="B414">
        <v>49</v>
      </c>
      <c r="C414" t="str" cm="1">
        <f t="array" ref="C414">_xlfn.IFS(B414&lt;=18,"0-18",B414&lt;=29,"19-29",B414&gt;=49,"30-49",B414&gt;=69,"50-69",TRUE,"70+")</f>
        <v>30-49</v>
      </c>
      <c r="D414" t="s">
        <v>29</v>
      </c>
      <c r="E414" t="s">
        <v>30</v>
      </c>
      <c r="F414" t="s">
        <v>69</v>
      </c>
      <c r="G414" t="s">
        <v>32</v>
      </c>
      <c r="H414" t="s">
        <v>44</v>
      </c>
      <c r="I414" t="s">
        <v>910</v>
      </c>
      <c r="J414" t="s">
        <v>90</v>
      </c>
      <c r="K414" s="2">
        <v>78.709999999999994</v>
      </c>
      <c r="L414">
        <v>5</v>
      </c>
      <c r="M414" t="s">
        <v>78</v>
      </c>
      <c r="N414">
        <v>4</v>
      </c>
      <c r="O414">
        <v>3</v>
      </c>
      <c r="P414">
        <v>1</v>
      </c>
      <c r="Q414" t="s">
        <v>36</v>
      </c>
      <c r="R414" t="s">
        <v>37</v>
      </c>
      <c r="S414">
        <v>1</v>
      </c>
      <c r="T414">
        <v>10</v>
      </c>
      <c r="U414" t="s">
        <v>59</v>
      </c>
      <c r="V414" t="s">
        <v>60</v>
      </c>
      <c r="W414" t="s">
        <v>51</v>
      </c>
      <c r="X414" s="3">
        <v>45706</v>
      </c>
      <c r="Y414" s="1" t="str">
        <f t="shared" si="12"/>
        <v>Feb</v>
      </c>
      <c r="Z414" s="1" t="str">
        <f t="shared" si="13"/>
        <v>2025</v>
      </c>
      <c r="AA414" t="b">
        <v>1</v>
      </c>
      <c r="AB414" t="b">
        <v>1</v>
      </c>
      <c r="AC414" t="s">
        <v>74</v>
      </c>
      <c r="AD414" t="s">
        <v>41</v>
      </c>
      <c r="AE414">
        <v>4</v>
      </c>
    </row>
    <row r="415" spans="1:31" x14ac:dyDescent="0.3">
      <c r="A415" t="s">
        <v>911</v>
      </c>
      <c r="B415">
        <v>45</v>
      </c>
      <c r="C415" t="str" cm="1">
        <f t="array" ref="C415">_xlfn.IFS(B415&lt;=18,"0-18",B415&lt;=29,"19-29",B415&gt;=49,"30-49",B415&gt;=69,"50-69",TRUE,"70+")</f>
        <v>70+</v>
      </c>
      <c r="D415" t="s">
        <v>29</v>
      </c>
      <c r="E415" t="s">
        <v>30</v>
      </c>
      <c r="F415" t="s">
        <v>69</v>
      </c>
      <c r="G415" t="s">
        <v>45</v>
      </c>
      <c r="H415" t="s">
        <v>44</v>
      </c>
      <c r="I415" t="s">
        <v>912</v>
      </c>
      <c r="J415" t="s">
        <v>71</v>
      </c>
      <c r="K415" s="2">
        <v>491.51</v>
      </c>
      <c r="L415">
        <v>2</v>
      </c>
      <c r="M415" t="s">
        <v>35</v>
      </c>
      <c r="N415">
        <v>2</v>
      </c>
      <c r="O415">
        <v>5</v>
      </c>
      <c r="P415">
        <v>0</v>
      </c>
      <c r="Q415" t="s">
        <v>49</v>
      </c>
      <c r="R415" t="s">
        <v>85</v>
      </c>
      <c r="S415">
        <v>1</v>
      </c>
      <c r="T415">
        <v>1</v>
      </c>
      <c r="U415" t="s">
        <v>44</v>
      </c>
      <c r="V415" t="s">
        <v>60</v>
      </c>
      <c r="W415" t="s">
        <v>51</v>
      </c>
      <c r="X415" s="3">
        <v>45707</v>
      </c>
      <c r="Y415" s="1" t="str">
        <f t="shared" si="12"/>
        <v>Feb</v>
      </c>
      <c r="Z415" s="1" t="str">
        <f t="shared" si="13"/>
        <v>2025</v>
      </c>
      <c r="AA415" t="b">
        <v>1</v>
      </c>
      <c r="AB415" t="b">
        <v>0</v>
      </c>
      <c r="AC415" t="s">
        <v>40</v>
      </c>
      <c r="AD415" t="s">
        <v>41</v>
      </c>
      <c r="AE415">
        <v>7</v>
      </c>
    </row>
    <row r="416" spans="1:31" x14ac:dyDescent="0.3">
      <c r="A416" t="s">
        <v>913</v>
      </c>
      <c r="B416">
        <v>36</v>
      </c>
      <c r="C416" t="str" cm="1">
        <f t="array" ref="C416">_xlfn.IFS(B416&lt;=18,"0-18",B416&lt;=29,"19-29",B416&gt;=49,"30-49",B416&gt;=69,"50-69",TRUE,"70+")</f>
        <v>70+</v>
      </c>
      <c r="D416" t="s">
        <v>29</v>
      </c>
      <c r="E416" t="s">
        <v>30</v>
      </c>
      <c r="F416" t="s">
        <v>55</v>
      </c>
      <c r="G416" t="s">
        <v>32</v>
      </c>
      <c r="H416" t="s">
        <v>30</v>
      </c>
      <c r="I416" t="s">
        <v>914</v>
      </c>
      <c r="J416" t="s">
        <v>71</v>
      </c>
      <c r="K416" s="2">
        <v>457.39</v>
      </c>
      <c r="L416">
        <v>12</v>
      </c>
      <c r="M416" t="s">
        <v>48</v>
      </c>
      <c r="N416">
        <v>1</v>
      </c>
      <c r="O416">
        <v>1</v>
      </c>
      <c r="P416">
        <v>1</v>
      </c>
      <c r="Q416" t="s">
        <v>44</v>
      </c>
      <c r="R416" t="s">
        <v>50</v>
      </c>
      <c r="S416">
        <v>1</v>
      </c>
      <c r="T416">
        <v>5</v>
      </c>
      <c r="U416" t="s">
        <v>44</v>
      </c>
      <c r="V416" t="s">
        <v>79</v>
      </c>
      <c r="W416" t="s">
        <v>39</v>
      </c>
      <c r="X416" s="3">
        <v>45708</v>
      </c>
      <c r="Y416" s="1" t="str">
        <f t="shared" si="12"/>
        <v>Feb</v>
      </c>
      <c r="Z416" s="1" t="str">
        <f t="shared" si="13"/>
        <v>2025</v>
      </c>
      <c r="AA416" t="b">
        <v>1</v>
      </c>
      <c r="AB416" t="b">
        <v>0</v>
      </c>
      <c r="AC416" t="s">
        <v>62</v>
      </c>
      <c r="AD416" t="s">
        <v>53</v>
      </c>
      <c r="AE416">
        <v>9</v>
      </c>
    </row>
    <row r="417" spans="1:31" x14ac:dyDescent="0.3">
      <c r="A417" t="s">
        <v>915</v>
      </c>
      <c r="B417">
        <v>38</v>
      </c>
      <c r="C417" t="str" cm="1">
        <f t="array" ref="C417">_xlfn.IFS(B417&lt;=18,"0-18",B417&lt;=29,"19-29",B417&gt;=49,"30-49",B417&gt;=69,"50-69",TRUE,"70+")</f>
        <v>70+</v>
      </c>
      <c r="D417" t="s">
        <v>29</v>
      </c>
      <c r="E417" t="s">
        <v>44</v>
      </c>
      <c r="F417" t="s">
        <v>76</v>
      </c>
      <c r="G417" t="s">
        <v>45</v>
      </c>
      <c r="H417" t="s">
        <v>44</v>
      </c>
      <c r="I417" t="s">
        <v>916</v>
      </c>
      <c r="J417" t="s">
        <v>47</v>
      </c>
      <c r="K417" s="2">
        <v>178.61</v>
      </c>
      <c r="L417">
        <v>12</v>
      </c>
      <c r="M417" t="s">
        <v>78</v>
      </c>
      <c r="N417">
        <v>5</v>
      </c>
      <c r="O417">
        <v>1</v>
      </c>
      <c r="P417">
        <v>2</v>
      </c>
      <c r="Q417" t="s">
        <v>44</v>
      </c>
      <c r="R417" t="s">
        <v>50</v>
      </c>
      <c r="S417">
        <v>0</v>
      </c>
      <c r="T417">
        <v>3</v>
      </c>
      <c r="U417" t="s">
        <v>36</v>
      </c>
      <c r="V417" t="s">
        <v>60</v>
      </c>
      <c r="W417" t="s">
        <v>39</v>
      </c>
      <c r="X417" s="3">
        <v>45709</v>
      </c>
      <c r="Y417" s="1" t="str">
        <f t="shared" si="12"/>
        <v>Feb</v>
      </c>
      <c r="Z417" s="1" t="str">
        <f t="shared" si="13"/>
        <v>2025</v>
      </c>
      <c r="AA417" t="b">
        <v>1</v>
      </c>
      <c r="AB417" t="b">
        <v>0</v>
      </c>
      <c r="AC417" t="s">
        <v>62</v>
      </c>
      <c r="AD417" t="s">
        <v>41</v>
      </c>
      <c r="AE417">
        <v>8</v>
      </c>
    </row>
    <row r="418" spans="1:31" x14ac:dyDescent="0.3">
      <c r="A418" t="s">
        <v>917</v>
      </c>
      <c r="B418">
        <v>44</v>
      </c>
      <c r="C418" t="str" cm="1">
        <f t="array" ref="C418">_xlfn.IFS(B418&lt;=18,"0-18",B418&lt;=29,"19-29",B418&gt;=49,"30-49",B418&gt;=69,"50-69",TRUE,"70+")</f>
        <v>70+</v>
      </c>
      <c r="D418" t="s">
        <v>43</v>
      </c>
      <c r="E418" t="s">
        <v>30</v>
      </c>
      <c r="F418" t="s">
        <v>55</v>
      </c>
      <c r="G418" t="s">
        <v>45</v>
      </c>
      <c r="H418" t="s">
        <v>30</v>
      </c>
      <c r="I418" t="s">
        <v>918</v>
      </c>
      <c r="J418" t="s">
        <v>104</v>
      </c>
      <c r="K418" s="2">
        <v>492.51</v>
      </c>
      <c r="L418">
        <v>7</v>
      </c>
      <c r="M418" t="s">
        <v>78</v>
      </c>
      <c r="N418">
        <v>1</v>
      </c>
      <c r="O418">
        <v>4</v>
      </c>
      <c r="P418">
        <v>1</v>
      </c>
      <c r="Q418" t="s">
        <v>59</v>
      </c>
      <c r="R418" t="s">
        <v>50</v>
      </c>
      <c r="S418">
        <v>0</v>
      </c>
      <c r="T418">
        <v>2</v>
      </c>
      <c r="U418" t="s">
        <v>49</v>
      </c>
      <c r="V418" t="s">
        <v>79</v>
      </c>
      <c r="W418" t="s">
        <v>51</v>
      </c>
      <c r="X418" s="3">
        <v>45710</v>
      </c>
      <c r="Y418" s="1" t="str">
        <f t="shared" si="12"/>
        <v>Feb</v>
      </c>
      <c r="Z418" s="1" t="str">
        <f t="shared" si="13"/>
        <v>2025</v>
      </c>
      <c r="AA418" t="b">
        <v>1</v>
      </c>
      <c r="AB418" t="b">
        <v>1</v>
      </c>
      <c r="AC418" t="s">
        <v>52</v>
      </c>
      <c r="AD418" t="s">
        <v>53</v>
      </c>
      <c r="AE418">
        <v>4</v>
      </c>
    </row>
    <row r="419" spans="1:31" x14ac:dyDescent="0.3">
      <c r="A419" t="s">
        <v>919</v>
      </c>
      <c r="B419">
        <v>37</v>
      </c>
      <c r="C419" t="str" cm="1">
        <f t="array" ref="C419">_xlfn.IFS(B419&lt;=18,"0-18",B419&lt;=29,"19-29",B419&gt;=49,"30-49",B419&gt;=69,"50-69",TRUE,"70+")</f>
        <v>70+</v>
      </c>
      <c r="D419" t="s">
        <v>274</v>
      </c>
      <c r="E419" t="s">
        <v>44</v>
      </c>
      <c r="F419" t="s">
        <v>31</v>
      </c>
      <c r="G419" t="s">
        <v>32</v>
      </c>
      <c r="H419" t="s">
        <v>44</v>
      </c>
      <c r="I419" t="s">
        <v>920</v>
      </c>
      <c r="J419" t="s">
        <v>65</v>
      </c>
      <c r="K419" s="2">
        <v>411.4</v>
      </c>
      <c r="L419">
        <v>3</v>
      </c>
      <c r="M419" t="s">
        <v>48</v>
      </c>
      <c r="N419">
        <v>1</v>
      </c>
      <c r="O419">
        <v>3</v>
      </c>
      <c r="P419">
        <v>0</v>
      </c>
      <c r="Q419" t="s">
        <v>44</v>
      </c>
      <c r="R419" t="s">
        <v>37</v>
      </c>
      <c r="S419">
        <v>2</v>
      </c>
      <c r="T419">
        <v>9</v>
      </c>
      <c r="U419" t="s">
        <v>36</v>
      </c>
      <c r="V419" t="s">
        <v>60</v>
      </c>
      <c r="W419" t="s">
        <v>51</v>
      </c>
      <c r="X419" s="3">
        <v>45711</v>
      </c>
      <c r="Y419" s="1" t="str">
        <f t="shared" si="12"/>
        <v>Feb</v>
      </c>
      <c r="Z419" s="1" t="str">
        <f t="shared" si="13"/>
        <v>2025</v>
      </c>
      <c r="AA419" t="b">
        <v>1</v>
      </c>
      <c r="AB419" t="b">
        <v>0</v>
      </c>
      <c r="AC419" t="s">
        <v>62</v>
      </c>
      <c r="AD419" t="s">
        <v>53</v>
      </c>
      <c r="AE419">
        <v>6</v>
      </c>
    </row>
    <row r="420" spans="1:31" x14ac:dyDescent="0.3">
      <c r="A420" t="s">
        <v>921</v>
      </c>
      <c r="B420">
        <v>36</v>
      </c>
      <c r="C420" t="str" cm="1">
        <f t="array" ref="C420">_xlfn.IFS(B420&lt;=18,"0-18",B420&lt;=29,"19-29",B420&gt;=49,"30-49",B420&gt;=69,"50-69",TRUE,"70+")</f>
        <v>70+</v>
      </c>
      <c r="D420" t="s">
        <v>43</v>
      </c>
      <c r="E420" t="s">
        <v>30</v>
      </c>
      <c r="F420" t="s">
        <v>76</v>
      </c>
      <c r="G420" t="s">
        <v>56</v>
      </c>
      <c r="H420" t="s">
        <v>44</v>
      </c>
      <c r="I420" t="s">
        <v>922</v>
      </c>
      <c r="J420" t="s">
        <v>183</v>
      </c>
      <c r="K420" s="2">
        <v>96.52</v>
      </c>
      <c r="L420">
        <v>11</v>
      </c>
      <c r="M420" t="s">
        <v>48</v>
      </c>
      <c r="N420">
        <v>5</v>
      </c>
      <c r="O420">
        <v>3</v>
      </c>
      <c r="P420">
        <v>2</v>
      </c>
      <c r="Q420" t="s">
        <v>59</v>
      </c>
      <c r="R420" t="s">
        <v>50</v>
      </c>
      <c r="S420">
        <v>1</v>
      </c>
      <c r="T420">
        <v>3</v>
      </c>
      <c r="U420" t="s">
        <v>36</v>
      </c>
      <c r="V420" t="s">
        <v>38</v>
      </c>
      <c r="W420" t="s">
        <v>86</v>
      </c>
      <c r="X420" s="3">
        <v>45712</v>
      </c>
      <c r="Y420" s="1" t="str">
        <f t="shared" si="12"/>
        <v>Feb</v>
      </c>
      <c r="Z420" s="1" t="str">
        <f t="shared" si="13"/>
        <v>2025</v>
      </c>
      <c r="AA420" t="b">
        <v>0</v>
      </c>
      <c r="AB420" t="b">
        <v>0</v>
      </c>
      <c r="AC420" t="s">
        <v>74</v>
      </c>
      <c r="AD420" t="s">
        <v>53</v>
      </c>
      <c r="AE420">
        <v>11</v>
      </c>
    </row>
    <row r="421" spans="1:31" x14ac:dyDescent="0.3">
      <c r="A421" t="s">
        <v>923</v>
      </c>
      <c r="B421">
        <v>34</v>
      </c>
      <c r="C421" t="str" cm="1">
        <f t="array" ref="C421">_xlfn.IFS(B421&lt;=18,"0-18",B421&lt;=29,"19-29",B421&gt;=49,"30-49",B421&gt;=69,"50-69",TRUE,"70+")</f>
        <v>70+</v>
      </c>
      <c r="D421" t="s">
        <v>43</v>
      </c>
      <c r="E421" t="s">
        <v>44</v>
      </c>
      <c r="F421" t="s">
        <v>31</v>
      </c>
      <c r="G421" t="s">
        <v>45</v>
      </c>
      <c r="H421" t="s">
        <v>30</v>
      </c>
      <c r="I421" t="s">
        <v>924</v>
      </c>
      <c r="J421" t="s">
        <v>93</v>
      </c>
      <c r="K421" s="2">
        <v>65.45</v>
      </c>
      <c r="L421">
        <v>6</v>
      </c>
      <c r="M421" t="s">
        <v>48</v>
      </c>
      <c r="N421">
        <v>2</v>
      </c>
      <c r="O421">
        <v>4</v>
      </c>
      <c r="P421">
        <v>1</v>
      </c>
      <c r="Q421" t="s">
        <v>44</v>
      </c>
      <c r="R421" t="s">
        <v>85</v>
      </c>
      <c r="S421">
        <v>0</v>
      </c>
      <c r="T421">
        <v>2</v>
      </c>
      <c r="U421" t="s">
        <v>49</v>
      </c>
      <c r="V421" t="s">
        <v>60</v>
      </c>
      <c r="W421" t="s">
        <v>39</v>
      </c>
      <c r="X421" s="3">
        <v>45713</v>
      </c>
      <c r="Y421" s="1" t="str">
        <f t="shared" si="12"/>
        <v>Feb</v>
      </c>
      <c r="Z421" s="1" t="str">
        <f t="shared" si="13"/>
        <v>2025</v>
      </c>
      <c r="AA421" t="b">
        <v>1</v>
      </c>
      <c r="AB421" t="b">
        <v>1</v>
      </c>
      <c r="AC421" t="s">
        <v>62</v>
      </c>
      <c r="AD421" t="s">
        <v>41</v>
      </c>
      <c r="AE421">
        <v>3</v>
      </c>
    </row>
    <row r="422" spans="1:31" x14ac:dyDescent="0.3">
      <c r="A422" t="s">
        <v>925</v>
      </c>
      <c r="B422">
        <v>23</v>
      </c>
      <c r="C422" t="str" cm="1">
        <f t="array" ref="C422">_xlfn.IFS(B422&lt;=18,"0-18",B422&lt;=29,"19-29",B422&gt;=49,"30-49",B422&gt;=69,"50-69",TRUE,"70+")</f>
        <v>19-29</v>
      </c>
      <c r="D422" t="s">
        <v>43</v>
      </c>
      <c r="E422" t="s">
        <v>30</v>
      </c>
      <c r="F422" t="s">
        <v>55</v>
      </c>
      <c r="G422" t="s">
        <v>45</v>
      </c>
      <c r="H422" t="s">
        <v>30</v>
      </c>
      <c r="I422" t="s">
        <v>926</v>
      </c>
      <c r="J422" t="s">
        <v>104</v>
      </c>
      <c r="K422" s="2">
        <v>255.86</v>
      </c>
      <c r="L422">
        <v>3</v>
      </c>
      <c r="M422" t="s">
        <v>78</v>
      </c>
      <c r="N422">
        <v>4</v>
      </c>
      <c r="O422">
        <v>5</v>
      </c>
      <c r="P422">
        <v>2</v>
      </c>
      <c r="Q422" t="s">
        <v>44</v>
      </c>
      <c r="R422" t="s">
        <v>85</v>
      </c>
      <c r="S422">
        <v>0</v>
      </c>
      <c r="T422">
        <v>1</v>
      </c>
      <c r="U422" t="s">
        <v>59</v>
      </c>
      <c r="V422" t="s">
        <v>38</v>
      </c>
      <c r="W422" t="s">
        <v>51</v>
      </c>
      <c r="X422" s="3">
        <v>45714</v>
      </c>
      <c r="Y422" s="1" t="str">
        <f t="shared" si="12"/>
        <v>Feb</v>
      </c>
      <c r="Z422" s="1" t="str">
        <f t="shared" si="13"/>
        <v>2025</v>
      </c>
      <c r="AA422" t="b">
        <v>1</v>
      </c>
      <c r="AB422" t="b">
        <v>0</v>
      </c>
      <c r="AC422" t="s">
        <v>74</v>
      </c>
      <c r="AD422" t="s">
        <v>41</v>
      </c>
      <c r="AE422">
        <v>4</v>
      </c>
    </row>
    <row r="423" spans="1:31" x14ac:dyDescent="0.3">
      <c r="A423" t="s">
        <v>927</v>
      </c>
      <c r="B423">
        <v>35</v>
      </c>
      <c r="C423" t="str" cm="1">
        <f t="array" ref="C423">_xlfn.IFS(B423&lt;=18,"0-18",B423&lt;=29,"19-29",B423&gt;=49,"30-49",B423&gt;=69,"50-69",TRUE,"70+")</f>
        <v>70+</v>
      </c>
      <c r="D423" t="s">
        <v>43</v>
      </c>
      <c r="E423" t="s">
        <v>44</v>
      </c>
      <c r="F423" t="s">
        <v>76</v>
      </c>
      <c r="G423" t="s">
        <v>32</v>
      </c>
      <c r="H423" t="s">
        <v>44</v>
      </c>
      <c r="I423" t="s">
        <v>928</v>
      </c>
      <c r="J423" t="s">
        <v>71</v>
      </c>
      <c r="K423" s="2">
        <v>74.69</v>
      </c>
      <c r="L423">
        <v>10</v>
      </c>
      <c r="M423" t="s">
        <v>48</v>
      </c>
      <c r="N423">
        <v>5</v>
      </c>
      <c r="O423">
        <v>3</v>
      </c>
      <c r="P423">
        <v>1</v>
      </c>
      <c r="Q423" t="s">
        <v>59</v>
      </c>
      <c r="R423" t="s">
        <v>37</v>
      </c>
      <c r="S423">
        <v>0</v>
      </c>
      <c r="T423">
        <v>6</v>
      </c>
      <c r="U423" t="s">
        <v>49</v>
      </c>
      <c r="V423" t="s">
        <v>79</v>
      </c>
      <c r="W423" t="s">
        <v>51</v>
      </c>
      <c r="X423" s="3">
        <v>45715</v>
      </c>
      <c r="Y423" s="1" t="str">
        <f t="shared" si="12"/>
        <v>Feb</v>
      </c>
      <c r="Z423" s="1" t="str">
        <f t="shared" si="13"/>
        <v>2025</v>
      </c>
      <c r="AA423" t="b">
        <v>0</v>
      </c>
      <c r="AB423" t="b">
        <v>1</v>
      </c>
      <c r="AC423" t="s">
        <v>40</v>
      </c>
      <c r="AD423" t="s">
        <v>41</v>
      </c>
      <c r="AE423">
        <v>3</v>
      </c>
    </row>
    <row r="424" spans="1:31" x14ac:dyDescent="0.3">
      <c r="A424" t="s">
        <v>929</v>
      </c>
      <c r="B424">
        <v>45</v>
      </c>
      <c r="C424" t="str" cm="1">
        <f t="array" ref="C424">_xlfn.IFS(B424&lt;=18,"0-18",B424&lt;=29,"19-29",B424&gt;=49,"30-49",B424&gt;=69,"50-69",TRUE,"70+")</f>
        <v>70+</v>
      </c>
      <c r="D424" t="s">
        <v>43</v>
      </c>
      <c r="E424" t="s">
        <v>30</v>
      </c>
      <c r="F424" t="s">
        <v>69</v>
      </c>
      <c r="G424" t="s">
        <v>56</v>
      </c>
      <c r="H424" t="s">
        <v>30</v>
      </c>
      <c r="I424" t="s">
        <v>930</v>
      </c>
      <c r="J424" t="s">
        <v>65</v>
      </c>
      <c r="K424" s="2">
        <v>430.75</v>
      </c>
      <c r="L424">
        <v>8</v>
      </c>
      <c r="M424" t="s">
        <v>35</v>
      </c>
      <c r="N424">
        <v>3</v>
      </c>
      <c r="O424">
        <v>4</v>
      </c>
      <c r="P424">
        <v>2</v>
      </c>
      <c r="Q424" t="s">
        <v>59</v>
      </c>
      <c r="R424" t="s">
        <v>85</v>
      </c>
      <c r="S424">
        <v>1</v>
      </c>
      <c r="T424">
        <v>5</v>
      </c>
      <c r="U424" t="s">
        <v>36</v>
      </c>
      <c r="V424" t="s">
        <v>38</v>
      </c>
      <c r="W424" t="s">
        <v>86</v>
      </c>
      <c r="X424" s="3">
        <v>45716</v>
      </c>
      <c r="Y424" s="1" t="str">
        <f t="shared" si="12"/>
        <v>Feb</v>
      </c>
      <c r="Z424" s="1" t="str">
        <f t="shared" si="13"/>
        <v>2025</v>
      </c>
      <c r="AA424" t="b">
        <v>0</v>
      </c>
      <c r="AB424" t="b">
        <v>0</v>
      </c>
      <c r="AC424" t="s">
        <v>40</v>
      </c>
      <c r="AD424" t="s">
        <v>41</v>
      </c>
      <c r="AE424">
        <v>6</v>
      </c>
    </row>
    <row r="425" spans="1:31" x14ac:dyDescent="0.3">
      <c r="A425" t="s">
        <v>931</v>
      </c>
      <c r="B425">
        <v>38</v>
      </c>
      <c r="C425" t="str" cm="1">
        <f t="array" ref="C425">_xlfn.IFS(B425&lt;=18,"0-18",B425&lt;=29,"19-29",B425&gt;=49,"30-49",B425&gt;=69,"50-69",TRUE,"70+")</f>
        <v>70+</v>
      </c>
      <c r="D425" t="s">
        <v>43</v>
      </c>
      <c r="E425" t="s">
        <v>44</v>
      </c>
      <c r="F425" t="s">
        <v>69</v>
      </c>
      <c r="G425" t="s">
        <v>56</v>
      </c>
      <c r="H425" t="s">
        <v>44</v>
      </c>
      <c r="I425" t="s">
        <v>932</v>
      </c>
      <c r="J425" t="s">
        <v>120</v>
      </c>
      <c r="K425" s="2">
        <v>370.17</v>
      </c>
      <c r="L425">
        <v>2</v>
      </c>
      <c r="M425" t="s">
        <v>35</v>
      </c>
      <c r="N425">
        <v>5</v>
      </c>
      <c r="O425">
        <v>4</v>
      </c>
      <c r="P425">
        <v>2</v>
      </c>
      <c r="Q425" t="s">
        <v>49</v>
      </c>
      <c r="R425" t="s">
        <v>50</v>
      </c>
      <c r="S425">
        <v>1</v>
      </c>
      <c r="T425">
        <v>9</v>
      </c>
      <c r="U425" t="s">
        <v>59</v>
      </c>
      <c r="V425" t="s">
        <v>38</v>
      </c>
      <c r="W425" t="s">
        <v>86</v>
      </c>
      <c r="X425" s="3">
        <v>45717</v>
      </c>
      <c r="Y425" s="1" t="str">
        <f t="shared" si="12"/>
        <v>Mar</v>
      </c>
      <c r="Z425" s="1" t="str">
        <f t="shared" si="13"/>
        <v>2025</v>
      </c>
      <c r="AA425" t="b">
        <v>0</v>
      </c>
      <c r="AB425" t="b">
        <v>1</v>
      </c>
      <c r="AC425" t="s">
        <v>40</v>
      </c>
      <c r="AD425" t="s">
        <v>67</v>
      </c>
      <c r="AE425">
        <v>1</v>
      </c>
    </row>
    <row r="426" spans="1:31" x14ac:dyDescent="0.3">
      <c r="A426" t="s">
        <v>933</v>
      </c>
      <c r="B426">
        <v>25</v>
      </c>
      <c r="C426" t="str" cm="1">
        <f t="array" ref="C426">_xlfn.IFS(B426&lt;=18,"0-18",B426&lt;=29,"19-29",B426&gt;=49,"30-49",B426&gt;=69,"50-69",TRUE,"70+")</f>
        <v>19-29</v>
      </c>
      <c r="D426" t="s">
        <v>43</v>
      </c>
      <c r="E426" t="s">
        <v>30</v>
      </c>
      <c r="F426" t="s">
        <v>76</v>
      </c>
      <c r="G426" t="s">
        <v>56</v>
      </c>
      <c r="H426" t="s">
        <v>44</v>
      </c>
      <c r="I426" t="s">
        <v>934</v>
      </c>
      <c r="J426" t="s">
        <v>117</v>
      </c>
      <c r="K426" s="2">
        <v>384.26</v>
      </c>
      <c r="L426">
        <v>6</v>
      </c>
      <c r="M426" t="s">
        <v>35</v>
      </c>
      <c r="N426">
        <v>4</v>
      </c>
      <c r="O426">
        <v>2</v>
      </c>
      <c r="P426">
        <v>1</v>
      </c>
      <c r="Q426" t="s">
        <v>44</v>
      </c>
      <c r="R426" t="s">
        <v>50</v>
      </c>
      <c r="S426">
        <v>0</v>
      </c>
      <c r="T426">
        <v>9</v>
      </c>
      <c r="U426" t="s">
        <v>49</v>
      </c>
      <c r="V426" t="s">
        <v>60</v>
      </c>
      <c r="W426" t="s">
        <v>51</v>
      </c>
      <c r="X426" s="3">
        <v>45718</v>
      </c>
      <c r="Y426" s="1" t="str">
        <f t="shared" si="12"/>
        <v>Mar</v>
      </c>
      <c r="Z426" s="1" t="str">
        <f t="shared" si="13"/>
        <v>2025</v>
      </c>
      <c r="AA426" t="b">
        <v>0</v>
      </c>
      <c r="AB426" t="b">
        <v>1</v>
      </c>
      <c r="AC426" t="s">
        <v>40</v>
      </c>
      <c r="AD426" t="s">
        <v>41</v>
      </c>
      <c r="AE426">
        <v>11</v>
      </c>
    </row>
    <row r="427" spans="1:31" x14ac:dyDescent="0.3">
      <c r="A427" t="s">
        <v>935</v>
      </c>
      <c r="B427">
        <v>26</v>
      </c>
      <c r="C427" t="str" cm="1">
        <f t="array" ref="C427">_xlfn.IFS(B427&lt;=18,"0-18",B427&lt;=29,"19-29",B427&gt;=49,"30-49",B427&gt;=69,"50-69",TRUE,"70+")</f>
        <v>19-29</v>
      </c>
      <c r="D427" t="s">
        <v>43</v>
      </c>
      <c r="E427" t="s">
        <v>30</v>
      </c>
      <c r="F427" t="s">
        <v>31</v>
      </c>
      <c r="G427" t="s">
        <v>56</v>
      </c>
      <c r="H427" t="s">
        <v>30</v>
      </c>
      <c r="I427" t="s">
        <v>936</v>
      </c>
      <c r="J427" t="s">
        <v>65</v>
      </c>
      <c r="K427" s="2">
        <v>128.01</v>
      </c>
      <c r="L427">
        <v>2</v>
      </c>
      <c r="M427" t="s">
        <v>35</v>
      </c>
      <c r="N427">
        <v>4</v>
      </c>
      <c r="O427">
        <v>2</v>
      </c>
      <c r="P427">
        <v>1</v>
      </c>
      <c r="Q427" t="s">
        <v>49</v>
      </c>
      <c r="R427" t="s">
        <v>37</v>
      </c>
      <c r="S427">
        <v>0</v>
      </c>
      <c r="T427">
        <v>1</v>
      </c>
      <c r="U427" t="s">
        <v>44</v>
      </c>
      <c r="V427" t="s">
        <v>60</v>
      </c>
      <c r="W427" t="s">
        <v>61</v>
      </c>
      <c r="X427" s="3">
        <v>45719</v>
      </c>
      <c r="Y427" s="1" t="str">
        <f t="shared" si="12"/>
        <v>Mar</v>
      </c>
      <c r="Z427" s="1" t="str">
        <f t="shared" si="13"/>
        <v>2025</v>
      </c>
      <c r="AA427" t="b">
        <v>1</v>
      </c>
      <c r="AB427" t="b">
        <v>0</v>
      </c>
      <c r="AC427" t="s">
        <v>40</v>
      </c>
      <c r="AD427" t="s">
        <v>41</v>
      </c>
      <c r="AE427">
        <v>10</v>
      </c>
    </row>
    <row r="428" spans="1:31" x14ac:dyDescent="0.3">
      <c r="A428" t="s">
        <v>937</v>
      </c>
      <c r="B428">
        <v>46</v>
      </c>
      <c r="C428" t="str" cm="1">
        <f t="array" ref="C428">_xlfn.IFS(B428&lt;=18,"0-18",B428&lt;=29,"19-29",B428&gt;=49,"30-49",B428&gt;=69,"50-69",TRUE,"70+")</f>
        <v>70+</v>
      </c>
      <c r="D428" t="s">
        <v>29</v>
      </c>
      <c r="E428" t="s">
        <v>44</v>
      </c>
      <c r="F428" t="s">
        <v>31</v>
      </c>
      <c r="G428" t="s">
        <v>45</v>
      </c>
      <c r="H428" t="s">
        <v>44</v>
      </c>
      <c r="I428" t="s">
        <v>938</v>
      </c>
      <c r="J428" t="s">
        <v>98</v>
      </c>
      <c r="K428" s="2">
        <v>301.39999999999998</v>
      </c>
      <c r="L428">
        <v>4</v>
      </c>
      <c r="M428" t="s">
        <v>78</v>
      </c>
      <c r="N428">
        <v>5</v>
      </c>
      <c r="O428">
        <v>3</v>
      </c>
      <c r="P428">
        <v>0</v>
      </c>
      <c r="Q428" t="s">
        <v>49</v>
      </c>
      <c r="R428" t="s">
        <v>37</v>
      </c>
      <c r="S428">
        <v>0</v>
      </c>
      <c r="T428">
        <v>5</v>
      </c>
      <c r="U428" t="s">
        <v>36</v>
      </c>
      <c r="V428" t="s">
        <v>79</v>
      </c>
      <c r="W428" t="s">
        <v>61</v>
      </c>
      <c r="X428" s="3">
        <v>45720</v>
      </c>
      <c r="Y428" s="1" t="str">
        <f t="shared" si="12"/>
        <v>Mar</v>
      </c>
      <c r="Z428" s="1" t="str">
        <f t="shared" si="13"/>
        <v>2025</v>
      </c>
      <c r="AA428" t="b">
        <v>0</v>
      </c>
      <c r="AB428" t="b">
        <v>1</v>
      </c>
      <c r="AC428" t="s">
        <v>74</v>
      </c>
      <c r="AD428" t="s">
        <v>53</v>
      </c>
      <c r="AE428">
        <v>5</v>
      </c>
    </row>
    <row r="429" spans="1:31" x14ac:dyDescent="0.3">
      <c r="A429" t="s">
        <v>939</v>
      </c>
      <c r="B429">
        <v>18</v>
      </c>
      <c r="C429" t="str" cm="1">
        <f t="array" ref="C429">_xlfn.IFS(B429&lt;=18,"0-18",B429&lt;=29,"19-29",B429&gt;=49,"30-49",B429&gt;=69,"50-69",TRUE,"70+")</f>
        <v>0-18</v>
      </c>
      <c r="D429" t="s">
        <v>29</v>
      </c>
      <c r="E429" t="s">
        <v>44</v>
      </c>
      <c r="F429" t="s">
        <v>55</v>
      </c>
      <c r="G429" t="s">
        <v>45</v>
      </c>
      <c r="H429" t="s">
        <v>44</v>
      </c>
      <c r="I429" t="s">
        <v>940</v>
      </c>
      <c r="J429" t="s">
        <v>142</v>
      </c>
      <c r="K429" s="2">
        <v>397.25</v>
      </c>
      <c r="L429">
        <v>6</v>
      </c>
      <c r="M429" t="s">
        <v>35</v>
      </c>
      <c r="N429">
        <v>5</v>
      </c>
      <c r="O429">
        <v>2</v>
      </c>
      <c r="P429">
        <v>1</v>
      </c>
      <c r="Q429" t="s">
        <v>59</v>
      </c>
      <c r="R429" t="s">
        <v>50</v>
      </c>
      <c r="S429">
        <v>1</v>
      </c>
      <c r="T429">
        <v>10</v>
      </c>
      <c r="U429" t="s">
        <v>36</v>
      </c>
      <c r="V429" t="s">
        <v>79</v>
      </c>
      <c r="W429" t="s">
        <v>86</v>
      </c>
      <c r="X429" s="3">
        <v>45721</v>
      </c>
      <c r="Y429" s="1" t="str">
        <f t="shared" si="12"/>
        <v>Mar</v>
      </c>
      <c r="Z429" s="1" t="str">
        <f t="shared" si="13"/>
        <v>2025</v>
      </c>
      <c r="AA429" t="b">
        <v>0</v>
      </c>
      <c r="AB429" t="b">
        <v>1</v>
      </c>
      <c r="AC429" t="s">
        <v>52</v>
      </c>
      <c r="AD429" t="s">
        <v>41</v>
      </c>
      <c r="AE429">
        <v>2</v>
      </c>
    </row>
    <row r="430" spans="1:31" x14ac:dyDescent="0.3">
      <c r="A430" t="s">
        <v>941</v>
      </c>
      <c r="B430">
        <v>46</v>
      </c>
      <c r="C430" t="str" cm="1">
        <f t="array" ref="C430">_xlfn.IFS(B430&lt;=18,"0-18",B430&lt;=29,"19-29",B430&gt;=49,"30-49",B430&gt;=69,"50-69",TRUE,"70+")</f>
        <v>70+</v>
      </c>
      <c r="D430" t="s">
        <v>43</v>
      </c>
      <c r="E430" t="s">
        <v>30</v>
      </c>
      <c r="F430" t="s">
        <v>76</v>
      </c>
      <c r="G430" t="s">
        <v>45</v>
      </c>
      <c r="H430" t="s">
        <v>30</v>
      </c>
      <c r="I430" t="s">
        <v>942</v>
      </c>
      <c r="J430" t="s">
        <v>34</v>
      </c>
      <c r="K430" s="2">
        <v>96.18</v>
      </c>
      <c r="L430">
        <v>3</v>
      </c>
      <c r="M430" t="s">
        <v>35</v>
      </c>
      <c r="N430">
        <v>3</v>
      </c>
      <c r="O430">
        <v>4</v>
      </c>
      <c r="P430">
        <v>0</v>
      </c>
      <c r="Q430" t="s">
        <v>36</v>
      </c>
      <c r="R430" t="s">
        <v>37</v>
      </c>
      <c r="S430">
        <v>1</v>
      </c>
      <c r="T430">
        <v>9</v>
      </c>
      <c r="U430" t="s">
        <v>49</v>
      </c>
      <c r="V430" t="s">
        <v>60</v>
      </c>
      <c r="W430" t="s">
        <v>86</v>
      </c>
      <c r="X430" s="3">
        <v>45722</v>
      </c>
      <c r="Y430" s="1" t="str">
        <f t="shared" si="12"/>
        <v>Mar</v>
      </c>
      <c r="Z430" s="1" t="str">
        <f t="shared" si="13"/>
        <v>2025</v>
      </c>
      <c r="AA430" t="b">
        <v>0</v>
      </c>
      <c r="AB430" t="b">
        <v>0</v>
      </c>
      <c r="AC430" t="s">
        <v>74</v>
      </c>
      <c r="AD430" t="s">
        <v>67</v>
      </c>
      <c r="AE430">
        <v>10</v>
      </c>
    </row>
    <row r="431" spans="1:31" x14ac:dyDescent="0.3">
      <c r="A431" t="s">
        <v>943</v>
      </c>
      <c r="B431">
        <v>19</v>
      </c>
      <c r="C431" t="str" cm="1">
        <f t="array" ref="C431">_xlfn.IFS(B431&lt;=18,"0-18",B431&lt;=29,"19-29",B431&gt;=49,"30-49",B431&gt;=69,"50-69",TRUE,"70+")</f>
        <v>19-29</v>
      </c>
      <c r="D431" t="s">
        <v>29</v>
      </c>
      <c r="E431" t="s">
        <v>44</v>
      </c>
      <c r="F431" t="s">
        <v>76</v>
      </c>
      <c r="G431" t="s">
        <v>32</v>
      </c>
      <c r="H431" t="s">
        <v>44</v>
      </c>
      <c r="I431" t="s">
        <v>944</v>
      </c>
      <c r="J431" t="s">
        <v>123</v>
      </c>
      <c r="K431" s="2">
        <v>390.44</v>
      </c>
      <c r="L431">
        <v>4</v>
      </c>
      <c r="M431" t="s">
        <v>35</v>
      </c>
      <c r="N431">
        <v>5</v>
      </c>
      <c r="O431">
        <v>1</v>
      </c>
      <c r="P431">
        <v>0</v>
      </c>
      <c r="Q431" t="s">
        <v>49</v>
      </c>
      <c r="R431" t="s">
        <v>85</v>
      </c>
      <c r="S431">
        <v>0</v>
      </c>
      <c r="T431">
        <v>4</v>
      </c>
      <c r="U431" t="s">
        <v>44</v>
      </c>
      <c r="V431" t="s">
        <v>79</v>
      </c>
      <c r="W431" t="s">
        <v>66</v>
      </c>
      <c r="X431" s="3">
        <v>45723</v>
      </c>
      <c r="Y431" s="1" t="str">
        <f t="shared" si="12"/>
        <v>Mar</v>
      </c>
      <c r="Z431" s="1" t="str">
        <f t="shared" si="13"/>
        <v>2025</v>
      </c>
      <c r="AA431" t="b">
        <v>1</v>
      </c>
      <c r="AB431" t="b">
        <v>0</v>
      </c>
      <c r="AC431" t="s">
        <v>40</v>
      </c>
      <c r="AD431" t="s">
        <v>53</v>
      </c>
      <c r="AE431">
        <v>4</v>
      </c>
    </row>
    <row r="432" spans="1:31" x14ac:dyDescent="0.3">
      <c r="A432" t="s">
        <v>945</v>
      </c>
      <c r="B432">
        <v>37</v>
      </c>
      <c r="C432" t="str" cm="1">
        <f t="array" ref="C432">_xlfn.IFS(B432&lt;=18,"0-18",B432&lt;=29,"19-29",B432&gt;=49,"30-49",B432&gt;=69,"50-69",TRUE,"70+")</f>
        <v>70+</v>
      </c>
      <c r="D432" t="s">
        <v>29</v>
      </c>
      <c r="E432" t="s">
        <v>30</v>
      </c>
      <c r="F432" t="s">
        <v>55</v>
      </c>
      <c r="G432" t="s">
        <v>32</v>
      </c>
      <c r="H432" t="s">
        <v>30</v>
      </c>
      <c r="I432" t="s">
        <v>946</v>
      </c>
      <c r="J432" t="s">
        <v>104</v>
      </c>
      <c r="K432" s="2">
        <v>61.5</v>
      </c>
      <c r="L432">
        <v>11</v>
      </c>
      <c r="M432" t="s">
        <v>35</v>
      </c>
      <c r="N432">
        <v>4</v>
      </c>
      <c r="O432">
        <v>2</v>
      </c>
      <c r="P432">
        <v>0</v>
      </c>
      <c r="Q432" t="s">
        <v>49</v>
      </c>
      <c r="R432" t="s">
        <v>85</v>
      </c>
      <c r="S432">
        <v>0</v>
      </c>
      <c r="T432">
        <v>1</v>
      </c>
      <c r="U432" t="s">
        <v>44</v>
      </c>
      <c r="V432" t="s">
        <v>60</v>
      </c>
      <c r="W432" t="s">
        <v>66</v>
      </c>
      <c r="X432" s="3">
        <v>45724</v>
      </c>
      <c r="Y432" s="1" t="str">
        <f t="shared" si="12"/>
        <v>Mar</v>
      </c>
      <c r="Z432" s="1" t="str">
        <f t="shared" si="13"/>
        <v>2025</v>
      </c>
      <c r="AA432" t="b">
        <v>1</v>
      </c>
      <c r="AB432" t="b">
        <v>1</v>
      </c>
      <c r="AC432" t="s">
        <v>74</v>
      </c>
      <c r="AD432" t="s">
        <v>67</v>
      </c>
      <c r="AE432">
        <v>8</v>
      </c>
    </row>
    <row r="433" spans="1:31" x14ac:dyDescent="0.3">
      <c r="A433" t="s">
        <v>947</v>
      </c>
      <c r="B433">
        <v>35</v>
      </c>
      <c r="C433" t="str" cm="1">
        <f t="array" ref="C433">_xlfn.IFS(B433&lt;=18,"0-18",B433&lt;=29,"19-29",B433&gt;=49,"30-49",B433&gt;=69,"50-69",TRUE,"70+")</f>
        <v>70+</v>
      </c>
      <c r="D433" t="s">
        <v>29</v>
      </c>
      <c r="E433" t="s">
        <v>30</v>
      </c>
      <c r="F433" t="s">
        <v>76</v>
      </c>
      <c r="G433" t="s">
        <v>45</v>
      </c>
      <c r="H433" t="s">
        <v>44</v>
      </c>
      <c r="I433" t="s">
        <v>948</v>
      </c>
      <c r="J433" t="s">
        <v>58</v>
      </c>
      <c r="K433" s="2">
        <v>234.44</v>
      </c>
      <c r="L433">
        <v>6</v>
      </c>
      <c r="M433" t="s">
        <v>48</v>
      </c>
      <c r="N433">
        <v>3</v>
      </c>
      <c r="O433">
        <v>5</v>
      </c>
      <c r="P433">
        <v>2</v>
      </c>
      <c r="Q433" t="s">
        <v>49</v>
      </c>
      <c r="R433" t="s">
        <v>85</v>
      </c>
      <c r="S433">
        <v>0</v>
      </c>
      <c r="T433">
        <v>1</v>
      </c>
      <c r="U433" t="s">
        <v>44</v>
      </c>
      <c r="V433" t="s">
        <v>79</v>
      </c>
      <c r="W433" t="s">
        <v>66</v>
      </c>
      <c r="X433" s="3">
        <v>45725</v>
      </c>
      <c r="Y433" s="1" t="str">
        <f t="shared" si="12"/>
        <v>Mar</v>
      </c>
      <c r="Z433" s="1" t="str">
        <f t="shared" si="13"/>
        <v>2025</v>
      </c>
      <c r="AA433" t="b">
        <v>0</v>
      </c>
      <c r="AB433" t="b">
        <v>1</v>
      </c>
      <c r="AC433" t="s">
        <v>62</v>
      </c>
      <c r="AD433" t="s">
        <v>67</v>
      </c>
      <c r="AE433">
        <v>5</v>
      </c>
    </row>
    <row r="434" spans="1:31" x14ac:dyDescent="0.3">
      <c r="A434" t="s">
        <v>949</v>
      </c>
      <c r="B434">
        <v>43</v>
      </c>
      <c r="C434" t="str" cm="1">
        <f t="array" ref="C434">_xlfn.IFS(B434&lt;=18,"0-18",B434&lt;=29,"19-29",B434&gt;=49,"30-49",B434&gt;=69,"50-69",TRUE,"70+")</f>
        <v>70+</v>
      </c>
      <c r="D434" t="s">
        <v>43</v>
      </c>
      <c r="E434" t="s">
        <v>30</v>
      </c>
      <c r="F434" t="s">
        <v>55</v>
      </c>
      <c r="G434" t="s">
        <v>56</v>
      </c>
      <c r="H434" t="s">
        <v>30</v>
      </c>
      <c r="I434" t="s">
        <v>950</v>
      </c>
      <c r="J434" t="s">
        <v>126</v>
      </c>
      <c r="K434" s="2">
        <v>318.83999999999997</v>
      </c>
      <c r="L434">
        <v>6</v>
      </c>
      <c r="M434" t="s">
        <v>78</v>
      </c>
      <c r="N434">
        <v>1</v>
      </c>
      <c r="O434">
        <v>1</v>
      </c>
      <c r="P434">
        <v>2</v>
      </c>
      <c r="Q434" t="s">
        <v>59</v>
      </c>
      <c r="R434" t="s">
        <v>85</v>
      </c>
      <c r="S434">
        <v>0</v>
      </c>
      <c r="T434">
        <v>4</v>
      </c>
      <c r="U434" t="s">
        <v>44</v>
      </c>
      <c r="V434" t="s">
        <v>38</v>
      </c>
      <c r="W434" t="s">
        <v>66</v>
      </c>
      <c r="X434" s="3">
        <v>45726</v>
      </c>
      <c r="Y434" s="1" t="str">
        <f t="shared" si="12"/>
        <v>Mar</v>
      </c>
      <c r="Z434" s="1" t="str">
        <f t="shared" si="13"/>
        <v>2025</v>
      </c>
      <c r="AA434" t="b">
        <v>0</v>
      </c>
      <c r="AB434" t="b">
        <v>1</v>
      </c>
      <c r="AC434" t="s">
        <v>52</v>
      </c>
      <c r="AD434" t="s">
        <v>53</v>
      </c>
      <c r="AE434">
        <v>10</v>
      </c>
    </row>
    <row r="435" spans="1:31" x14ac:dyDescent="0.3">
      <c r="A435" t="s">
        <v>951</v>
      </c>
      <c r="B435">
        <v>28</v>
      </c>
      <c r="C435" t="str" cm="1">
        <f t="array" ref="C435">_xlfn.IFS(B435&lt;=18,"0-18",B435&lt;=29,"19-29",B435&gt;=49,"30-49",B435&gt;=69,"50-69",TRUE,"70+")</f>
        <v>19-29</v>
      </c>
      <c r="D435" t="s">
        <v>43</v>
      </c>
      <c r="E435" t="s">
        <v>30</v>
      </c>
      <c r="F435" t="s">
        <v>55</v>
      </c>
      <c r="G435" t="s">
        <v>56</v>
      </c>
      <c r="H435" t="s">
        <v>44</v>
      </c>
      <c r="I435" t="s">
        <v>952</v>
      </c>
      <c r="J435" t="s">
        <v>126</v>
      </c>
      <c r="K435" s="2">
        <v>327.32</v>
      </c>
      <c r="L435">
        <v>6</v>
      </c>
      <c r="M435" t="s">
        <v>35</v>
      </c>
      <c r="N435">
        <v>4</v>
      </c>
      <c r="O435">
        <v>5</v>
      </c>
      <c r="P435">
        <v>0</v>
      </c>
      <c r="Q435" t="s">
        <v>36</v>
      </c>
      <c r="R435" t="s">
        <v>37</v>
      </c>
      <c r="S435">
        <v>0</v>
      </c>
      <c r="T435">
        <v>4</v>
      </c>
      <c r="U435" t="s">
        <v>44</v>
      </c>
      <c r="V435" t="s">
        <v>38</v>
      </c>
      <c r="W435" t="s">
        <v>66</v>
      </c>
      <c r="X435" s="3">
        <v>45727</v>
      </c>
      <c r="Y435" s="1" t="str">
        <f t="shared" si="12"/>
        <v>Mar</v>
      </c>
      <c r="Z435" s="1" t="str">
        <f t="shared" si="13"/>
        <v>2025</v>
      </c>
      <c r="AA435" t="b">
        <v>1</v>
      </c>
      <c r="AB435" t="b">
        <v>1</v>
      </c>
      <c r="AC435" t="s">
        <v>62</v>
      </c>
      <c r="AD435" t="s">
        <v>67</v>
      </c>
      <c r="AE435">
        <v>13</v>
      </c>
    </row>
    <row r="436" spans="1:31" x14ac:dyDescent="0.3">
      <c r="A436" t="s">
        <v>953</v>
      </c>
      <c r="B436">
        <v>25</v>
      </c>
      <c r="C436" t="str" cm="1">
        <f t="array" ref="C436">_xlfn.IFS(B436&lt;=18,"0-18",B436&lt;=29,"19-29",B436&gt;=49,"30-49",B436&gt;=69,"50-69",TRUE,"70+")</f>
        <v>19-29</v>
      </c>
      <c r="D436" t="s">
        <v>43</v>
      </c>
      <c r="E436" t="s">
        <v>30</v>
      </c>
      <c r="F436" t="s">
        <v>76</v>
      </c>
      <c r="G436" t="s">
        <v>56</v>
      </c>
      <c r="H436" t="s">
        <v>44</v>
      </c>
      <c r="I436" t="s">
        <v>954</v>
      </c>
      <c r="J436" t="s">
        <v>82</v>
      </c>
      <c r="K436" s="2">
        <v>475.64</v>
      </c>
      <c r="L436">
        <v>3</v>
      </c>
      <c r="M436" t="s">
        <v>78</v>
      </c>
      <c r="N436">
        <v>3</v>
      </c>
      <c r="O436">
        <v>4</v>
      </c>
      <c r="P436">
        <v>1</v>
      </c>
      <c r="Q436" t="s">
        <v>59</v>
      </c>
      <c r="R436" t="s">
        <v>85</v>
      </c>
      <c r="S436">
        <v>1</v>
      </c>
      <c r="T436">
        <v>2</v>
      </c>
      <c r="U436" t="s">
        <v>49</v>
      </c>
      <c r="V436" t="s">
        <v>60</v>
      </c>
      <c r="W436" t="s">
        <v>51</v>
      </c>
      <c r="X436" s="3">
        <v>45728</v>
      </c>
      <c r="Y436" s="1" t="str">
        <f t="shared" si="12"/>
        <v>Mar</v>
      </c>
      <c r="Z436" s="1" t="str">
        <f t="shared" si="13"/>
        <v>2025</v>
      </c>
      <c r="AA436" t="b">
        <v>1</v>
      </c>
      <c r="AB436" t="b">
        <v>1</v>
      </c>
      <c r="AC436" t="s">
        <v>74</v>
      </c>
      <c r="AD436" t="s">
        <v>53</v>
      </c>
      <c r="AE436">
        <v>9</v>
      </c>
    </row>
    <row r="437" spans="1:31" x14ac:dyDescent="0.3">
      <c r="A437" t="s">
        <v>955</v>
      </c>
      <c r="B437">
        <v>47</v>
      </c>
      <c r="C437" t="str" cm="1">
        <f t="array" ref="C437">_xlfn.IFS(B437&lt;=18,"0-18",B437&lt;=29,"19-29",B437&gt;=49,"30-49",B437&gt;=69,"50-69",TRUE,"70+")</f>
        <v>70+</v>
      </c>
      <c r="D437" t="s">
        <v>43</v>
      </c>
      <c r="E437" t="s">
        <v>44</v>
      </c>
      <c r="F437" t="s">
        <v>69</v>
      </c>
      <c r="G437" t="s">
        <v>56</v>
      </c>
      <c r="H437" t="s">
        <v>30</v>
      </c>
      <c r="I437" t="s">
        <v>956</v>
      </c>
      <c r="J437" t="s">
        <v>107</v>
      </c>
      <c r="K437" s="2">
        <v>68.59</v>
      </c>
      <c r="L437">
        <v>9</v>
      </c>
      <c r="M437" t="s">
        <v>35</v>
      </c>
      <c r="N437">
        <v>3</v>
      </c>
      <c r="O437">
        <v>4</v>
      </c>
      <c r="P437">
        <v>0</v>
      </c>
      <c r="Q437" t="s">
        <v>49</v>
      </c>
      <c r="R437" t="s">
        <v>37</v>
      </c>
      <c r="S437">
        <v>2</v>
      </c>
      <c r="T437">
        <v>5</v>
      </c>
      <c r="U437" t="s">
        <v>36</v>
      </c>
      <c r="V437" t="s">
        <v>60</v>
      </c>
      <c r="W437" t="s">
        <v>51</v>
      </c>
      <c r="X437" s="3">
        <v>45729</v>
      </c>
      <c r="Y437" s="1" t="str">
        <f t="shared" si="12"/>
        <v>Mar</v>
      </c>
      <c r="Z437" s="1" t="str">
        <f t="shared" si="13"/>
        <v>2025</v>
      </c>
      <c r="AA437" t="b">
        <v>0</v>
      </c>
      <c r="AB437" t="b">
        <v>1</v>
      </c>
      <c r="AC437" t="s">
        <v>52</v>
      </c>
      <c r="AD437" t="s">
        <v>53</v>
      </c>
      <c r="AE437">
        <v>5</v>
      </c>
    </row>
    <row r="438" spans="1:31" x14ac:dyDescent="0.3">
      <c r="A438" t="s">
        <v>957</v>
      </c>
      <c r="B438">
        <v>45</v>
      </c>
      <c r="C438" t="str" cm="1">
        <f t="array" ref="C438">_xlfn.IFS(B438&lt;=18,"0-18",B438&lt;=29,"19-29",B438&gt;=49,"30-49",B438&gt;=69,"50-69",TRUE,"70+")</f>
        <v>70+</v>
      </c>
      <c r="D438" t="s">
        <v>212</v>
      </c>
      <c r="E438" t="s">
        <v>30</v>
      </c>
      <c r="F438" t="s">
        <v>76</v>
      </c>
      <c r="G438" t="s">
        <v>32</v>
      </c>
      <c r="H438" t="s">
        <v>30</v>
      </c>
      <c r="I438" t="s">
        <v>958</v>
      </c>
      <c r="J438" t="s">
        <v>104</v>
      </c>
      <c r="K438" s="2">
        <v>133.04</v>
      </c>
      <c r="L438">
        <v>12</v>
      </c>
      <c r="M438" t="s">
        <v>78</v>
      </c>
      <c r="N438">
        <v>1</v>
      </c>
      <c r="O438">
        <v>3</v>
      </c>
      <c r="P438">
        <v>2</v>
      </c>
      <c r="Q438" t="s">
        <v>44</v>
      </c>
      <c r="R438" t="s">
        <v>50</v>
      </c>
      <c r="S438">
        <v>2</v>
      </c>
      <c r="T438">
        <v>6</v>
      </c>
      <c r="U438" t="s">
        <v>36</v>
      </c>
      <c r="V438" t="s">
        <v>79</v>
      </c>
      <c r="W438" t="s">
        <v>86</v>
      </c>
      <c r="X438" s="3">
        <v>45730</v>
      </c>
      <c r="Y438" s="1" t="str">
        <f t="shared" si="12"/>
        <v>Mar</v>
      </c>
      <c r="Z438" s="1" t="str">
        <f t="shared" si="13"/>
        <v>2025</v>
      </c>
      <c r="AA438" t="b">
        <v>1</v>
      </c>
      <c r="AB438" t="b">
        <v>1</v>
      </c>
      <c r="AC438" t="s">
        <v>62</v>
      </c>
      <c r="AD438" t="s">
        <v>53</v>
      </c>
      <c r="AE438">
        <v>11</v>
      </c>
    </row>
    <row r="439" spans="1:31" x14ac:dyDescent="0.3">
      <c r="A439" t="s">
        <v>959</v>
      </c>
      <c r="B439">
        <v>24</v>
      </c>
      <c r="C439" t="str" cm="1">
        <f t="array" ref="C439">_xlfn.IFS(B439&lt;=18,"0-18",B439&lt;=29,"19-29",B439&gt;=49,"30-49",B439&gt;=69,"50-69",TRUE,"70+")</f>
        <v>19-29</v>
      </c>
      <c r="D439" t="s">
        <v>190</v>
      </c>
      <c r="E439" t="s">
        <v>44</v>
      </c>
      <c r="F439" t="s">
        <v>31</v>
      </c>
      <c r="G439" t="s">
        <v>45</v>
      </c>
      <c r="H439" t="s">
        <v>30</v>
      </c>
      <c r="I439" t="s">
        <v>960</v>
      </c>
      <c r="J439" t="s">
        <v>98</v>
      </c>
      <c r="K439" s="2">
        <v>196.63</v>
      </c>
      <c r="L439">
        <v>9</v>
      </c>
      <c r="M439" t="s">
        <v>78</v>
      </c>
      <c r="N439">
        <v>4</v>
      </c>
      <c r="O439">
        <v>2</v>
      </c>
      <c r="P439">
        <v>2</v>
      </c>
      <c r="Q439" t="s">
        <v>49</v>
      </c>
      <c r="R439" t="s">
        <v>37</v>
      </c>
      <c r="S439">
        <v>1</v>
      </c>
      <c r="T439">
        <v>6</v>
      </c>
      <c r="U439" t="s">
        <v>59</v>
      </c>
      <c r="V439" t="s">
        <v>38</v>
      </c>
      <c r="W439" t="s">
        <v>66</v>
      </c>
      <c r="X439" s="3">
        <v>45731</v>
      </c>
      <c r="Y439" s="1" t="str">
        <f t="shared" si="12"/>
        <v>Mar</v>
      </c>
      <c r="Z439" s="1" t="str">
        <f t="shared" si="13"/>
        <v>2025</v>
      </c>
      <c r="AA439" t="b">
        <v>1</v>
      </c>
      <c r="AB439" t="b">
        <v>0</v>
      </c>
      <c r="AC439" t="s">
        <v>40</v>
      </c>
      <c r="AD439" t="s">
        <v>41</v>
      </c>
      <c r="AE439">
        <v>7</v>
      </c>
    </row>
    <row r="440" spans="1:31" x14ac:dyDescent="0.3">
      <c r="A440" t="s">
        <v>961</v>
      </c>
      <c r="B440">
        <v>30</v>
      </c>
      <c r="C440" t="str" cm="1">
        <f t="array" ref="C440">_xlfn.IFS(B440&lt;=18,"0-18",B440&lt;=29,"19-29",B440&gt;=49,"30-49",B440&gt;=69,"50-69",TRUE,"70+")</f>
        <v>70+</v>
      </c>
      <c r="D440" t="s">
        <v>43</v>
      </c>
      <c r="E440" t="s">
        <v>30</v>
      </c>
      <c r="F440" t="s">
        <v>76</v>
      </c>
      <c r="G440" t="s">
        <v>32</v>
      </c>
      <c r="H440" t="s">
        <v>44</v>
      </c>
      <c r="I440" t="s">
        <v>962</v>
      </c>
      <c r="J440" t="s">
        <v>65</v>
      </c>
      <c r="K440" s="2">
        <v>473.96</v>
      </c>
      <c r="L440">
        <v>12</v>
      </c>
      <c r="M440" t="s">
        <v>48</v>
      </c>
      <c r="N440">
        <v>2</v>
      </c>
      <c r="O440">
        <v>1</v>
      </c>
      <c r="P440">
        <v>1</v>
      </c>
      <c r="Q440" t="s">
        <v>49</v>
      </c>
      <c r="R440" t="s">
        <v>37</v>
      </c>
      <c r="S440">
        <v>2</v>
      </c>
      <c r="T440">
        <v>9</v>
      </c>
      <c r="U440" t="s">
        <v>36</v>
      </c>
      <c r="V440" t="s">
        <v>38</v>
      </c>
      <c r="W440" t="s">
        <v>51</v>
      </c>
      <c r="X440" s="3">
        <v>45732</v>
      </c>
      <c r="Y440" s="1" t="str">
        <f t="shared" si="12"/>
        <v>Mar</v>
      </c>
      <c r="Z440" s="1" t="str">
        <f t="shared" si="13"/>
        <v>2025</v>
      </c>
      <c r="AA440" t="b">
        <v>1</v>
      </c>
      <c r="AB440" t="b">
        <v>0</v>
      </c>
      <c r="AC440" t="s">
        <v>62</v>
      </c>
      <c r="AD440" t="s">
        <v>67</v>
      </c>
      <c r="AE440">
        <v>14</v>
      </c>
    </row>
    <row r="441" spans="1:31" x14ac:dyDescent="0.3">
      <c r="A441" t="s">
        <v>963</v>
      </c>
      <c r="B441">
        <v>24</v>
      </c>
      <c r="C441" t="str" cm="1">
        <f t="array" ref="C441">_xlfn.IFS(B441&lt;=18,"0-18",B441&lt;=29,"19-29",B441&gt;=49,"30-49",B441&gt;=69,"50-69",TRUE,"70+")</f>
        <v>19-29</v>
      </c>
      <c r="D441" t="s">
        <v>29</v>
      </c>
      <c r="E441" t="s">
        <v>44</v>
      </c>
      <c r="F441" t="s">
        <v>31</v>
      </c>
      <c r="G441" t="s">
        <v>45</v>
      </c>
      <c r="H441" t="s">
        <v>30</v>
      </c>
      <c r="I441" t="s">
        <v>964</v>
      </c>
      <c r="J441" t="s">
        <v>98</v>
      </c>
      <c r="K441" s="2">
        <v>472.52</v>
      </c>
      <c r="L441">
        <v>8</v>
      </c>
      <c r="M441" t="s">
        <v>78</v>
      </c>
      <c r="N441">
        <v>2</v>
      </c>
      <c r="O441">
        <v>4</v>
      </c>
      <c r="P441">
        <v>0</v>
      </c>
      <c r="Q441" t="s">
        <v>59</v>
      </c>
      <c r="R441" t="s">
        <v>37</v>
      </c>
      <c r="S441">
        <v>2</v>
      </c>
      <c r="T441">
        <v>8</v>
      </c>
      <c r="U441" t="s">
        <v>49</v>
      </c>
      <c r="V441" t="s">
        <v>38</v>
      </c>
      <c r="W441" t="s">
        <v>86</v>
      </c>
      <c r="X441" s="3">
        <v>45733</v>
      </c>
      <c r="Y441" s="1" t="str">
        <f t="shared" si="12"/>
        <v>Mar</v>
      </c>
      <c r="Z441" s="1" t="str">
        <f t="shared" si="13"/>
        <v>2025</v>
      </c>
      <c r="AA441" t="b">
        <v>0</v>
      </c>
      <c r="AB441" t="b">
        <v>1</v>
      </c>
      <c r="AC441" t="s">
        <v>74</v>
      </c>
      <c r="AD441" t="s">
        <v>41</v>
      </c>
      <c r="AE441">
        <v>14</v>
      </c>
    </row>
    <row r="442" spans="1:31" x14ac:dyDescent="0.3">
      <c r="A442" t="s">
        <v>965</v>
      </c>
      <c r="B442">
        <v>27</v>
      </c>
      <c r="C442" t="str" cm="1">
        <f t="array" ref="C442">_xlfn.IFS(B442&lt;=18,"0-18",B442&lt;=29,"19-29",B442&gt;=49,"30-49",B442&gt;=69,"50-69",TRUE,"70+")</f>
        <v>19-29</v>
      </c>
      <c r="D442" t="s">
        <v>29</v>
      </c>
      <c r="E442" t="s">
        <v>30</v>
      </c>
      <c r="F442" t="s">
        <v>31</v>
      </c>
      <c r="G442" t="s">
        <v>32</v>
      </c>
      <c r="H442" t="s">
        <v>30</v>
      </c>
      <c r="I442" t="s">
        <v>966</v>
      </c>
      <c r="J442" t="s">
        <v>123</v>
      </c>
      <c r="K442" s="2">
        <v>335.8</v>
      </c>
      <c r="L442">
        <v>9</v>
      </c>
      <c r="M442" t="s">
        <v>35</v>
      </c>
      <c r="N442">
        <v>3</v>
      </c>
      <c r="O442">
        <v>5</v>
      </c>
      <c r="P442">
        <v>1</v>
      </c>
      <c r="Q442" t="s">
        <v>36</v>
      </c>
      <c r="R442" t="s">
        <v>37</v>
      </c>
      <c r="S442">
        <v>2</v>
      </c>
      <c r="T442">
        <v>7</v>
      </c>
      <c r="U442" t="s">
        <v>59</v>
      </c>
      <c r="V442" t="s">
        <v>60</v>
      </c>
      <c r="W442" t="s">
        <v>61</v>
      </c>
      <c r="X442" s="3">
        <v>45734</v>
      </c>
      <c r="Y442" s="1" t="str">
        <f t="shared" si="12"/>
        <v>Mar</v>
      </c>
      <c r="Z442" s="1" t="str">
        <f t="shared" si="13"/>
        <v>2025</v>
      </c>
      <c r="AA442" t="b">
        <v>1</v>
      </c>
      <c r="AB442" t="b">
        <v>0</v>
      </c>
      <c r="AC442" t="s">
        <v>52</v>
      </c>
      <c r="AD442" t="s">
        <v>53</v>
      </c>
      <c r="AE442">
        <v>5</v>
      </c>
    </row>
    <row r="443" spans="1:31" x14ac:dyDescent="0.3">
      <c r="A443" t="s">
        <v>967</v>
      </c>
      <c r="B443">
        <v>25</v>
      </c>
      <c r="C443" t="str" cm="1">
        <f t="array" ref="C443">_xlfn.IFS(B443&lt;=18,"0-18",B443&lt;=29,"19-29",B443&gt;=49,"30-49",B443&gt;=69,"50-69",TRUE,"70+")</f>
        <v>19-29</v>
      </c>
      <c r="D443" t="s">
        <v>43</v>
      </c>
      <c r="E443" t="s">
        <v>30</v>
      </c>
      <c r="F443" t="s">
        <v>55</v>
      </c>
      <c r="G443" t="s">
        <v>45</v>
      </c>
      <c r="H443" t="s">
        <v>44</v>
      </c>
      <c r="I443" t="s">
        <v>968</v>
      </c>
      <c r="J443" t="s">
        <v>98</v>
      </c>
      <c r="K443" s="2">
        <v>85.57</v>
      </c>
      <c r="L443">
        <v>12</v>
      </c>
      <c r="M443" t="s">
        <v>48</v>
      </c>
      <c r="N443">
        <v>2</v>
      </c>
      <c r="O443">
        <v>1</v>
      </c>
      <c r="P443">
        <v>1</v>
      </c>
      <c r="Q443" t="s">
        <v>59</v>
      </c>
      <c r="R443" t="s">
        <v>85</v>
      </c>
      <c r="S443">
        <v>2</v>
      </c>
      <c r="T443">
        <v>4</v>
      </c>
      <c r="U443" t="s">
        <v>49</v>
      </c>
      <c r="V443" t="s">
        <v>38</v>
      </c>
      <c r="W443" t="s">
        <v>61</v>
      </c>
      <c r="X443" s="3">
        <v>45735</v>
      </c>
      <c r="Y443" s="1" t="str">
        <f t="shared" si="12"/>
        <v>Mar</v>
      </c>
      <c r="Z443" s="1" t="str">
        <f t="shared" si="13"/>
        <v>2025</v>
      </c>
      <c r="AA443" t="b">
        <v>1</v>
      </c>
      <c r="AB443" t="b">
        <v>1</v>
      </c>
      <c r="AC443" t="s">
        <v>74</v>
      </c>
      <c r="AD443" t="s">
        <v>41</v>
      </c>
      <c r="AE443">
        <v>9</v>
      </c>
    </row>
    <row r="444" spans="1:31" x14ac:dyDescent="0.3">
      <c r="A444" t="s">
        <v>969</v>
      </c>
      <c r="B444">
        <v>44</v>
      </c>
      <c r="C444" t="str" cm="1">
        <f t="array" ref="C444">_xlfn.IFS(B444&lt;=18,"0-18",B444&lt;=29,"19-29",B444&gt;=49,"30-49",B444&gt;=69,"50-69",TRUE,"70+")</f>
        <v>70+</v>
      </c>
      <c r="D444" t="s">
        <v>88</v>
      </c>
      <c r="E444" t="s">
        <v>30</v>
      </c>
      <c r="F444" t="s">
        <v>55</v>
      </c>
      <c r="G444" t="s">
        <v>56</v>
      </c>
      <c r="H444" t="s">
        <v>30</v>
      </c>
      <c r="I444" t="s">
        <v>970</v>
      </c>
      <c r="J444" t="s">
        <v>188</v>
      </c>
      <c r="K444" s="2">
        <v>108.5</v>
      </c>
      <c r="L444">
        <v>11</v>
      </c>
      <c r="M444" t="s">
        <v>35</v>
      </c>
      <c r="N444">
        <v>5</v>
      </c>
      <c r="O444">
        <v>5</v>
      </c>
      <c r="P444">
        <v>0</v>
      </c>
      <c r="Q444" t="s">
        <v>36</v>
      </c>
      <c r="R444" t="s">
        <v>85</v>
      </c>
      <c r="S444">
        <v>1</v>
      </c>
      <c r="T444">
        <v>2</v>
      </c>
      <c r="U444" t="s">
        <v>49</v>
      </c>
      <c r="V444" t="s">
        <v>60</v>
      </c>
      <c r="W444" t="s">
        <v>51</v>
      </c>
      <c r="X444" s="3">
        <v>45736</v>
      </c>
      <c r="Y444" s="1" t="str">
        <f t="shared" si="12"/>
        <v>Mar</v>
      </c>
      <c r="Z444" s="1" t="str">
        <f t="shared" si="13"/>
        <v>2025</v>
      </c>
      <c r="AA444" t="b">
        <v>0</v>
      </c>
      <c r="AB444" t="b">
        <v>0</v>
      </c>
      <c r="AC444" t="s">
        <v>52</v>
      </c>
      <c r="AD444" t="s">
        <v>41</v>
      </c>
      <c r="AE444">
        <v>10</v>
      </c>
    </row>
    <row r="445" spans="1:31" x14ac:dyDescent="0.3">
      <c r="A445" t="s">
        <v>971</v>
      </c>
      <c r="B445">
        <v>26</v>
      </c>
      <c r="C445" t="str" cm="1">
        <f t="array" ref="C445">_xlfn.IFS(B445&lt;=18,"0-18",B445&lt;=29,"19-29",B445&gt;=49,"30-49",B445&gt;=69,"50-69",TRUE,"70+")</f>
        <v>19-29</v>
      </c>
      <c r="D445" t="s">
        <v>43</v>
      </c>
      <c r="E445" t="s">
        <v>30</v>
      </c>
      <c r="F445" t="s">
        <v>76</v>
      </c>
      <c r="G445" t="s">
        <v>32</v>
      </c>
      <c r="H445" t="s">
        <v>30</v>
      </c>
      <c r="I445" t="s">
        <v>972</v>
      </c>
      <c r="J445" t="s">
        <v>47</v>
      </c>
      <c r="K445" s="2">
        <v>172.5</v>
      </c>
      <c r="L445">
        <v>8</v>
      </c>
      <c r="M445" t="s">
        <v>78</v>
      </c>
      <c r="N445">
        <v>1</v>
      </c>
      <c r="O445">
        <v>3</v>
      </c>
      <c r="P445">
        <v>0</v>
      </c>
      <c r="Q445" t="s">
        <v>49</v>
      </c>
      <c r="R445" t="s">
        <v>37</v>
      </c>
      <c r="S445">
        <v>0</v>
      </c>
      <c r="T445">
        <v>8</v>
      </c>
      <c r="U445" t="s">
        <v>59</v>
      </c>
      <c r="V445" t="s">
        <v>79</v>
      </c>
      <c r="W445" t="s">
        <v>39</v>
      </c>
      <c r="X445" s="3">
        <v>45737</v>
      </c>
      <c r="Y445" s="1" t="str">
        <f t="shared" si="12"/>
        <v>Mar</v>
      </c>
      <c r="Z445" s="1" t="str">
        <f t="shared" si="13"/>
        <v>2025</v>
      </c>
      <c r="AA445" t="b">
        <v>1</v>
      </c>
      <c r="AB445" t="b">
        <v>0</v>
      </c>
      <c r="AC445" t="s">
        <v>62</v>
      </c>
      <c r="AD445" t="s">
        <v>41</v>
      </c>
      <c r="AE445">
        <v>7</v>
      </c>
    </row>
    <row r="446" spans="1:31" x14ac:dyDescent="0.3">
      <c r="A446" t="s">
        <v>973</v>
      </c>
      <c r="B446">
        <v>18</v>
      </c>
      <c r="C446" t="str" cm="1">
        <f t="array" ref="C446">_xlfn.IFS(B446&lt;=18,"0-18",B446&lt;=29,"19-29",B446&gt;=49,"30-49",B446&gt;=69,"50-69",TRUE,"70+")</f>
        <v>0-18</v>
      </c>
      <c r="D446" t="s">
        <v>29</v>
      </c>
      <c r="E446" t="s">
        <v>44</v>
      </c>
      <c r="F446" t="s">
        <v>55</v>
      </c>
      <c r="G446" t="s">
        <v>45</v>
      </c>
      <c r="H446" t="s">
        <v>30</v>
      </c>
      <c r="I446" t="s">
        <v>974</v>
      </c>
      <c r="J446" t="s">
        <v>117</v>
      </c>
      <c r="K446" s="2">
        <v>212.8</v>
      </c>
      <c r="L446">
        <v>6</v>
      </c>
      <c r="M446" t="s">
        <v>35</v>
      </c>
      <c r="N446">
        <v>3</v>
      </c>
      <c r="O446">
        <v>2</v>
      </c>
      <c r="P446">
        <v>2</v>
      </c>
      <c r="Q446" t="s">
        <v>36</v>
      </c>
      <c r="R446" t="s">
        <v>85</v>
      </c>
      <c r="S446">
        <v>1</v>
      </c>
      <c r="T446">
        <v>7</v>
      </c>
      <c r="U446" t="s">
        <v>44</v>
      </c>
      <c r="V446" t="s">
        <v>38</v>
      </c>
      <c r="W446" t="s">
        <v>39</v>
      </c>
      <c r="X446" s="3">
        <v>45738</v>
      </c>
      <c r="Y446" s="1" t="str">
        <f t="shared" si="12"/>
        <v>Mar</v>
      </c>
      <c r="Z446" s="1" t="str">
        <f t="shared" si="13"/>
        <v>2025</v>
      </c>
      <c r="AA446" t="b">
        <v>1</v>
      </c>
      <c r="AB446" t="b">
        <v>1</v>
      </c>
      <c r="AC446" t="s">
        <v>74</v>
      </c>
      <c r="AD446" t="s">
        <v>53</v>
      </c>
      <c r="AE446">
        <v>1</v>
      </c>
    </row>
    <row r="447" spans="1:31" x14ac:dyDescent="0.3">
      <c r="A447" t="s">
        <v>975</v>
      </c>
      <c r="B447">
        <v>47</v>
      </c>
      <c r="C447" t="str" cm="1">
        <f t="array" ref="C447">_xlfn.IFS(B447&lt;=18,"0-18",B447&lt;=29,"19-29",B447&gt;=49,"30-49",B447&gt;=69,"50-69",TRUE,"70+")</f>
        <v>70+</v>
      </c>
      <c r="D447" t="s">
        <v>29</v>
      </c>
      <c r="E447" t="s">
        <v>30</v>
      </c>
      <c r="F447" t="s">
        <v>31</v>
      </c>
      <c r="G447" t="s">
        <v>32</v>
      </c>
      <c r="H447" t="s">
        <v>44</v>
      </c>
      <c r="I447" t="s">
        <v>976</v>
      </c>
      <c r="J447" t="s">
        <v>123</v>
      </c>
      <c r="K447" s="2">
        <v>324.41000000000003</v>
      </c>
      <c r="L447">
        <v>7</v>
      </c>
      <c r="M447" t="s">
        <v>35</v>
      </c>
      <c r="N447">
        <v>4</v>
      </c>
      <c r="O447">
        <v>4</v>
      </c>
      <c r="P447">
        <v>1</v>
      </c>
      <c r="Q447" t="s">
        <v>36</v>
      </c>
      <c r="R447" t="s">
        <v>50</v>
      </c>
      <c r="S447">
        <v>0</v>
      </c>
      <c r="T447">
        <v>5</v>
      </c>
      <c r="U447" t="s">
        <v>49</v>
      </c>
      <c r="V447" t="s">
        <v>38</v>
      </c>
      <c r="W447" t="s">
        <v>61</v>
      </c>
      <c r="X447" s="3">
        <v>45739</v>
      </c>
      <c r="Y447" s="1" t="str">
        <f t="shared" si="12"/>
        <v>Mar</v>
      </c>
      <c r="Z447" s="1" t="str">
        <f t="shared" si="13"/>
        <v>2025</v>
      </c>
      <c r="AA447" t="b">
        <v>1</v>
      </c>
      <c r="AB447" t="b">
        <v>1</v>
      </c>
      <c r="AC447" t="s">
        <v>40</v>
      </c>
      <c r="AD447" t="s">
        <v>41</v>
      </c>
      <c r="AE447">
        <v>4</v>
      </c>
    </row>
    <row r="448" spans="1:31" x14ac:dyDescent="0.3">
      <c r="A448" t="s">
        <v>977</v>
      </c>
      <c r="B448">
        <v>36</v>
      </c>
      <c r="C448" t="str" cm="1">
        <f t="array" ref="C448">_xlfn.IFS(B448&lt;=18,"0-18",B448&lt;=29,"19-29",B448&gt;=49,"30-49",B448&gt;=69,"50-69",TRUE,"70+")</f>
        <v>70+</v>
      </c>
      <c r="D448" t="s">
        <v>43</v>
      </c>
      <c r="E448" t="s">
        <v>44</v>
      </c>
      <c r="F448" t="s">
        <v>69</v>
      </c>
      <c r="G448" t="s">
        <v>45</v>
      </c>
      <c r="H448" t="s">
        <v>30</v>
      </c>
      <c r="I448" t="s">
        <v>978</v>
      </c>
      <c r="J448" t="s">
        <v>194</v>
      </c>
      <c r="K448" s="2">
        <v>342.39</v>
      </c>
      <c r="L448">
        <v>8</v>
      </c>
      <c r="M448" t="s">
        <v>48</v>
      </c>
      <c r="N448">
        <v>1</v>
      </c>
      <c r="O448">
        <v>5</v>
      </c>
      <c r="P448">
        <v>2</v>
      </c>
      <c r="Q448" t="s">
        <v>59</v>
      </c>
      <c r="R448" t="s">
        <v>85</v>
      </c>
      <c r="S448">
        <v>2</v>
      </c>
      <c r="T448">
        <v>3</v>
      </c>
      <c r="U448" t="s">
        <v>44</v>
      </c>
      <c r="V448" t="s">
        <v>79</v>
      </c>
      <c r="W448" t="s">
        <v>66</v>
      </c>
      <c r="X448" s="3">
        <v>45740</v>
      </c>
      <c r="Y448" s="1" t="str">
        <f t="shared" si="12"/>
        <v>Mar</v>
      </c>
      <c r="Z448" s="1" t="str">
        <f t="shared" si="13"/>
        <v>2025</v>
      </c>
      <c r="AA448" t="b">
        <v>0</v>
      </c>
      <c r="AB448" t="b">
        <v>0</v>
      </c>
      <c r="AC448" t="s">
        <v>40</v>
      </c>
      <c r="AD448" t="s">
        <v>53</v>
      </c>
      <c r="AE448">
        <v>9</v>
      </c>
    </row>
    <row r="449" spans="1:31" x14ac:dyDescent="0.3">
      <c r="A449" t="s">
        <v>979</v>
      </c>
      <c r="B449">
        <v>23</v>
      </c>
      <c r="C449" t="str" cm="1">
        <f t="array" ref="C449">_xlfn.IFS(B449&lt;=18,"0-18",B449&lt;=29,"19-29",B449&gt;=49,"30-49",B449&gt;=69,"50-69",TRUE,"70+")</f>
        <v>19-29</v>
      </c>
      <c r="D449" t="s">
        <v>29</v>
      </c>
      <c r="E449" t="s">
        <v>44</v>
      </c>
      <c r="F449" t="s">
        <v>76</v>
      </c>
      <c r="G449" t="s">
        <v>32</v>
      </c>
      <c r="H449" t="s">
        <v>44</v>
      </c>
      <c r="I449" t="s">
        <v>980</v>
      </c>
      <c r="J449" t="s">
        <v>104</v>
      </c>
      <c r="K449" s="2">
        <v>446.86</v>
      </c>
      <c r="L449">
        <v>9</v>
      </c>
      <c r="M449" t="s">
        <v>48</v>
      </c>
      <c r="N449">
        <v>2</v>
      </c>
      <c r="O449">
        <v>1</v>
      </c>
      <c r="P449">
        <v>2</v>
      </c>
      <c r="Q449" t="s">
        <v>36</v>
      </c>
      <c r="R449" t="s">
        <v>85</v>
      </c>
      <c r="S449">
        <v>0</v>
      </c>
      <c r="T449">
        <v>2</v>
      </c>
      <c r="U449" t="s">
        <v>49</v>
      </c>
      <c r="V449" t="s">
        <v>79</v>
      </c>
      <c r="W449" t="s">
        <v>51</v>
      </c>
      <c r="X449" s="3">
        <v>45741</v>
      </c>
      <c r="Y449" s="1" t="str">
        <f t="shared" si="12"/>
        <v>Mar</v>
      </c>
      <c r="Z449" s="1" t="str">
        <f t="shared" si="13"/>
        <v>2025</v>
      </c>
      <c r="AA449" t="b">
        <v>0</v>
      </c>
      <c r="AB449" t="b">
        <v>0</v>
      </c>
      <c r="AC449" t="s">
        <v>52</v>
      </c>
      <c r="AD449" t="s">
        <v>41</v>
      </c>
      <c r="AE449">
        <v>5</v>
      </c>
    </row>
    <row r="450" spans="1:31" x14ac:dyDescent="0.3">
      <c r="A450" t="s">
        <v>981</v>
      </c>
      <c r="B450">
        <v>49</v>
      </c>
      <c r="C450" t="str" cm="1">
        <f t="array" ref="C450">_xlfn.IFS(B450&lt;=18,"0-18",B450&lt;=29,"19-29",B450&gt;=49,"30-49",B450&gt;=69,"50-69",TRUE,"70+")</f>
        <v>30-49</v>
      </c>
      <c r="D450" t="s">
        <v>43</v>
      </c>
      <c r="E450" t="s">
        <v>44</v>
      </c>
      <c r="F450" t="s">
        <v>76</v>
      </c>
      <c r="G450" t="s">
        <v>56</v>
      </c>
      <c r="H450" t="s">
        <v>44</v>
      </c>
      <c r="I450" t="s">
        <v>982</v>
      </c>
      <c r="J450" t="s">
        <v>117</v>
      </c>
      <c r="K450" s="2">
        <v>463.15</v>
      </c>
      <c r="L450">
        <v>3</v>
      </c>
      <c r="M450" t="s">
        <v>35</v>
      </c>
      <c r="N450">
        <v>1</v>
      </c>
      <c r="O450">
        <v>1</v>
      </c>
      <c r="P450">
        <v>1</v>
      </c>
      <c r="Q450" t="s">
        <v>36</v>
      </c>
      <c r="R450" t="s">
        <v>37</v>
      </c>
      <c r="S450">
        <v>1</v>
      </c>
      <c r="T450">
        <v>9</v>
      </c>
      <c r="U450" t="s">
        <v>44</v>
      </c>
      <c r="V450" t="s">
        <v>60</v>
      </c>
      <c r="W450" t="s">
        <v>61</v>
      </c>
      <c r="X450" s="3">
        <v>45742</v>
      </c>
      <c r="Y450" s="1" t="str">
        <f t="shared" si="12"/>
        <v>Mar</v>
      </c>
      <c r="Z450" s="1" t="str">
        <f t="shared" si="13"/>
        <v>2025</v>
      </c>
      <c r="AA450" t="b">
        <v>1</v>
      </c>
      <c r="AB450" t="b">
        <v>1</v>
      </c>
      <c r="AC450" t="s">
        <v>40</v>
      </c>
      <c r="AD450" t="s">
        <v>53</v>
      </c>
      <c r="AE450">
        <v>9</v>
      </c>
    </row>
    <row r="451" spans="1:31" x14ac:dyDescent="0.3">
      <c r="A451" t="s">
        <v>983</v>
      </c>
      <c r="B451">
        <v>27</v>
      </c>
      <c r="C451" t="str" cm="1">
        <f t="array" ref="C451">_xlfn.IFS(B451&lt;=18,"0-18",B451&lt;=29,"19-29",B451&gt;=49,"30-49",B451&gt;=69,"50-69",TRUE,"70+")</f>
        <v>19-29</v>
      </c>
      <c r="D451" t="s">
        <v>29</v>
      </c>
      <c r="E451" t="s">
        <v>44</v>
      </c>
      <c r="F451" t="s">
        <v>76</v>
      </c>
      <c r="G451" t="s">
        <v>32</v>
      </c>
      <c r="H451" t="s">
        <v>44</v>
      </c>
      <c r="I451" t="s">
        <v>984</v>
      </c>
      <c r="J451" t="s">
        <v>158</v>
      </c>
      <c r="K451" s="2">
        <v>122.99</v>
      </c>
      <c r="L451">
        <v>12</v>
      </c>
      <c r="M451" t="s">
        <v>48</v>
      </c>
      <c r="N451">
        <v>1</v>
      </c>
      <c r="O451">
        <v>5</v>
      </c>
      <c r="P451">
        <v>1</v>
      </c>
      <c r="Q451" t="s">
        <v>44</v>
      </c>
      <c r="R451" t="s">
        <v>85</v>
      </c>
      <c r="S451">
        <v>1</v>
      </c>
      <c r="T451">
        <v>8</v>
      </c>
      <c r="U451" t="s">
        <v>36</v>
      </c>
      <c r="V451" t="s">
        <v>79</v>
      </c>
      <c r="W451" t="s">
        <v>86</v>
      </c>
      <c r="X451" s="3">
        <v>45743</v>
      </c>
      <c r="Y451" s="1" t="str">
        <f t="shared" ref="Y451:Y514" si="14">TEXT(X451,"mmm")</f>
        <v>Mar</v>
      </c>
      <c r="Z451" s="1" t="str">
        <f t="shared" ref="Z451:Z514" si="15">TEXT(X451,"yyyy")</f>
        <v>2025</v>
      </c>
      <c r="AA451" t="b">
        <v>1</v>
      </c>
      <c r="AB451" t="b">
        <v>0</v>
      </c>
      <c r="AC451" t="s">
        <v>74</v>
      </c>
      <c r="AD451" t="s">
        <v>41</v>
      </c>
      <c r="AE451">
        <v>1</v>
      </c>
    </row>
    <row r="452" spans="1:31" x14ac:dyDescent="0.3">
      <c r="A452" t="s">
        <v>985</v>
      </c>
      <c r="B452">
        <v>43</v>
      </c>
      <c r="C452" t="str" cm="1">
        <f t="array" ref="C452">_xlfn.IFS(B452&lt;=18,"0-18",B452&lt;=29,"19-29",B452&gt;=49,"30-49",B452&gt;=69,"50-69",TRUE,"70+")</f>
        <v>70+</v>
      </c>
      <c r="D452" t="s">
        <v>43</v>
      </c>
      <c r="E452" t="s">
        <v>44</v>
      </c>
      <c r="F452" t="s">
        <v>69</v>
      </c>
      <c r="G452" t="s">
        <v>56</v>
      </c>
      <c r="H452" t="s">
        <v>44</v>
      </c>
      <c r="I452" t="s">
        <v>986</v>
      </c>
      <c r="J452" t="s">
        <v>188</v>
      </c>
      <c r="K452" s="2">
        <v>322.39999999999998</v>
      </c>
      <c r="L452">
        <v>7</v>
      </c>
      <c r="M452" t="s">
        <v>35</v>
      </c>
      <c r="N452">
        <v>4</v>
      </c>
      <c r="O452">
        <v>2</v>
      </c>
      <c r="P452">
        <v>1</v>
      </c>
      <c r="Q452" t="s">
        <v>49</v>
      </c>
      <c r="R452" t="s">
        <v>85</v>
      </c>
      <c r="S452">
        <v>2</v>
      </c>
      <c r="T452">
        <v>3</v>
      </c>
      <c r="U452" t="s">
        <v>49</v>
      </c>
      <c r="V452" t="s">
        <v>38</v>
      </c>
      <c r="W452" t="s">
        <v>86</v>
      </c>
      <c r="X452" s="3">
        <v>45744</v>
      </c>
      <c r="Y452" s="1" t="str">
        <f t="shared" si="14"/>
        <v>Mar</v>
      </c>
      <c r="Z452" s="1" t="str">
        <f t="shared" si="15"/>
        <v>2025</v>
      </c>
      <c r="AA452" t="b">
        <v>1</v>
      </c>
      <c r="AB452" t="b">
        <v>1</v>
      </c>
      <c r="AC452" t="s">
        <v>40</v>
      </c>
      <c r="AD452" t="s">
        <v>67</v>
      </c>
      <c r="AE452">
        <v>2</v>
      </c>
    </row>
    <row r="453" spans="1:31" x14ac:dyDescent="0.3">
      <c r="A453" t="s">
        <v>987</v>
      </c>
      <c r="B453">
        <v>19</v>
      </c>
      <c r="C453" t="str" cm="1">
        <f t="array" ref="C453">_xlfn.IFS(B453&lt;=18,"0-18",B453&lt;=29,"19-29",B453&gt;=49,"30-49",B453&gt;=69,"50-69",TRUE,"70+")</f>
        <v>19-29</v>
      </c>
      <c r="D453" t="s">
        <v>29</v>
      </c>
      <c r="E453" t="s">
        <v>44</v>
      </c>
      <c r="F453" t="s">
        <v>31</v>
      </c>
      <c r="G453" t="s">
        <v>45</v>
      </c>
      <c r="H453" t="s">
        <v>30</v>
      </c>
      <c r="I453" t="s">
        <v>988</v>
      </c>
      <c r="J453" t="s">
        <v>104</v>
      </c>
      <c r="K453" s="2">
        <v>73.19</v>
      </c>
      <c r="L453">
        <v>5</v>
      </c>
      <c r="M453" t="s">
        <v>35</v>
      </c>
      <c r="N453">
        <v>2</v>
      </c>
      <c r="O453">
        <v>5</v>
      </c>
      <c r="P453">
        <v>1</v>
      </c>
      <c r="Q453" t="s">
        <v>59</v>
      </c>
      <c r="R453" t="s">
        <v>50</v>
      </c>
      <c r="S453">
        <v>2</v>
      </c>
      <c r="T453">
        <v>8</v>
      </c>
      <c r="U453" t="s">
        <v>44</v>
      </c>
      <c r="V453" t="s">
        <v>60</v>
      </c>
      <c r="W453" t="s">
        <v>51</v>
      </c>
      <c r="X453" s="3">
        <v>45745</v>
      </c>
      <c r="Y453" s="1" t="str">
        <f t="shared" si="14"/>
        <v>Mar</v>
      </c>
      <c r="Z453" s="1" t="str">
        <f t="shared" si="15"/>
        <v>2025</v>
      </c>
      <c r="AA453" t="b">
        <v>0</v>
      </c>
      <c r="AB453" t="b">
        <v>1</v>
      </c>
      <c r="AC453" t="s">
        <v>40</v>
      </c>
      <c r="AD453" t="s">
        <v>41</v>
      </c>
      <c r="AE453">
        <v>3</v>
      </c>
    </row>
    <row r="454" spans="1:31" x14ac:dyDescent="0.3">
      <c r="A454" t="s">
        <v>989</v>
      </c>
      <c r="B454">
        <v>41</v>
      </c>
      <c r="C454" t="str" cm="1">
        <f t="array" ref="C454">_xlfn.IFS(B454&lt;=18,"0-18",B454&lt;=29,"19-29",B454&gt;=49,"30-49",B454&gt;=69,"50-69",TRUE,"70+")</f>
        <v>70+</v>
      </c>
      <c r="D454" t="s">
        <v>29</v>
      </c>
      <c r="E454" t="s">
        <v>30</v>
      </c>
      <c r="F454" t="s">
        <v>31</v>
      </c>
      <c r="G454" t="s">
        <v>56</v>
      </c>
      <c r="H454" t="s">
        <v>44</v>
      </c>
      <c r="I454" t="s">
        <v>856</v>
      </c>
      <c r="J454" t="s">
        <v>126</v>
      </c>
      <c r="K454" s="2">
        <v>279.08</v>
      </c>
      <c r="L454">
        <v>10</v>
      </c>
      <c r="M454" t="s">
        <v>78</v>
      </c>
      <c r="N454">
        <v>4</v>
      </c>
      <c r="O454">
        <v>2</v>
      </c>
      <c r="P454">
        <v>1</v>
      </c>
      <c r="Q454" t="s">
        <v>44</v>
      </c>
      <c r="R454" t="s">
        <v>50</v>
      </c>
      <c r="S454">
        <v>2</v>
      </c>
      <c r="T454">
        <v>7</v>
      </c>
      <c r="U454" t="s">
        <v>49</v>
      </c>
      <c r="V454" t="s">
        <v>60</v>
      </c>
      <c r="W454" t="s">
        <v>39</v>
      </c>
      <c r="X454" s="3">
        <v>45746</v>
      </c>
      <c r="Y454" s="1" t="str">
        <f t="shared" si="14"/>
        <v>Mar</v>
      </c>
      <c r="Z454" s="1" t="str">
        <f t="shared" si="15"/>
        <v>2025</v>
      </c>
      <c r="AA454" t="b">
        <v>0</v>
      </c>
      <c r="AB454" t="b">
        <v>1</v>
      </c>
      <c r="AC454" t="s">
        <v>52</v>
      </c>
      <c r="AD454" t="s">
        <v>41</v>
      </c>
      <c r="AE454">
        <v>3</v>
      </c>
    </row>
    <row r="455" spans="1:31" x14ac:dyDescent="0.3">
      <c r="A455" t="s">
        <v>990</v>
      </c>
      <c r="B455">
        <v>29</v>
      </c>
      <c r="C455" t="str" cm="1">
        <f t="array" ref="C455">_xlfn.IFS(B455&lt;=18,"0-18",B455&lt;=29,"19-29",B455&gt;=49,"30-49",B455&gt;=69,"50-69",TRUE,"70+")</f>
        <v>19-29</v>
      </c>
      <c r="D455" t="s">
        <v>29</v>
      </c>
      <c r="E455" t="s">
        <v>30</v>
      </c>
      <c r="F455" t="s">
        <v>55</v>
      </c>
      <c r="G455" t="s">
        <v>45</v>
      </c>
      <c r="H455" t="s">
        <v>30</v>
      </c>
      <c r="I455" t="s">
        <v>991</v>
      </c>
      <c r="J455" t="s">
        <v>194</v>
      </c>
      <c r="K455" s="2">
        <v>478.85</v>
      </c>
      <c r="L455">
        <v>10</v>
      </c>
      <c r="M455" t="s">
        <v>48</v>
      </c>
      <c r="N455">
        <v>4</v>
      </c>
      <c r="O455">
        <v>2</v>
      </c>
      <c r="P455">
        <v>2</v>
      </c>
      <c r="Q455" t="s">
        <v>36</v>
      </c>
      <c r="R455" t="s">
        <v>50</v>
      </c>
      <c r="S455">
        <v>2</v>
      </c>
      <c r="T455">
        <v>2</v>
      </c>
      <c r="U455" t="s">
        <v>36</v>
      </c>
      <c r="V455" t="s">
        <v>79</v>
      </c>
      <c r="W455" t="s">
        <v>86</v>
      </c>
      <c r="X455" s="3">
        <v>45747</v>
      </c>
      <c r="Y455" s="1" t="str">
        <f t="shared" si="14"/>
        <v>Mar</v>
      </c>
      <c r="Z455" s="1" t="str">
        <f t="shared" si="15"/>
        <v>2025</v>
      </c>
      <c r="AA455" t="b">
        <v>0</v>
      </c>
      <c r="AB455" t="b">
        <v>0</v>
      </c>
      <c r="AC455" t="s">
        <v>74</v>
      </c>
      <c r="AD455" t="s">
        <v>41</v>
      </c>
      <c r="AE455">
        <v>4</v>
      </c>
    </row>
    <row r="456" spans="1:31" x14ac:dyDescent="0.3">
      <c r="A456" t="s">
        <v>992</v>
      </c>
      <c r="B456">
        <v>25</v>
      </c>
      <c r="C456" t="str" cm="1">
        <f t="array" ref="C456">_xlfn.IFS(B456&lt;=18,"0-18",B456&lt;=29,"19-29",B456&gt;=49,"30-49",B456&gt;=69,"50-69",TRUE,"70+")</f>
        <v>19-29</v>
      </c>
      <c r="D456" t="s">
        <v>43</v>
      </c>
      <c r="E456" t="s">
        <v>44</v>
      </c>
      <c r="F456" t="s">
        <v>69</v>
      </c>
      <c r="G456" t="s">
        <v>56</v>
      </c>
      <c r="H456" t="s">
        <v>44</v>
      </c>
      <c r="I456" t="s">
        <v>993</v>
      </c>
      <c r="J456" t="s">
        <v>47</v>
      </c>
      <c r="K456" s="2">
        <v>86.39</v>
      </c>
      <c r="L456">
        <v>5</v>
      </c>
      <c r="M456" t="s">
        <v>35</v>
      </c>
      <c r="N456">
        <v>4</v>
      </c>
      <c r="O456">
        <v>5</v>
      </c>
      <c r="P456">
        <v>1</v>
      </c>
      <c r="Q456" t="s">
        <v>44</v>
      </c>
      <c r="R456" t="s">
        <v>37</v>
      </c>
      <c r="S456">
        <v>1</v>
      </c>
      <c r="T456">
        <v>1</v>
      </c>
      <c r="U456" t="s">
        <v>49</v>
      </c>
      <c r="V456" t="s">
        <v>79</v>
      </c>
      <c r="W456" t="s">
        <v>61</v>
      </c>
      <c r="X456" s="3">
        <v>45748</v>
      </c>
      <c r="Y456" s="1" t="str">
        <f t="shared" si="14"/>
        <v>Apr</v>
      </c>
      <c r="Z456" s="1" t="str">
        <f t="shared" si="15"/>
        <v>2025</v>
      </c>
      <c r="AA456" t="b">
        <v>0</v>
      </c>
      <c r="AB456" t="b">
        <v>0</v>
      </c>
      <c r="AC456" t="s">
        <v>40</v>
      </c>
      <c r="AD456" t="s">
        <v>53</v>
      </c>
      <c r="AE456">
        <v>7</v>
      </c>
    </row>
    <row r="457" spans="1:31" x14ac:dyDescent="0.3">
      <c r="A457" t="s">
        <v>994</v>
      </c>
      <c r="B457">
        <v>45</v>
      </c>
      <c r="C457" t="str" cm="1">
        <f t="array" ref="C457">_xlfn.IFS(B457&lt;=18,"0-18",B457&lt;=29,"19-29",B457&gt;=49,"30-49",B457&gt;=69,"50-69",TRUE,"70+")</f>
        <v>70+</v>
      </c>
      <c r="D457" t="s">
        <v>43</v>
      </c>
      <c r="E457" t="s">
        <v>44</v>
      </c>
      <c r="F457" t="s">
        <v>69</v>
      </c>
      <c r="G457" t="s">
        <v>32</v>
      </c>
      <c r="H457" t="s">
        <v>30</v>
      </c>
      <c r="I457" t="s">
        <v>995</v>
      </c>
      <c r="J457" t="s">
        <v>123</v>
      </c>
      <c r="K457" s="2">
        <v>192.35</v>
      </c>
      <c r="L457">
        <v>11</v>
      </c>
      <c r="M457" t="s">
        <v>35</v>
      </c>
      <c r="N457">
        <v>3</v>
      </c>
      <c r="O457">
        <v>5</v>
      </c>
      <c r="P457">
        <v>2</v>
      </c>
      <c r="Q457" t="s">
        <v>44</v>
      </c>
      <c r="R457" t="s">
        <v>50</v>
      </c>
      <c r="S457">
        <v>2</v>
      </c>
      <c r="T457">
        <v>1</v>
      </c>
      <c r="U457" t="s">
        <v>44</v>
      </c>
      <c r="V457" t="s">
        <v>60</v>
      </c>
      <c r="W457" t="s">
        <v>39</v>
      </c>
      <c r="X457" s="3">
        <v>45749</v>
      </c>
      <c r="Y457" s="1" t="str">
        <f t="shared" si="14"/>
        <v>Apr</v>
      </c>
      <c r="Z457" s="1" t="str">
        <f t="shared" si="15"/>
        <v>2025</v>
      </c>
      <c r="AA457" t="b">
        <v>1</v>
      </c>
      <c r="AB457" t="b">
        <v>0</v>
      </c>
      <c r="AC457" t="s">
        <v>62</v>
      </c>
      <c r="AD457" t="s">
        <v>67</v>
      </c>
      <c r="AE457">
        <v>11</v>
      </c>
    </row>
    <row r="458" spans="1:31" x14ac:dyDescent="0.3">
      <c r="A458" t="s">
        <v>996</v>
      </c>
      <c r="B458">
        <v>36</v>
      </c>
      <c r="C458" t="str" cm="1">
        <f t="array" ref="C458">_xlfn.IFS(B458&lt;=18,"0-18",B458&lt;=29,"19-29",B458&gt;=49,"30-49",B458&gt;=69,"50-69",TRUE,"70+")</f>
        <v>70+</v>
      </c>
      <c r="D458" t="s">
        <v>29</v>
      </c>
      <c r="E458" t="s">
        <v>30</v>
      </c>
      <c r="F458" t="s">
        <v>76</v>
      </c>
      <c r="G458" t="s">
        <v>32</v>
      </c>
      <c r="H458" t="s">
        <v>44</v>
      </c>
      <c r="I458" t="s">
        <v>997</v>
      </c>
      <c r="J458" t="s">
        <v>188</v>
      </c>
      <c r="K458" s="2">
        <v>235.32</v>
      </c>
      <c r="L458">
        <v>7</v>
      </c>
      <c r="M458" t="s">
        <v>78</v>
      </c>
      <c r="N458">
        <v>2</v>
      </c>
      <c r="O458">
        <v>1</v>
      </c>
      <c r="P458">
        <v>1</v>
      </c>
      <c r="Q458" t="s">
        <v>49</v>
      </c>
      <c r="R458" t="s">
        <v>85</v>
      </c>
      <c r="S458">
        <v>1</v>
      </c>
      <c r="T458">
        <v>10</v>
      </c>
      <c r="U458" t="s">
        <v>44</v>
      </c>
      <c r="V458" t="s">
        <v>79</v>
      </c>
      <c r="W458" t="s">
        <v>51</v>
      </c>
      <c r="X458" s="3">
        <v>45750</v>
      </c>
      <c r="Y458" s="1" t="str">
        <f t="shared" si="14"/>
        <v>Apr</v>
      </c>
      <c r="Z458" s="1" t="str">
        <f t="shared" si="15"/>
        <v>2025</v>
      </c>
      <c r="AA458" t="b">
        <v>0</v>
      </c>
      <c r="AB458" t="b">
        <v>1</v>
      </c>
      <c r="AC458" t="s">
        <v>62</v>
      </c>
      <c r="AD458" t="s">
        <v>67</v>
      </c>
      <c r="AE458">
        <v>11</v>
      </c>
    </row>
    <row r="459" spans="1:31" x14ac:dyDescent="0.3">
      <c r="A459" t="s">
        <v>998</v>
      </c>
      <c r="B459">
        <v>21</v>
      </c>
      <c r="C459" t="str" cm="1">
        <f t="array" ref="C459">_xlfn.IFS(B459&lt;=18,"0-18",B459&lt;=29,"19-29",B459&gt;=49,"30-49",B459&gt;=69,"50-69",TRUE,"70+")</f>
        <v>19-29</v>
      </c>
      <c r="D459" t="s">
        <v>29</v>
      </c>
      <c r="E459" t="s">
        <v>44</v>
      </c>
      <c r="F459" t="s">
        <v>69</v>
      </c>
      <c r="G459" t="s">
        <v>45</v>
      </c>
      <c r="H459" t="s">
        <v>44</v>
      </c>
      <c r="I459" t="s">
        <v>999</v>
      </c>
      <c r="J459" t="s">
        <v>117</v>
      </c>
      <c r="K459" s="2">
        <v>212.63</v>
      </c>
      <c r="L459">
        <v>8</v>
      </c>
      <c r="M459" t="s">
        <v>78</v>
      </c>
      <c r="N459">
        <v>4</v>
      </c>
      <c r="O459">
        <v>2</v>
      </c>
      <c r="P459">
        <v>1</v>
      </c>
      <c r="Q459" t="s">
        <v>59</v>
      </c>
      <c r="R459" t="s">
        <v>85</v>
      </c>
      <c r="S459">
        <v>0</v>
      </c>
      <c r="T459">
        <v>4</v>
      </c>
      <c r="U459" t="s">
        <v>44</v>
      </c>
      <c r="V459" t="s">
        <v>79</v>
      </c>
      <c r="W459" t="s">
        <v>61</v>
      </c>
      <c r="X459" s="3">
        <v>45751</v>
      </c>
      <c r="Y459" s="1" t="str">
        <f t="shared" si="14"/>
        <v>Apr</v>
      </c>
      <c r="Z459" s="1" t="str">
        <f t="shared" si="15"/>
        <v>2025</v>
      </c>
      <c r="AA459" t="b">
        <v>0</v>
      </c>
      <c r="AB459" t="b">
        <v>1</v>
      </c>
      <c r="AC459" t="s">
        <v>40</v>
      </c>
      <c r="AD459" t="s">
        <v>41</v>
      </c>
      <c r="AE459">
        <v>6</v>
      </c>
    </row>
    <row r="460" spans="1:31" x14ac:dyDescent="0.3">
      <c r="A460" t="s">
        <v>1000</v>
      </c>
      <c r="B460">
        <v>47</v>
      </c>
      <c r="C460" t="str" cm="1">
        <f t="array" ref="C460">_xlfn.IFS(B460&lt;=18,"0-18",B460&lt;=29,"19-29",B460&gt;=49,"30-49",B460&gt;=69,"50-69",TRUE,"70+")</f>
        <v>70+</v>
      </c>
      <c r="D460" t="s">
        <v>29</v>
      </c>
      <c r="E460" t="s">
        <v>30</v>
      </c>
      <c r="F460" t="s">
        <v>69</v>
      </c>
      <c r="G460" t="s">
        <v>56</v>
      </c>
      <c r="H460" t="s">
        <v>44</v>
      </c>
      <c r="I460" t="s">
        <v>1001</v>
      </c>
      <c r="J460" t="s">
        <v>47</v>
      </c>
      <c r="K460" s="2">
        <v>246.63</v>
      </c>
      <c r="L460">
        <v>8</v>
      </c>
      <c r="M460" t="s">
        <v>48</v>
      </c>
      <c r="N460">
        <v>2</v>
      </c>
      <c r="O460">
        <v>3</v>
      </c>
      <c r="P460">
        <v>1</v>
      </c>
      <c r="Q460" t="s">
        <v>36</v>
      </c>
      <c r="R460" t="s">
        <v>37</v>
      </c>
      <c r="S460">
        <v>2</v>
      </c>
      <c r="T460">
        <v>3</v>
      </c>
      <c r="U460" t="s">
        <v>36</v>
      </c>
      <c r="V460" t="s">
        <v>38</v>
      </c>
      <c r="W460" t="s">
        <v>39</v>
      </c>
      <c r="X460" s="3">
        <v>45752</v>
      </c>
      <c r="Y460" s="1" t="str">
        <f t="shared" si="14"/>
        <v>Apr</v>
      </c>
      <c r="Z460" s="1" t="str">
        <f t="shared" si="15"/>
        <v>2025</v>
      </c>
      <c r="AA460" t="b">
        <v>1</v>
      </c>
      <c r="AB460" t="b">
        <v>0</v>
      </c>
      <c r="AC460" t="s">
        <v>62</v>
      </c>
      <c r="AD460" t="s">
        <v>67</v>
      </c>
      <c r="AE460">
        <v>10</v>
      </c>
    </row>
    <row r="461" spans="1:31" x14ac:dyDescent="0.3">
      <c r="A461" t="s">
        <v>1002</v>
      </c>
      <c r="B461">
        <v>26</v>
      </c>
      <c r="C461" t="str" cm="1">
        <f t="array" ref="C461">_xlfn.IFS(B461&lt;=18,"0-18",B461&lt;=29,"19-29",B461&gt;=49,"30-49",B461&gt;=69,"50-69",TRUE,"70+")</f>
        <v>19-29</v>
      </c>
      <c r="D461" t="s">
        <v>29</v>
      </c>
      <c r="E461" t="s">
        <v>30</v>
      </c>
      <c r="F461" t="s">
        <v>69</v>
      </c>
      <c r="G461" t="s">
        <v>32</v>
      </c>
      <c r="H461" t="s">
        <v>44</v>
      </c>
      <c r="I461" t="s">
        <v>256</v>
      </c>
      <c r="J461" t="s">
        <v>126</v>
      </c>
      <c r="K461" s="2">
        <v>228.47</v>
      </c>
      <c r="L461">
        <v>9</v>
      </c>
      <c r="M461" t="s">
        <v>78</v>
      </c>
      <c r="N461">
        <v>3</v>
      </c>
      <c r="O461">
        <v>3</v>
      </c>
      <c r="P461">
        <v>1</v>
      </c>
      <c r="Q461" t="s">
        <v>36</v>
      </c>
      <c r="R461" t="s">
        <v>85</v>
      </c>
      <c r="S461">
        <v>1</v>
      </c>
      <c r="T461">
        <v>7</v>
      </c>
      <c r="U461" t="s">
        <v>36</v>
      </c>
      <c r="V461" t="s">
        <v>79</v>
      </c>
      <c r="W461" t="s">
        <v>39</v>
      </c>
      <c r="X461" s="3">
        <v>45753</v>
      </c>
      <c r="Y461" s="1" t="str">
        <f t="shared" si="14"/>
        <v>Apr</v>
      </c>
      <c r="Z461" s="1" t="str">
        <f t="shared" si="15"/>
        <v>2025</v>
      </c>
      <c r="AA461" t="b">
        <v>0</v>
      </c>
      <c r="AB461" t="b">
        <v>1</v>
      </c>
      <c r="AC461" t="s">
        <v>62</v>
      </c>
      <c r="AD461" t="s">
        <v>67</v>
      </c>
      <c r="AE461">
        <v>12</v>
      </c>
    </row>
    <row r="462" spans="1:31" x14ac:dyDescent="0.3">
      <c r="A462" t="s">
        <v>1003</v>
      </c>
      <c r="B462">
        <v>25</v>
      </c>
      <c r="C462" t="str" cm="1">
        <f t="array" ref="C462">_xlfn.IFS(B462&lt;=18,"0-18",B462&lt;=29,"19-29",B462&gt;=49,"30-49",B462&gt;=69,"50-69",TRUE,"70+")</f>
        <v>19-29</v>
      </c>
      <c r="D462" t="s">
        <v>29</v>
      </c>
      <c r="E462" t="s">
        <v>30</v>
      </c>
      <c r="F462" t="s">
        <v>55</v>
      </c>
      <c r="G462" t="s">
        <v>56</v>
      </c>
      <c r="H462" t="s">
        <v>44</v>
      </c>
      <c r="I462" t="s">
        <v>1004</v>
      </c>
      <c r="J462" t="s">
        <v>34</v>
      </c>
      <c r="K462" s="2">
        <v>343.77</v>
      </c>
      <c r="L462">
        <v>6</v>
      </c>
      <c r="M462" t="s">
        <v>78</v>
      </c>
      <c r="N462">
        <v>4</v>
      </c>
      <c r="O462">
        <v>3</v>
      </c>
      <c r="P462">
        <v>2</v>
      </c>
      <c r="Q462" t="s">
        <v>59</v>
      </c>
      <c r="R462" t="s">
        <v>37</v>
      </c>
      <c r="S462">
        <v>2</v>
      </c>
      <c r="T462">
        <v>9</v>
      </c>
      <c r="U462" t="s">
        <v>44</v>
      </c>
      <c r="V462" t="s">
        <v>79</v>
      </c>
      <c r="W462" t="s">
        <v>86</v>
      </c>
      <c r="X462" s="3">
        <v>45754</v>
      </c>
      <c r="Y462" s="1" t="str">
        <f t="shared" si="14"/>
        <v>Apr</v>
      </c>
      <c r="Z462" s="1" t="str">
        <f t="shared" si="15"/>
        <v>2025</v>
      </c>
      <c r="AA462" t="b">
        <v>1</v>
      </c>
      <c r="AB462" t="b">
        <v>1</v>
      </c>
      <c r="AC462" t="s">
        <v>52</v>
      </c>
      <c r="AD462" t="s">
        <v>67</v>
      </c>
      <c r="AE462">
        <v>6</v>
      </c>
    </row>
    <row r="463" spans="1:31" x14ac:dyDescent="0.3">
      <c r="A463" t="s">
        <v>1005</v>
      </c>
      <c r="B463">
        <v>26</v>
      </c>
      <c r="C463" t="str" cm="1">
        <f t="array" ref="C463">_xlfn.IFS(B463&lt;=18,"0-18",B463&lt;=29,"19-29",B463&gt;=49,"30-49",B463&gt;=69,"50-69",TRUE,"70+")</f>
        <v>19-29</v>
      </c>
      <c r="D463" t="s">
        <v>88</v>
      </c>
      <c r="E463" t="s">
        <v>30</v>
      </c>
      <c r="F463" t="s">
        <v>31</v>
      </c>
      <c r="G463" t="s">
        <v>32</v>
      </c>
      <c r="H463" t="s">
        <v>44</v>
      </c>
      <c r="I463" t="s">
        <v>1006</v>
      </c>
      <c r="J463" t="s">
        <v>158</v>
      </c>
      <c r="K463" s="2">
        <v>339.32</v>
      </c>
      <c r="L463">
        <v>9</v>
      </c>
      <c r="M463" t="s">
        <v>48</v>
      </c>
      <c r="N463">
        <v>2</v>
      </c>
      <c r="O463">
        <v>4</v>
      </c>
      <c r="P463">
        <v>0</v>
      </c>
      <c r="Q463" t="s">
        <v>49</v>
      </c>
      <c r="R463" t="s">
        <v>85</v>
      </c>
      <c r="S463">
        <v>1</v>
      </c>
      <c r="T463">
        <v>4</v>
      </c>
      <c r="U463" t="s">
        <v>44</v>
      </c>
      <c r="V463" t="s">
        <v>38</v>
      </c>
      <c r="W463" t="s">
        <v>66</v>
      </c>
      <c r="X463" s="3">
        <v>45755</v>
      </c>
      <c r="Y463" s="1" t="str">
        <f t="shared" si="14"/>
        <v>Apr</v>
      </c>
      <c r="Z463" s="1" t="str">
        <f t="shared" si="15"/>
        <v>2025</v>
      </c>
      <c r="AA463" t="b">
        <v>0</v>
      </c>
      <c r="AB463" t="b">
        <v>0</v>
      </c>
      <c r="AC463" t="s">
        <v>40</v>
      </c>
      <c r="AD463" t="s">
        <v>41</v>
      </c>
      <c r="AE463">
        <v>7</v>
      </c>
    </row>
    <row r="464" spans="1:31" x14ac:dyDescent="0.3">
      <c r="A464" t="s">
        <v>1007</v>
      </c>
      <c r="B464">
        <v>34</v>
      </c>
      <c r="C464" t="str" cm="1">
        <f t="array" ref="C464">_xlfn.IFS(B464&lt;=18,"0-18",B464&lt;=29,"19-29",B464&gt;=49,"30-49",B464&gt;=69,"50-69",TRUE,"70+")</f>
        <v>70+</v>
      </c>
      <c r="D464" t="s">
        <v>43</v>
      </c>
      <c r="E464" t="s">
        <v>44</v>
      </c>
      <c r="F464" t="s">
        <v>76</v>
      </c>
      <c r="G464" t="s">
        <v>32</v>
      </c>
      <c r="H464" t="s">
        <v>30</v>
      </c>
      <c r="I464" t="s">
        <v>1008</v>
      </c>
      <c r="J464" t="s">
        <v>183</v>
      </c>
      <c r="K464" s="2">
        <v>327.05</v>
      </c>
      <c r="L464">
        <v>9</v>
      </c>
      <c r="M464" t="s">
        <v>35</v>
      </c>
      <c r="N464">
        <v>5</v>
      </c>
      <c r="O464">
        <v>4</v>
      </c>
      <c r="P464">
        <v>0</v>
      </c>
      <c r="Q464" t="s">
        <v>59</v>
      </c>
      <c r="R464" t="s">
        <v>37</v>
      </c>
      <c r="S464">
        <v>2</v>
      </c>
      <c r="T464">
        <v>3</v>
      </c>
      <c r="U464" t="s">
        <v>44</v>
      </c>
      <c r="V464" t="s">
        <v>79</v>
      </c>
      <c r="W464" t="s">
        <v>86</v>
      </c>
      <c r="X464" s="3">
        <v>45756</v>
      </c>
      <c r="Y464" s="1" t="str">
        <f t="shared" si="14"/>
        <v>Apr</v>
      </c>
      <c r="Z464" s="1" t="str">
        <f t="shared" si="15"/>
        <v>2025</v>
      </c>
      <c r="AA464" t="b">
        <v>0</v>
      </c>
      <c r="AB464" t="b">
        <v>1</v>
      </c>
      <c r="AC464" t="s">
        <v>40</v>
      </c>
      <c r="AD464" t="s">
        <v>41</v>
      </c>
      <c r="AE464">
        <v>7</v>
      </c>
    </row>
    <row r="465" spans="1:31" x14ac:dyDescent="0.3">
      <c r="A465" t="s">
        <v>1009</v>
      </c>
      <c r="B465">
        <v>48</v>
      </c>
      <c r="C465" t="str" cm="1">
        <f t="array" ref="C465">_xlfn.IFS(B465&lt;=18,"0-18",B465&lt;=29,"19-29",B465&gt;=49,"30-49",B465&gt;=69,"50-69",TRUE,"70+")</f>
        <v>70+</v>
      </c>
      <c r="D465" t="s">
        <v>43</v>
      </c>
      <c r="E465" t="s">
        <v>44</v>
      </c>
      <c r="F465" t="s">
        <v>76</v>
      </c>
      <c r="G465" t="s">
        <v>56</v>
      </c>
      <c r="H465" t="s">
        <v>30</v>
      </c>
      <c r="I465" t="s">
        <v>1010</v>
      </c>
      <c r="J465" t="s">
        <v>126</v>
      </c>
      <c r="K465" s="2">
        <v>334.45</v>
      </c>
      <c r="L465">
        <v>2</v>
      </c>
      <c r="M465" t="s">
        <v>48</v>
      </c>
      <c r="N465">
        <v>2</v>
      </c>
      <c r="O465">
        <v>5</v>
      </c>
      <c r="P465">
        <v>0</v>
      </c>
      <c r="Q465" t="s">
        <v>49</v>
      </c>
      <c r="R465" t="s">
        <v>50</v>
      </c>
      <c r="S465">
        <v>2</v>
      </c>
      <c r="T465">
        <v>9</v>
      </c>
      <c r="U465" t="s">
        <v>44</v>
      </c>
      <c r="V465" t="s">
        <v>38</v>
      </c>
      <c r="W465" t="s">
        <v>39</v>
      </c>
      <c r="X465" s="3">
        <v>45757</v>
      </c>
      <c r="Y465" s="1" t="str">
        <f t="shared" si="14"/>
        <v>Apr</v>
      </c>
      <c r="Z465" s="1" t="str">
        <f t="shared" si="15"/>
        <v>2025</v>
      </c>
      <c r="AA465" t="b">
        <v>1</v>
      </c>
      <c r="AB465" t="b">
        <v>0</v>
      </c>
      <c r="AC465" t="s">
        <v>62</v>
      </c>
      <c r="AD465" t="s">
        <v>41</v>
      </c>
      <c r="AE465">
        <v>6</v>
      </c>
    </row>
    <row r="466" spans="1:31" x14ac:dyDescent="0.3">
      <c r="A466" t="s">
        <v>1011</v>
      </c>
      <c r="B466">
        <v>19</v>
      </c>
      <c r="C466" t="str" cm="1">
        <f t="array" ref="C466">_xlfn.IFS(B466&lt;=18,"0-18",B466&lt;=29,"19-29",B466&gt;=49,"30-49",B466&gt;=69,"50-69",TRUE,"70+")</f>
        <v>19-29</v>
      </c>
      <c r="D466" t="s">
        <v>43</v>
      </c>
      <c r="E466" t="s">
        <v>44</v>
      </c>
      <c r="F466" t="s">
        <v>55</v>
      </c>
      <c r="G466" t="s">
        <v>32</v>
      </c>
      <c r="H466" t="s">
        <v>30</v>
      </c>
      <c r="I466" t="s">
        <v>1012</v>
      </c>
      <c r="J466" t="s">
        <v>47</v>
      </c>
      <c r="K466" s="2">
        <v>366.16</v>
      </c>
      <c r="L466">
        <v>12</v>
      </c>
      <c r="M466" t="s">
        <v>35</v>
      </c>
      <c r="N466">
        <v>4</v>
      </c>
      <c r="O466">
        <v>4</v>
      </c>
      <c r="P466">
        <v>2</v>
      </c>
      <c r="Q466" t="s">
        <v>49</v>
      </c>
      <c r="R466" t="s">
        <v>37</v>
      </c>
      <c r="S466">
        <v>1</v>
      </c>
      <c r="T466">
        <v>5</v>
      </c>
      <c r="U466" t="s">
        <v>59</v>
      </c>
      <c r="V466" t="s">
        <v>79</v>
      </c>
      <c r="W466" t="s">
        <v>39</v>
      </c>
      <c r="X466" s="3">
        <v>45758</v>
      </c>
      <c r="Y466" s="1" t="str">
        <f t="shared" si="14"/>
        <v>Apr</v>
      </c>
      <c r="Z466" s="1" t="str">
        <f t="shared" si="15"/>
        <v>2025</v>
      </c>
      <c r="AA466" t="b">
        <v>0</v>
      </c>
      <c r="AB466" t="b">
        <v>0</v>
      </c>
      <c r="AC466" t="s">
        <v>40</v>
      </c>
      <c r="AD466" t="s">
        <v>41</v>
      </c>
      <c r="AE466">
        <v>4</v>
      </c>
    </row>
    <row r="467" spans="1:31" x14ac:dyDescent="0.3">
      <c r="A467" t="s">
        <v>1013</v>
      </c>
      <c r="B467">
        <v>37</v>
      </c>
      <c r="C467" t="str" cm="1">
        <f t="array" ref="C467">_xlfn.IFS(B467&lt;=18,"0-18",B467&lt;=29,"19-29",B467&gt;=49,"30-49",B467&gt;=69,"50-69",TRUE,"70+")</f>
        <v>70+</v>
      </c>
      <c r="D467" t="s">
        <v>29</v>
      </c>
      <c r="E467" t="s">
        <v>44</v>
      </c>
      <c r="F467" t="s">
        <v>69</v>
      </c>
      <c r="G467" t="s">
        <v>32</v>
      </c>
      <c r="H467" t="s">
        <v>30</v>
      </c>
      <c r="I467" t="s">
        <v>1014</v>
      </c>
      <c r="J467" t="s">
        <v>158</v>
      </c>
      <c r="K467" s="2">
        <v>481.78</v>
      </c>
      <c r="L467">
        <v>8</v>
      </c>
      <c r="M467" t="s">
        <v>48</v>
      </c>
      <c r="N467">
        <v>5</v>
      </c>
      <c r="O467">
        <v>2</v>
      </c>
      <c r="P467">
        <v>0</v>
      </c>
      <c r="Q467" t="s">
        <v>49</v>
      </c>
      <c r="R467" t="s">
        <v>85</v>
      </c>
      <c r="S467">
        <v>2</v>
      </c>
      <c r="T467">
        <v>4</v>
      </c>
      <c r="U467" t="s">
        <v>59</v>
      </c>
      <c r="V467" t="s">
        <v>38</v>
      </c>
      <c r="W467" t="s">
        <v>61</v>
      </c>
      <c r="X467" s="3">
        <v>45759</v>
      </c>
      <c r="Y467" s="1" t="str">
        <f t="shared" si="14"/>
        <v>Apr</v>
      </c>
      <c r="Z467" s="1" t="str">
        <f t="shared" si="15"/>
        <v>2025</v>
      </c>
      <c r="AA467" t="b">
        <v>1</v>
      </c>
      <c r="AB467" t="b">
        <v>1</v>
      </c>
      <c r="AC467" t="s">
        <v>52</v>
      </c>
      <c r="AD467" t="s">
        <v>67</v>
      </c>
      <c r="AE467">
        <v>1</v>
      </c>
    </row>
    <row r="468" spans="1:31" x14ac:dyDescent="0.3">
      <c r="A468" t="s">
        <v>1015</v>
      </c>
      <c r="B468">
        <v>23</v>
      </c>
      <c r="C468" t="str" cm="1">
        <f t="array" ref="C468">_xlfn.IFS(B468&lt;=18,"0-18",B468&lt;=29,"19-29",B468&gt;=49,"30-49",B468&gt;=69,"50-69",TRUE,"70+")</f>
        <v>19-29</v>
      </c>
      <c r="D468" t="s">
        <v>29</v>
      </c>
      <c r="E468" t="s">
        <v>44</v>
      </c>
      <c r="F468" t="s">
        <v>69</v>
      </c>
      <c r="G468" t="s">
        <v>32</v>
      </c>
      <c r="H468" t="s">
        <v>30</v>
      </c>
      <c r="I468" t="s">
        <v>1016</v>
      </c>
      <c r="J468" t="s">
        <v>34</v>
      </c>
      <c r="K468" s="2">
        <v>131.47999999999999</v>
      </c>
      <c r="L468">
        <v>8</v>
      </c>
      <c r="M468" t="s">
        <v>35</v>
      </c>
      <c r="N468">
        <v>3</v>
      </c>
      <c r="O468">
        <v>5</v>
      </c>
      <c r="P468">
        <v>0</v>
      </c>
      <c r="Q468" t="s">
        <v>36</v>
      </c>
      <c r="R468" t="s">
        <v>37</v>
      </c>
      <c r="S468">
        <v>2</v>
      </c>
      <c r="T468">
        <v>1</v>
      </c>
      <c r="U468" t="s">
        <v>59</v>
      </c>
      <c r="V468" t="s">
        <v>38</v>
      </c>
      <c r="W468" t="s">
        <v>39</v>
      </c>
      <c r="X468" s="3">
        <v>45760</v>
      </c>
      <c r="Y468" s="1" t="str">
        <f t="shared" si="14"/>
        <v>Apr</v>
      </c>
      <c r="Z468" s="1" t="str">
        <f t="shared" si="15"/>
        <v>2025</v>
      </c>
      <c r="AA468" t="b">
        <v>1</v>
      </c>
      <c r="AB468" t="b">
        <v>1</v>
      </c>
      <c r="AC468" t="s">
        <v>52</v>
      </c>
      <c r="AD468" t="s">
        <v>41</v>
      </c>
      <c r="AE468">
        <v>12</v>
      </c>
    </row>
    <row r="469" spans="1:31" x14ac:dyDescent="0.3">
      <c r="A469" t="s">
        <v>1017</v>
      </c>
      <c r="B469">
        <v>34</v>
      </c>
      <c r="C469" t="str" cm="1">
        <f t="array" ref="C469">_xlfn.IFS(B469&lt;=18,"0-18",B469&lt;=29,"19-29",B469&gt;=49,"30-49",B469&gt;=69,"50-69",TRUE,"70+")</f>
        <v>70+</v>
      </c>
      <c r="D469" t="s">
        <v>29</v>
      </c>
      <c r="E469" t="s">
        <v>44</v>
      </c>
      <c r="F469" t="s">
        <v>69</v>
      </c>
      <c r="G469" t="s">
        <v>56</v>
      </c>
      <c r="H469" t="s">
        <v>44</v>
      </c>
      <c r="I469" t="s">
        <v>1018</v>
      </c>
      <c r="J469" t="s">
        <v>104</v>
      </c>
      <c r="K469" s="2">
        <v>402.86</v>
      </c>
      <c r="L469">
        <v>11</v>
      </c>
      <c r="M469" t="s">
        <v>48</v>
      </c>
      <c r="N469">
        <v>3</v>
      </c>
      <c r="O469">
        <v>5</v>
      </c>
      <c r="P469">
        <v>1</v>
      </c>
      <c r="Q469" t="s">
        <v>44</v>
      </c>
      <c r="R469" t="s">
        <v>50</v>
      </c>
      <c r="S469">
        <v>0</v>
      </c>
      <c r="T469">
        <v>2</v>
      </c>
      <c r="U469" t="s">
        <v>36</v>
      </c>
      <c r="V469" t="s">
        <v>79</v>
      </c>
      <c r="W469" t="s">
        <v>86</v>
      </c>
      <c r="X469" s="3">
        <v>45761</v>
      </c>
      <c r="Y469" s="1" t="str">
        <f t="shared" si="14"/>
        <v>Apr</v>
      </c>
      <c r="Z469" s="1" t="str">
        <f t="shared" si="15"/>
        <v>2025</v>
      </c>
      <c r="AA469" t="b">
        <v>0</v>
      </c>
      <c r="AB469" t="b">
        <v>0</v>
      </c>
      <c r="AC469" t="s">
        <v>62</v>
      </c>
      <c r="AD469" t="s">
        <v>53</v>
      </c>
      <c r="AE469">
        <v>8</v>
      </c>
    </row>
    <row r="470" spans="1:31" x14ac:dyDescent="0.3">
      <c r="A470" t="s">
        <v>1019</v>
      </c>
      <c r="B470">
        <v>42</v>
      </c>
      <c r="C470" t="str" cm="1">
        <f t="array" ref="C470">_xlfn.IFS(B470&lt;=18,"0-18",B470&lt;=29,"19-29",B470&gt;=49,"30-49",B470&gt;=69,"50-69",TRUE,"70+")</f>
        <v>70+</v>
      </c>
      <c r="D470" t="s">
        <v>43</v>
      </c>
      <c r="E470" t="s">
        <v>44</v>
      </c>
      <c r="F470" t="s">
        <v>55</v>
      </c>
      <c r="G470" t="s">
        <v>32</v>
      </c>
      <c r="H470" t="s">
        <v>30</v>
      </c>
      <c r="I470" t="s">
        <v>1020</v>
      </c>
      <c r="J470" t="s">
        <v>34</v>
      </c>
      <c r="K470" s="2">
        <v>333.18</v>
      </c>
      <c r="L470">
        <v>6</v>
      </c>
      <c r="M470" t="s">
        <v>48</v>
      </c>
      <c r="N470">
        <v>1</v>
      </c>
      <c r="O470">
        <v>1</v>
      </c>
      <c r="P470">
        <v>0</v>
      </c>
      <c r="Q470" t="s">
        <v>49</v>
      </c>
      <c r="R470" t="s">
        <v>85</v>
      </c>
      <c r="S470">
        <v>2</v>
      </c>
      <c r="T470">
        <v>5</v>
      </c>
      <c r="U470" t="s">
        <v>59</v>
      </c>
      <c r="V470" t="s">
        <v>60</v>
      </c>
      <c r="W470" t="s">
        <v>66</v>
      </c>
      <c r="X470" s="3">
        <v>45762</v>
      </c>
      <c r="Y470" s="1" t="str">
        <f t="shared" si="14"/>
        <v>Apr</v>
      </c>
      <c r="Z470" s="1" t="str">
        <f t="shared" si="15"/>
        <v>2025</v>
      </c>
      <c r="AA470" t="b">
        <v>1</v>
      </c>
      <c r="AB470" t="b">
        <v>0</v>
      </c>
      <c r="AC470" t="s">
        <v>74</v>
      </c>
      <c r="AD470" t="s">
        <v>67</v>
      </c>
      <c r="AE470">
        <v>8</v>
      </c>
    </row>
    <row r="471" spans="1:31" x14ac:dyDescent="0.3">
      <c r="A471" t="s">
        <v>1021</v>
      </c>
      <c r="B471">
        <v>28</v>
      </c>
      <c r="C471" t="str" cm="1">
        <f t="array" ref="C471">_xlfn.IFS(B471&lt;=18,"0-18",B471&lt;=29,"19-29",B471&gt;=49,"30-49",B471&gt;=69,"50-69",TRUE,"70+")</f>
        <v>19-29</v>
      </c>
      <c r="D471" t="s">
        <v>29</v>
      </c>
      <c r="E471" t="s">
        <v>44</v>
      </c>
      <c r="F471" t="s">
        <v>69</v>
      </c>
      <c r="G471" t="s">
        <v>56</v>
      </c>
      <c r="H471" t="s">
        <v>30</v>
      </c>
      <c r="I471" t="s">
        <v>1022</v>
      </c>
      <c r="J471" t="s">
        <v>135</v>
      </c>
      <c r="K471" s="2">
        <v>73.23</v>
      </c>
      <c r="L471">
        <v>8</v>
      </c>
      <c r="M471" t="s">
        <v>78</v>
      </c>
      <c r="N471">
        <v>2</v>
      </c>
      <c r="O471">
        <v>2</v>
      </c>
      <c r="P471">
        <v>2</v>
      </c>
      <c r="Q471" t="s">
        <v>59</v>
      </c>
      <c r="R471" t="s">
        <v>85</v>
      </c>
      <c r="S471">
        <v>1</v>
      </c>
      <c r="T471">
        <v>2</v>
      </c>
      <c r="U471" t="s">
        <v>59</v>
      </c>
      <c r="V471" t="s">
        <v>60</v>
      </c>
      <c r="W471" t="s">
        <v>39</v>
      </c>
      <c r="X471" s="3">
        <v>45763</v>
      </c>
      <c r="Y471" s="1" t="str">
        <f t="shared" si="14"/>
        <v>Apr</v>
      </c>
      <c r="Z471" s="1" t="str">
        <f t="shared" si="15"/>
        <v>2025</v>
      </c>
      <c r="AA471" t="b">
        <v>1</v>
      </c>
      <c r="AB471" t="b">
        <v>1</v>
      </c>
      <c r="AC471" t="s">
        <v>40</v>
      </c>
      <c r="AD471" t="s">
        <v>41</v>
      </c>
      <c r="AE471">
        <v>6</v>
      </c>
    </row>
    <row r="472" spans="1:31" x14ac:dyDescent="0.3">
      <c r="A472" t="s">
        <v>1023</v>
      </c>
      <c r="B472">
        <v>28</v>
      </c>
      <c r="C472" t="str" cm="1">
        <f t="array" ref="C472">_xlfn.IFS(B472&lt;=18,"0-18",B472&lt;=29,"19-29",B472&gt;=49,"30-49",B472&gt;=69,"50-69",TRUE,"70+")</f>
        <v>19-29</v>
      </c>
      <c r="D472" t="s">
        <v>43</v>
      </c>
      <c r="E472" t="s">
        <v>44</v>
      </c>
      <c r="F472" t="s">
        <v>76</v>
      </c>
      <c r="G472" t="s">
        <v>56</v>
      </c>
      <c r="H472" t="s">
        <v>30</v>
      </c>
      <c r="I472" t="s">
        <v>1024</v>
      </c>
      <c r="J472" t="s">
        <v>71</v>
      </c>
      <c r="K472" s="2">
        <v>450.47</v>
      </c>
      <c r="L472">
        <v>11</v>
      </c>
      <c r="M472" t="s">
        <v>78</v>
      </c>
      <c r="N472">
        <v>5</v>
      </c>
      <c r="O472">
        <v>2</v>
      </c>
      <c r="P472">
        <v>2</v>
      </c>
      <c r="Q472" t="s">
        <v>36</v>
      </c>
      <c r="R472" t="s">
        <v>50</v>
      </c>
      <c r="S472">
        <v>2</v>
      </c>
      <c r="T472">
        <v>3</v>
      </c>
      <c r="U472" t="s">
        <v>36</v>
      </c>
      <c r="V472" t="s">
        <v>60</v>
      </c>
      <c r="W472" t="s">
        <v>39</v>
      </c>
      <c r="X472" s="3">
        <v>45764</v>
      </c>
      <c r="Y472" s="1" t="str">
        <f t="shared" si="14"/>
        <v>Apr</v>
      </c>
      <c r="Z472" s="1" t="str">
        <f t="shared" si="15"/>
        <v>2025</v>
      </c>
      <c r="AA472" t="b">
        <v>1</v>
      </c>
      <c r="AB472" t="b">
        <v>1</v>
      </c>
      <c r="AC472" t="s">
        <v>52</v>
      </c>
      <c r="AD472" t="s">
        <v>67</v>
      </c>
      <c r="AE472">
        <v>10</v>
      </c>
    </row>
    <row r="473" spans="1:31" x14ac:dyDescent="0.3">
      <c r="A473" t="s">
        <v>1025</v>
      </c>
      <c r="B473">
        <v>33</v>
      </c>
      <c r="C473" t="str" cm="1">
        <f t="array" ref="C473">_xlfn.IFS(B473&lt;=18,"0-18",B473&lt;=29,"19-29",B473&gt;=49,"30-49",B473&gt;=69,"50-69",TRUE,"70+")</f>
        <v>70+</v>
      </c>
      <c r="D473" t="s">
        <v>43</v>
      </c>
      <c r="E473" t="s">
        <v>30</v>
      </c>
      <c r="F473" t="s">
        <v>55</v>
      </c>
      <c r="G473" t="s">
        <v>45</v>
      </c>
      <c r="H473" t="s">
        <v>44</v>
      </c>
      <c r="I473" t="s">
        <v>1026</v>
      </c>
      <c r="J473" t="s">
        <v>47</v>
      </c>
      <c r="K473" s="2">
        <v>175.74</v>
      </c>
      <c r="L473">
        <v>5</v>
      </c>
      <c r="M473" t="s">
        <v>78</v>
      </c>
      <c r="N473">
        <v>5</v>
      </c>
      <c r="O473">
        <v>4</v>
      </c>
      <c r="P473">
        <v>1</v>
      </c>
      <c r="Q473" t="s">
        <v>49</v>
      </c>
      <c r="R473" t="s">
        <v>50</v>
      </c>
      <c r="S473">
        <v>0</v>
      </c>
      <c r="T473">
        <v>6</v>
      </c>
      <c r="U473" t="s">
        <v>36</v>
      </c>
      <c r="V473" t="s">
        <v>38</v>
      </c>
      <c r="W473" t="s">
        <v>86</v>
      </c>
      <c r="X473" s="3">
        <v>45765</v>
      </c>
      <c r="Y473" s="1" t="str">
        <f t="shared" si="14"/>
        <v>Apr</v>
      </c>
      <c r="Z473" s="1" t="str">
        <f t="shared" si="15"/>
        <v>2025</v>
      </c>
      <c r="AA473" t="b">
        <v>0</v>
      </c>
      <c r="AB473" t="b">
        <v>1</v>
      </c>
      <c r="AC473" t="s">
        <v>62</v>
      </c>
      <c r="AD473" t="s">
        <v>41</v>
      </c>
      <c r="AE473">
        <v>6</v>
      </c>
    </row>
    <row r="474" spans="1:31" x14ac:dyDescent="0.3">
      <c r="A474" t="s">
        <v>1027</v>
      </c>
      <c r="B474">
        <v>31</v>
      </c>
      <c r="C474" t="str" cm="1">
        <f t="array" ref="C474">_xlfn.IFS(B474&lt;=18,"0-18",B474&lt;=29,"19-29",B474&gt;=49,"30-49",B474&gt;=69,"50-69",TRUE,"70+")</f>
        <v>70+</v>
      </c>
      <c r="D474" t="s">
        <v>29</v>
      </c>
      <c r="E474" t="s">
        <v>30</v>
      </c>
      <c r="F474" t="s">
        <v>55</v>
      </c>
      <c r="G474" t="s">
        <v>56</v>
      </c>
      <c r="H474" t="s">
        <v>44</v>
      </c>
      <c r="I474" t="s">
        <v>1028</v>
      </c>
      <c r="J474" t="s">
        <v>107</v>
      </c>
      <c r="K474" s="2">
        <v>182.6</v>
      </c>
      <c r="L474">
        <v>4</v>
      </c>
      <c r="M474" t="s">
        <v>78</v>
      </c>
      <c r="N474">
        <v>5</v>
      </c>
      <c r="O474">
        <v>2</v>
      </c>
      <c r="P474">
        <v>0.3</v>
      </c>
      <c r="Q474" t="s">
        <v>59</v>
      </c>
      <c r="R474" t="s">
        <v>50</v>
      </c>
      <c r="S474">
        <v>2</v>
      </c>
      <c r="T474">
        <v>9</v>
      </c>
      <c r="U474" t="s">
        <v>44</v>
      </c>
      <c r="V474" t="s">
        <v>38</v>
      </c>
      <c r="W474" t="s">
        <v>51</v>
      </c>
      <c r="X474" s="3">
        <v>45766</v>
      </c>
      <c r="Y474" s="1" t="str">
        <f t="shared" si="14"/>
        <v>Apr</v>
      </c>
      <c r="Z474" s="1" t="str">
        <f t="shared" si="15"/>
        <v>2025</v>
      </c>
      <c r="AA474" t="b">
        <v>0</v>
      </c>
      <c r="AB474" t="b">
        <v>1</v>
      </c>
      <c r="AC474" t="s">
        <v>52</v>
      </c>
      <c r="AD474" t="s">
        <v>67</v>
      </c>
      <c r="AE474">
        <v>5</v>
      </c>
    </row>
    <row r="475" spans="1:31" x14ac:dyDescent="0.3">
      <c r="A475" t="s">
        <v>1029</v>
      </c>
      <c r="B475">
        <v>20</v>
      </c>
      <c r="C475" t="str" cm="1">
        <f t="array" ref="C475">_xlfn.IFS(B475&lt;=18,"0-18",B475&lt;=29,"19-29",B475&gt;=49,"30-49",B475&gt;=69,"50-69",TRUE,"70+")</f>
        <v>19-29</v>
      </c>
      <c r="D475" t="s">
        <v>29</v>
      </c>
      <c r="E475" t="s">
        <v>30</v>
      </c>
      <c r="F475" t="s">
        <v>69</v>
      </c>
      <c r="G475" t="s">
        <v>32</v>
      </c>
      <c r="H475" t="s">
        <v>44</v>
      </c>
      <c r="I475" t="s">
        <v>1030</v>
      </c>
      <c r="J475" t="s">
        <v>246</v>
      </c>
      <c r="K475" s="2">
        <v>497.8</v>
      </c>
      <c r="L475">
        <v>2</v>
      </c>
      <c r="M475" t="s">
        <v>78</v>
      </c>
      <c r="N475">
        <v>3</v>
      </c>
      <c r="O475">
        <v>5</v>
      </c>
      <c r="P475">
        <v>0.2</v>
      </c>
      <c r="Q475" t="s">
        <v>44</v>
      </c>
      <c r="R475" t="s">
        <v>37</v>
      </c>
      <c r="S475">
        <v>1</v>
      </c>
      <c r="T475">
        <v>2</v>
      </c>
      <c r="U475" t="s">
        <v>49</v>
      </c>
      <c r="V475" t="s">
        <v>60</v>
      </c>
      <c r="W475" t="s">
        <v>66</v>
      </c>
      <c r="X475" s="3">
        <v>45767</v>
      </c>
      <c r="Y475" s="1" t="str">
        <f t="shared" si="14"/>
        <v>Apr</v>
      </c>
      <c r="Z475" s="1" t="str">
        <f t="shared" si="15"/>
        <v>2025</v>
      </c>
      <c r="AA475" t="b">
        <v>1</v>
      </c>
      <c r="AB475" t="b">
        <v>0</v>
      </c>
      <c r="AC475" t="s">
        <v>52</v>
      </c>
      <c r="AD475" t="s">
        <v>41</v>
      </c>
      <c r="AE475">
        <v>9</v>
      </c>
    </row>
    <row r="476" spans="1:31" x14ac:dyDescent="0.3">
      <c r="A476" t="s">
        <v>1031</v>
      </c>
      <c r="B476">
        <v>32</v>
      </c>
      <c r="C476" t="str" cm="1">
        <f t="array" ref="C476">_xlfn.IFS(B476&lt;=18,"0-18",B476&lt;=29,"19-29",B476&gt;=49,"30-49",B476&gt;=69,"50-69",TRUE,"70+")</f>
        <v>70+</v>
      </c>
      <c r="D476" t="s">
        <v>43</v>
      </c>
      <c r="E476" t="s">
        <v>44</v>
      </c>
      <c r="F476" t="s">
        <v>76</v>
      </c>
      <c r="G476" t="s">
        <v>45</v>
      </c>
      <c r="H476" t="s">
        <v>44</v>
      </c>
      <c r="I476" t="s">
        <v>1032</v>
      </c>
      <c r="J476" t="s">
        <v>47</v>
      </c>
      <c r="K476" s="2">
        <v>171.17</v>
      </c>
      <c r="L476">
        <v>4</v>
      </c>
      <c r="M476" t="s">
        <v>48</v>
      </c>
      <c r="N476">
        <v>1</v>
      </c>
      <c r="O476">
        <v>3</v>
      </c>
      <c r="P476">
        <v>0</v>
      </c>
      <c r="Q476" t="s">
        <v>44</v>
      </c>
      <c r="R476" t="s">
        <v>37</v>
      </c>
      <c r="S476">
        <v>0</v>
      </c>
      <c r="T476">
        <v>4</v>
      </c>
      <c r="U476" t="s">
        <v>49</v>
      </c>
      <c r="V476" t="s">
        <v>79</v>
      </c>
      <c r="W476" t="s">
        <v>61</v>
      </c>
      <c r="X476" s="3">
        <v>45768</v>
      </c>
      <c r="Y476" s="1" t="str">
        <f t="shared" si="14"/>
        <v>Apr</v>
      </c>
      <c r="Z476" s="1" t="str">
        <f t="shared" si="15"/>
        <v>2025</v>
      </c>
      <c r="AA476" t="b">
        <v>0</v>
      </c>
      <c r="AB476" t="b">
        <v>1</v>
      </c>
      <c r="AC476" t="s">
        <v>52</v>
      </c>
      <c r="AD476" t="s">
        <v>53</v>
      </c>
      <c r="AE476">
        <v>12</v>
      </c>
    </row>
    <row r="477" spans="1:31" x14ac:dyDescent="0.3">
      <c r="A477" t="s">
        <v>1033</v>
      </c>
      <c r="B477">
        <v>27</v>
      </c>
      <c r="C477" t="str" cm="1">
        <f t="array" ref="C477">_xlfn.IFS(B477&lt;=18,"0-18",B477&lt;=29,"19-29",B477&gt;=49,"30-49",B477&gt;=69,"50-69",TRUE,"70+")</f>
        <v>19-29</v>
      </c>
      <c r="D477" t="s">
        <v>29</v>
      </c>
      <c r="E477" t="s">
        <v>30</v>
      </c>
      <c r="F477" t="s">
        <v>55</v>
      </c>
      <c r="G477" t="s">
        <v>32</v>
      </c>
      <c r="H477" t="s">
        <v>44</v>
      </c>
      <c r="I477" t="s">
        <v>1034</v>
      </c>
      <c r="J477" t="s">
        <v>246</v>
      </c>
      <c r="K477" s="2">
        <v>425.82</v>
      </c>
      <c r="L477">
        <v>3</v>
      </c>
      <c r="M477" t="s">
        <v>48</v>
      </c>
      <c r="N477">
        <v>4</v>
      </c>
      <c r="O477">
        <v>5</v>
      </c>
      <c r="P477">
        <v>1</v>
      </c>
      <c r="Q477" t="s">
        <v>59</v>
      </c>
      <c r="R477" t="s">
        <v>50</v>
      </c>
      <c r="S477">
        <v>1</v>
      </c>
      <c r="T477">
        <v>6</v>
      </c>
      <c r="U477" t="s">
        <v>44</v>
      </c>
      <c r="V477" t="s">
        <v>60</v>
      </c>
      <c r="W477" t="s">
        <v>86</v>
      </c>
      <c r="X477" s="3">
        <v>45769</v>
      </c>
      <c r="Y477" s="1" t="str">
        <f t="shared" si="14"/>
        <v>Apr</v>
      </c>
      <c r="Z477" s="1" t="str">
        <f t="shared" si="15"/>
        <v>2025</v>
      </c>
      <c r="AA477" t="b">
        <v>1</v>
      </c>
      <c r="AB477" t="b">
        <v>1</v>
      </c>
      <c r="AC477" t="s">
        <v>52</v>
      </c>
      <c r="AD477" t="s">
        <v>53</v>
      </c>
      <c r="AE477">
        <v>11</v>
      </c>
    </row>
    <row r="478" spans="1:31" x14ac:dyDescent="0.3">
      <c r="A478" t="s">
        <v>1035</v>
      </c>
      <c r="B478">
        <v>19</v>
      </c>
      <c r="C478" t="str" cm="1">
        <f t="array" ref="C478">_xlfn.IFS(B478&lt;=18,"0-18",B478&lt;=29,"19-29",B478&gt;=49,"30-49",B478&gt;=69,"50-69",TRUE,"70+")</f>
        <v>19-29</v>
      </c>
      <c r="D478" t="s">
        <v>29</v>
      </c>
      <c r="E478" t="s">
        <v>30</v>
      </c>
      <c r="F478" t="s">
        <v>69</v>
      </c>
      <c r="G478" t="s">
        <v>32</v>
      </c>
      <c r="H478" t="s">
        <v>30</v>
      </c>
      <c r="I478" t="s">
        <v>1036</v>
      </c>
      <c r="J478" t="s">
        <v>90</v>
      </c>
      <c r="K478" s="2">
        <v>210.58</v>
      </c>
      <c r="L478">
        <v>10</v>
      </c>
      <c r="M478" t="s">
        <v>48</v>
      </c>
      <c r="N478">
        <v>5</v>
      </c>
      <c r="O478">
        <v>1</v>
      </c>
      <c r="P478">
        <v>2</v>
      </c>
      <c r="Q478" t="s">
        <v>59</v>
      </c>
      <c r="R478" t="s">
        <v>37</v>
      </c>
      <c r="S478">
        <v>1</v>
      </c>
      <c r="T478">
        <v>3</v>
      </c>
      <c r="U478" t="s">
        <v>59</v>
      </c>
      <c r="V478" t="s">
        <v>38</v>
      </c>
      <c r="W478" t="s">
        <v>61</v>
      </c>
      <c r="X478" s="3">
        <v>45770</v>
      </c>
      <c r="Y478" s="1" t="str">
        <f t="shared" si="14"/>
        <v>Apr</v>
      </c>
      <c r="Z478" s="1" t="str">
        <f t="shared" si="15"/>
        <v>2025</v>
      </c>
      <c r="AA478" t="b">
        <v>1</v>
      </c>
      <c r="AB478" t="b">
        <v>1</v>
      </c>
      <c r="AC478" t="s">
        <v>74</v>
      </c>
      <c r="AD478" t="s">
        <v>41</v>
      </c>
      <c r="AE478">
        <v>8</v>
      </c>
    </row>
    <row r="479" spans="1:31" x14ac:dyDescent="0.3">
      <c r="A479" t="s">
        <v>1037</v>
      </c>
      <c r="B479">
        <v>50</v>
      </c>
      <c r="C479" t="str" cm="1">
        <f t="array" ref="C479">_xlfn.IFS(B479&lt;=18,"0-18",B479&lt;=29,"19-29",B479&gt;=49,"30-49",B479&gt;=69,"50-69",TRUE,"70+")</f>
        <v>30-49</v>
      </c>
      <c r="D479" t="s">
        <v>43</v>
      </c>
      <c r="E479" t="s">
        <v>30</v>
      </c>
      <c r="F479" t="s">
        <v>55</v>
      </c>
      <c r="G479" t="s">
        <v>45</v>
      </c>
      <c r="H479" t="s">
        <v>30</v>
      </c>
      <c r="I479" t="s">
        <v>1038</v>
      </c>
      <c r="J479" t="s">
        <v>188</v>
      </c>
      <c r="K479" s="2">
        <v>199.64</v>
      </c>
      <c r="L479">
        <v>11</v>
      </c>
      <c r="M479" t="s">
        <v>78</v>
      </c>
      <c r="N479">
        <v>5</v>
      </c>
      <c r="O479">
        <v>4</v>
      </c>
      <c r="P479">
        <v>1</v>
      </c>
      <c r="Q479" t="s">
        <v>44</v>
      </c>
      <c r="R479" t="s">
        <v>37</v>
      </c>
      <c r="S479">
        <v>1</v>
      </c>
      <c r="T479">
        <v>5</v>
      </c>
      <c r="U479" t="s">
        <v>44</v>
      </c>
      <c r="V479" t="s">
        <v>79</v>
      </c>
      <c r="W479" t="s">
        <v>51</v>
      </c>
      <c r="X479" s="3">
        <v>45771</v>
      </c>
      <c r="Y479" s="1" t="str">
        <f t="shared" si="14"/>
        <v>Apr</v>
      </c>
      <c r="Z479" s="1" t="str">
        <f t="shared" si="15"/>
        <v>2025</v>
      </c>
      <c r="AA479" t="b">
        <v>0</v>
      </c>
      <c r="AB479" t="b">
        <v>1</v>
      </c>
      <c r="AC479" t="s">
        <v>74</v>
      </c>
      <c r="AD479" t="s">
        <v>67</v>
      </c>
      <c r="AE479">
        <v>8</v>
      </c>
    </row>
    <row r="480" spans="1:31" x14ac:dyDescent="0.3">
      <c r="A480" t="s">
        <v>1039</v>
      </c>
      <c r="B480">
        <v>40</v>
      </c>
      <c r="C480" t="str" cm="1">
        <f t="array" ref="C480">_xlfn.IFS(B480&lt;=18,"0-18",B480&lt;=29,"19-29",B480&gt;=49,"30-49",B480&gt;=69,"50-69",TRUE,"70+")</f>
        <v>70+</v>
      </c>
      <c r="D480" t="s">
        <v>212</v>
      </c>
      <c r="E480" t="s">
        <v>44</v>
      </c>
      <c r="F480" t="s">
        <v>31</v>
      </c>
      <c r="G480" t="s">
        <v>32</v>
      </c>
      <c r="H480" t="s">
        <v>30</v>
      </c>
      <c r="I480" t="s">
        <v>1040</v>
      </c>
      <c r="J480" t="s">
        <v>114</v>
      </c>
      <c r="K480" s="2">
        <v>162.22</v>
      </c>
      <c r="L480">
        <v>10</v>
      </c>
      <c r="M480" t="s">
        <v>48</v>
      </c>
      <c r="N480">
        <v>5</v>
      </c>
      <c r="O480">
        <v>5</v>
      </c>
      <c r="P480">
        <v>0.2</v>
      </c>
      <c r="Q480" t="s">
        <v>44</v>
      </c>
      <c r="R480" t="s">
        <v>37</v>
      </c>
      <c r="S480">
        <v>1</v>
      </c>
      <c r="T480">
        <v>1</v>
      </c>
      <c r="U480" t="s">
        <v>49</v>
      </c>
      <c r="V480" t="s">
        <v>79</v>
      </c>
      <c r="W480" t="s">
        <v>66</v>
      </c>
      <c r="X480" s="3">
        <v>45772</v>
      </c>
      <c r="Y480" s="1" t="str">
        <f t="shared" si="14"/>
        <v>Apr</v>
      </c>
      <c r="Z480" s="1" t="str">
        <f t="shared" si="15"/>
        <v>2025</v>
      </c>
      <c r="AA480" t="b">
        <v>1</v>
      </c>
      <c r="AB480" t="b">
        <v>1</v>
      </c>
      <c r="AC480" t="s">
        <v>52</v>
      </c>
      <c r="AD480" t="s">
        <v>41</v>
      </c>
      <c r="AE480">
        <v>8</v>
      </c>
    </row>
    <row r="481" spans="1:31" x14ac:dyDescent="0.3">
      <c r="A481" t="s">
        <v>1041</v>
      </c>
      <c r="B481">
        <v>20</v>
      </c>
      <c r="C481" t="str" cm="1">
        <f t="array" ref="C481">_xlfn.IFS(B481&lt;=18,"0-18",B481&lt;=29,"19-29",B481&gt;=49,"30-49",B481&gt;=69,"50-69",TRUE,"70+")</f>
        <v>19-29</v>
      </c>
      <c r="D481" t="s">
        <v>43</v>
      </c>
      <c r="E481" t="s">
        <v>44</v>
      </c>
      <c r="F481" t="s">
        <v>31</v>
      </c>
      <c r="G481" t="s">
        <v>32</v>
      </c>
      <c r="H481" t="s">
        <v>44</v>
      </c>
      <c r="I481" t="s">
        <v>1042</v>
      </c>
      <c r="J481" t="s">
        <v>90</v>
      </c>
      <c r="K481" s="2">
        <v>401.75</v>
      </c>
      <c r="L481">
        <v>8</v>
      </c>
      <c r="M481" t="s">
        <v>78</v>
      </c>
      <c r="N481">
        <v>3</v>
      </c>
      <c r="O481">
        <v>4</v>
      </c>
      <c r="P481">
        <v>0.3</v>
      </c>
      <c r="Q481" t="s">
        <v>36</v>
      </c>
      <c r="R481" t="s">
        <v>37</v>
      </c>
      <c r="S481">
        <v>1</v>
      </c>
      <c r="T481">
        <v>8</v>
      </c>
      <c r="U481" t="s">
        <v>44</v>
      </c>
      <c r="V481" t="s">
        <v>60</v>
      </c>
      <c r="W481" t="s">
        <v>51</v>
      </c>
      <c r="X481" s="3">
        <v>45773</v>
      </c>
      <c r="Y481" s="1" t="str">
        <f t="shared" si="14"/>
        <v>Apr</v>
      </c>
      <c r="Z481" s="1" t="str">
        <f t="shared" si="15"/>
        <v>2025</v>
      </c>
      <c r="AA481" t="b">
        <v>0</v>
      </c>
      <c r="AB481" t="b">
        <v>1</v>
      </c>
      <c r="AC481" t="s">
        <v>52</v>
      </c>
      <c r="AD481" t="s">
        <v>53</v>
      </c>
      <c r="AE481">
        <v>6</v>
      </c>
    </row>
    <row r="482" spans="1:31" x14ac:dyDescent="0.3">
      <c r="A482" t="s">
        <v>1043</v>
      </c>
      <c r="B482">
        <v>24</v>
      </c>
      <c r="C482" t="str" cm="1">
        <f t="array" ref="C482">_xlfn.IFS(B482&lt;=18,"0-18",B482&lt;=29,"19-29",B482&gt;=49,"30-49",B482&gt;=69,"50-69",TRUE,"70+")</f>
        <v>19-29</v>
      </c>
      <c r="D482" t="s">
        <v>29</v>
      </c>
      <c r="E482" t="s">
        <v>30</v>
      </c>
      <c r="F482" t="s">
        <v>31</v>
      </c>
      <c r="G482" t="s">
        <v>56</v>
      </c>
      <c r="H482" t="s">
        <v>30</v>
      </c>
      <c r="I482" t="s">
        <v>1044</v>
      </c>
      <c r="J482" t="s">
        <v>98</v>
      </c>
      <c r="K482" s="2">
        <v>365.88</v>
      </c>
      <c r="L482">
        <v>12</v>
      </c>
      <c r="M482" t="s">
        <v>78</v>
      </c>
      <c r="N482">
        <v>3</v>
      </c>
      <c r="O482">
        <v>3</v>
      </c>
      <c r="P482">
        <v>2</v>
      </c>
      <c r="Q482" t="s">
        <v>49</v>
      </c>
      <c r="R482" t="s">
        <v>85</v>
      </c>
      <c r="S482">
        <v>0</v>
      </c>
      <c r="T482">
        <v>9</v>
      </c>
      <c r="U482" t="s">
        <v>44</v>
      </c>
      <c r="V482" t="s">
        <v>60</v>
      </c>
      <c r="W482" t="s">
        <v>66</v>
      </c>
      <c r="X482" s="3">
        <v>45774</v>
      </c>
      <c r="Y482" s="1" t="str">
        <f t="shared" si="14"/>
        <v>Apr</v>
      </c>
      <c r="Z482" s="1" t="str">
        <f t="shared" si="15"/>
        <v>2025</v>
      </c>
      <c r="AA482" t="b">
        <v>1</v>
      </c>
      <c r="AB482" t="b">
        <v>0</v>
      </c>
      <c r="AC482" t="s">
        <v>40</v>
      </c>
      <c r="AD482" t="s">
        <v>67</v>
      </c>
      <c r="AE482">
        <v>7</v>
      </c>
    </row>
    <row r="483" spans="1:31" x14ac:dyDescent="0.3">
      <c r="A483" t="s">
        <v>1045</v>
      </c>
      <c r="B483">
        <v>46</v>
      </c>
      <c r="C483" t="str" cm="1">
        <f t="array" ref="C483">_xlfn.IFS(B483&lt;=18,"0-18",B483&lt;=29,"19-29",B483&gt;=49,"30-49",B483&gt;=69,"50-69",TRUE,"70+")</f>
        <v>70+</v>
      </c>
      <c r="D483" t="s">
        <v>43</v>
      </c>
      <c r="E483" t="s">
        <v>30</v>
      </c>
      <c r="F483" t="s">
        <v>55</v>
      </c>
      <c r="G483" t="s">
        <v>45</v>
      </c>
      <c r="H483" t="s">
        <v>30</v>
      </c>
      <c r="I483" t="s">
        <v>1046</v>
      </c>
      <c r="J483" t="s">
        <v>188</v>
      </c>
      <c r="K483" s="2">
        <v>58.29</v>
      </c>
      <c r="L483">
        <v>6</v>
      </c>
      <c r="M483" t="s">
        <v>35</v>
      </c>
      <c r="N483">
        <v>2</v>
      </c>
      <c r="O483">
        <v>3</v>
      </c>
      <c r="P483">
        <v>2</v>
      </c>
      <c r="Q483" t="s">
        <v>49</v>
      </c>
      <c r="R483" t="s">
        <v>37</v>
      </c>
      <c r="S483">
        <v>1</v>
      </c>
      <c r="T483">
        <v>7</v>
      </c>
      <c r="U483" t="s">
        <v>59</v>
      </c>
      <c r="V483" t="s">
        <v>38</v>
      </c>
      <c r="W483" t="s">
        <v>66</v>
      </c>
      <c r="X483" s="3">
        <v>45775</v>
      </c>
      <c r="Y483" s="1" t="str">
        <f t="shared" si="14"/>
        <v>Apr</v>
      </c>
      <c r="Z483" s="1" t="str">
        <f t="shared" si="15"/>
        <v>2025</v>
      </c>
      <c r="AA483" t="b">
        <v>0</v>
      </c>
      <c r="AB483" t="b">
        <v>1</v>
      </c>
      <c r="AC483" t="s">
        <v>62</v>
      </c>
      <c r="AD483" t="s">
        <v>53</v>
      </c>
      <c r="AE483">
        <v>14</v>
      </c>
    </row>
    <row r="484" spans="1:31" x14ac:dyDescent="0.3">
      <c r="A484" t="s">
        <v>1047</v>
      </c>
      <c r="B484">
        <v>50</v>
      </c>
      <c r="C484" t="str" cm="1">
        <f t="array" ref="C484">_xlfn.IFS(B484&lt;=18,"0-18",B484&lt;=29,"19-29",B484&gt;=49,"30-49",B484&gt;=69,"50-69",TRUE,"70+")</f>
        <v>30-49</v>
      </c>
      <c r="D484" t="s">
        <v>43</v>
      </c>
      <c r="E484" t="s">
        <v>44</v>
      </c>
      <c r="F484" t="s">
        <v>31</v>
      </c>
      <c r="G484" t="s">
        <v>56</v>
      </c>
      <c r="H484" t="s">
        <v>44</v>
      </c>
      <c r="I484" t="s">
        <v>64</v>
      </c>
      <c r="J484" t="s">
        <v>142</v>
      </c>
      <c r="K484" s="2">
        <v>66.86</v>
      </c>
      <c r="L484">
        <v>3</v>
      </c>
      <c r="M484" t="s">
        <v>35</v>
      </c>
      <c r="N484">
        <v>1</v>
      </c>
      <c r="O484">
        <v>1</v>
      </c>
      <c r="P484">
        <v>1</v>
      </c>
      <c r="Q484" t="s">
        <v>49</v>
      </c>
      <c r="R484" t="s">
        <v>85</v>
      </c>
      <c r="S484">
        <v>0</v>
      </c>
      <c r="T484">
        <v>10</v>
      </c>
      <c r="U484" t="s">
        <v>49</v>
      </c>
      <c r="V484" t="s">
        <v>79</v>
      </c>
      <c r="W484" t="s">
        <v>66</v>
      </c>
      <c r="X484" s="3">
        <v>45776</v>
      </c>
      <c r="Y484" s="1" t="str">
        <f t="shared" si="14"/>
        <v>Apr</v>
      </c>
      <c r="Z484" s="1" t="str">
        <f t="shared" si="15"/>
        <v>2025</v>
      </c>
      <c r="AA484" t="b">
        <v>1</v>
      </c>
      <c r="AB484" t="b">
        <v>1</v>
      </c>
      <c r="AC484" t="s">
        <v>52</v>
      </c>
      <c r="AD484" t="s">
        <v>67</v>
      </c>
      <c r="AE484">
        <v>9</v>
      </c>
    </row>
    <row r="485" spans="1:31" x14ac:dyDescent="0.3">
      <c r="A485" t="s">
        <v>1048</v>
      </c>
      <c r="B485">
        <v>29</v>
      </c>
      <c r="C485" t="str" cm="1">
        <f t="array" ref="C485">_xlfn.IFS(B485&lt;=18,"0-18",B485&lt;=29,"19-29",B485&gt;=49,"30-49",B485&gt;=69,"50-69",TRUE,"70+")</f>
        <v>19-29</v>
      </c>
      <c r="D485" t="s">
        <v>29</v>
      </c>
      <c r="E485" t="s">
        <v>44</v>
      </c>
      <c r="F485" t="s">
        <v>55</v>
      </c>
      <c r="G485" t="s">
        <v>32</v>
      </c>
      <c r="H485" t="s">
        <v>30</v>
      </c>
      <c r="I485" t="s">
        <v>1049</v>
      </c>
      <c r="J485" t="s">
        <v>158</v>
      </c>
      <c r="K485" s="2">
        <v>279.33999999999997</v>
      </c>
      <c r="L485">
        <v>5</v>
      </c>
      <c r="M485" t="s">
        <v>35</v>
      </c>
      <c r="N485">
        <v>3</v>
      </c>
      <c r="O485">
        <v>1</v>
      </c>
      <c r="P485">
        <v>0</v>
      </c>
      <c r="Q485" t="s">
        <v>49</v>
      </c>
      <c r="R485" t="s">
        <v>85</v>
      </c>
      <c r="S485">
        <v>2</v>
      </c>
      <c r="T485">
        <v>6</v>
      </c>
      <c r="U485" t="s">
        <v>59</v>
      </c>
      <c r="V485" t="s">
        <v>38</v>
      </c>
      <c r="W485" t="s">
        <v>51</v>
      </c>
      <c r="X485" s="3">
        <v>45777</v>
      </c>
      <c r="Y485" s="1" t="str">
        <f t="shared" si="14"/>
        <v>Apr</v>
      </c>
      <c r="Z485" s="1" t="str">
        <f t="shared" si="15"/>
        <v>2025</v>
      </c>
      <c r="AA485" t="b">
        <v>0</v>
      </c>
      <c r="AB485" t="b">
        <v>1</v>
      </c>
      <c r="AC485" t="s">
        <v>52</v>
      </c>
      <c r="AD485" t="s">
        <v>41</v>
      </c>
      <c r="AE485">
        <v>11</v>
      </c>
    </row>
    <row r="486" spans="1:31" x14ac:dyDescent="0.3">
      <c r="A486" t="s">
        <v>1050</v>
      </c>
      <c r="B486">
        <v>34</v>
      </c>
      <c r="C486" t="str" cm="1">
        <f t="array" ref="C486">_xlfn.IFS(B486&lt;=18,"0-18",B486&lt;=29,"19-29",B486&gt;=49,"30-49",B486&gt;=69,"50-69",TRUE,"70+")</f>
        <v>70+</v>
      </c>
      <c r="D486" t="s">
        <v>148</v>
      </c>
      <c r="E486" t="s">
        <v>44</v>
      </c>
      <c r="F486" t="s">
        <v>76</v>
      </c>
      <c r="G486" t="s">
        <v>32</v>
      </c>
      <c r="H486" t="s">
        <v>44</v>
      </c>
      <c r="I486" t="s">
        <v>1051</v>
      </c>
      <c r="J486" t="s">
        <v>117</v>
      </c>
      <c r="K486" s="2">
        <v>358.5</v>
      </c>
      <c r="L486">
        <v>3</v>
      </c>
      <c r="M486" t="s">
        <v>78</v>
      </c>
      <c r="N486">
        <v>3</v>
      </c>
      <c r="O486">
        <v>4</v>
      </c>
      <c r="P486">
        <v>2</v>
      </c>
      <c r="Q486" t="s">
        <v>49</v>
      </c>
      <c r="R486" t="s">
        <v>85</v>
      </c>
      <c r="S486">
        <v>2</v>
      </c>
      <c r="T486">
        <v>3</v>
      </c>
      <c r="U486" t="s">
        <v>36</v>
      </c>
      <c r="V486" t="s">
        <v>38</v>
      </c>
      <c r="W486" t="s">
        <v>86</v>
      </c>
      <c r="X486" s="3">
        <v>45778</v>
      </c>
      <c r="Y486" s="1" t="str">
        <f t="shared" si="14"/>
        <v>May</v>
      </c>
      <c r="Z486" s="1" t="str">
        <f t="shared" si="15"/>
        <v>2025</v>
      </c>
      <c r="AA486" t="b">
        <v>0</v>
      </c>
      <c r="AB486" t="b">
        <v>1</v>
      </c>
      <c r="AC486" t="s">
        <v>62</v>
      </c>
      <c r="AD486" t="s">
        <v>53</v>
      </c>
      <c r="AE486">
        <v>8</v>
      </c>
    </row>
    <row r="487" spans="1:31" x14ac:dyDescent="0.3">
      <c r="A487" t="s">
        <v>1052</v>
      </c>
      <c r="B487">
        <v>44</v>
      </c>
      <c r="C487" t="str" cm="1">
        <f t="array" ref="C487">_xlfn.IFS(B487&lt;=18,"0-18",B487&lt;=29,"19-29",B487&gt;=49,"30-49",B487&gt;=69,"50-69",TRUE,"70+")</f>
        <v>70+</v>
      </c>
      <c r="D487" t="s">
        <v>29</v>
      </c>
      <c r="E487" t="s">
        <v>44</v>
      </c>
      <c r="F487" t="s">
        <v>69</v>
      </c>
      <c r="G487" t="s">
        <v>32</v>
      </c>
      <c r="H487" t="s">
        <v>44</v>
      </c>
      <c r="I487" t="s">
        <v>1053</v>
      </c>
      <c r="J487" t="s">
        <v>246</v>
      </c>
      <c r="K487" s="2">
        <v>360.92</v>
      </c>
      <c r="L487">
        <v>7</v>
      </c>
      <c r="M487" t="s">
        <v>78</v>
      </c>
      <c r="N487">
        <v>2</v>
      </c>
      <c r="O487">
        <v>1</v>
      </c>
      <c r="P487">
        <v>2</v>
      </c>
      <c r="Q487" t="s">
        <v>36</v>
      </c>
      <c r="R487" t="s">
        <v>85</v>
      </c>
      <c r="S487">
        <v>0</v>
      </c>
      <c r="T487">
        <v>9</v>
      </c>
      <c r="U487" t="s">
        <v>59</v>
      </c>
      <c r="V487" t="s">
        <v>60</v>
      </c>
      <c r="W487" t="s">
        <v>51</v>
      </c>
      <c r="X487" s="3">
        <v>45779</v>
      </c>
      <c r="Y487" s="1" t="str">
        <f t="shared" si="14"/>
        <v>May</v>
      </c>
      <c r="Z487" s="1" t="str">
        <f t="shared" si="15"/>
        <v>2025</v>
      </c>
      <c r="AA487" t="b">
        <v>0</v>
      </c>
      <c r="AB487" t="b">
        <v>1</v>
      </c>
      <c r="AC487" t="s">
        <v>62</v>
      </c>
      <c r="AD487" t="s">
        <v>53</v>
      </c>
      <c r="AE487">
        <v>8</v>
      </c>
    </row>
    <row r="488" spans="1:31" x14ac:dyDescent="0.3">
      <c r="A488" t="s">
        <v>1054</v>
      </c>
      <c r="B488">
        <v>38</v>
      </c>
      <c r="C488" t="str" cm="1">
        <f t="array" ref="C488">_xlfn.IFS(B488&lt;=18,"0-18",B488&lt;=29,"19-29",B488&gt;=49,"30-49",B488&gt;=69,"50-69",TRUE,"70+")</f>
        <v>70+</v>
      </c>
      <c r="D488" t="s">
        <v>352</v>
      </c>
      <c r="E488" t="s">
        <v>30</v>
      </c>
      <c r="F488" t="s">
        <v>31</v>
      </c>
      <c r="G488" t="s">
        <v>56</v>
      </c>
      <c r="H488" t="s">
        <v>44</v>
      </c>
      <c r="I488" t="s">
        <v>1055</v>
      </c>
      <c r="J488" t="s">
        <v>158</v>
      </c>
      <c r="K488" s="2">
        <v>374.36</v>
      </c>
      <c r="L488">
        <v>4</v>
      </c>
      <c r="M488" t="s">
        <v>78</v>
      </c>
      <c r="N488">
        <v>2</v>
      </c>
      <c r="O488">
        <v>2</v>
      </c>
      <c r="P488">
        <v>0</v>
      </c>
      <c r="Q488" t="s">
        <v>36</v>
      </c>
      <c r="R488" t="s">
        <v>37</v>
      </c>
      <c r="S488">
        <v>1</v>
      </c>
      <c r="T488">
        <v>9</v>
      </c>
      <c r="U488" t="s">
        <v>36</v>
      </c>
      <c r="V488" t="s">
        <v>60</v>
      </c>
      <c r="W488" t="s">
        <v>66</v>
      </c>
      <c r="X488" s="3">
        <v>45780</v>
      </c>
      <c r="Y488" s="1" t="str">
        <f t="shared" si="14"/>
        <v>May</v>
      </c>
      <c r="Z488" s="1" t="str">
        <f t="shared" si="15"/>
        <v>2025</v>
      </c>
      <c r="AA488" t="b">
        <v>0</v>
      </c>
      <c r="AB488" t="b">
        <v>0</v>
      </c>
      <c r="AC488" t="s">
        <v>52</v>
      </c>
      <c r="AD488" t="s">
        <v>53</v>
      </c>
      <c r="AE488">
        <v>1</v>
      </c>
    </row>
    <row r="489" spans="1:31" x14ac:dyDescent="0.3">
      <c r="A489" t="s">
        <v>1056</v>
      </c>
      <c r="B489">
        <v>22</v>
      </c>
      <c r="C489" t="str" cm="1">
        <f t="array" ref="C489">_xlfn.IFS(B489&lt;=18,"0-18",B489&lt;=29,"19-29",B489&gt;=49,"30-49",B489&gt;=69,"50-69",TRUE,"70+")</f>
        <v>19-29</v>
      </c>
      <c r="D489" t="s">
        <v>148</v>
      </c>
      <c r="E489" t="s">
        <v>44</v>
      </c>
      <c r="F489" t="s">
        <v>69</v>
      </c>
      <c r="G489" t="s">
        <v>45</v>
      </c>
      <c r="H489" t="s">
        <v>30</v>
      </c>
      <c r="I489" t="s">
        <v>1057</v>
      </c>
      <c r="J489" t="s">
        <v>123</v>
      </c>
      <c r="K489" s="2">
        <v>435.37</v>
      </c>
      <c r="L489">
        <v>11</v>
      </c>
      <c r="M489" t="s">
        <v>78</v>
      </c>
      <c r="N489">
        <v>4</v>
      </c>
      <c r="O489">
        <v>2</v>
      </c>
      <c r="P489">
        <v>1</v>
      </c>
      <c r="Q489" t="s">
        <v>59</v>
      </c>
      <c r="R489" t="s">
        <v>85</v>
      </c>
      <c r="S489">
        <v>0</v>
      </c>
      <c r="T489">
        <v>3</v>
      </c>
      <c r="U489" t="s">
        <v>44</v>
      </c>
      <c r="V489" t="s">
        <v>38</v>
      </c>
      <c r="W489" t="s">
        <v>39</v>
      </c>
      <c r="X489" s="3">
        <v>45781</v>
      </c>
      <c r="Y489" s="1" t="str">
        <f t="shared" si="14"/>
        <v>May</v>
      </c>
      <c r="Z489" s="1" t="str">
        <f t="shared" si="15"/>
        <v>2025</v>
      </c>
      <c r="AA489" t="b">
        <v>1</v>
      </c>
      <c r="AB489" t="b">
        <v>1</v>
      </c>
      <c r="AC489" t="s">
        <v>74</v>
      </c>
      <c r="AD489" t="s">
        <v>53</v>
      </c>
      <c r="AE489">
        <v>4</v>
      </c>
    </row>
    <row r="490" spans="1:31" x14ac:dyDescent="0.3">
      <c r="A490" t="s">
        <v>1058</v>
      </c>
      <c r="B490">
        <v>44</v>
      </c>
      <c r="C490" t="str" cm="1">
        <f t="array" ref="C490">_xlfn.IFS(B490&lt;=18,"0-18",B490&lt;=29,"19-29",B490&gt;=49,"30-49",B490&gt;=69,"50-69",TRUE,"70+")</f>
        <v>70+</v>
      </c>
      <c r="D490" t="s">
        <v>43</v>
      </c>
      <c r="E490" t="s">
        <v>44</v>
      </c>
      <c r="F490" t="s">
        <v>55</v>
      </c>
      <c r="G490" t="s">
        <v>56</v>
      </c>
      <c r="H490" t="s">
        <v>44</v>
      </c>
      <c r="I490" t="s">
        <v>1059</v>
      </c>
      <c r="J490" t="s">
        <v>65</v>
      </c>
      <c r="K490" s="2">
        <v>459.3</v>
      </c>
      <c r="L490">
        <v>9</v>
      </c>
      <c r="M490" t="s">
        <v>78</v>
      </c>
      <c r="N490">
        <v>4</v>
      </c>
      <c r="O490">
        <v>4</v>
      </c>
      <c r="P490">
        <v>1</v>
      </c>
      <c r="Q490" t="s">
        <v>36</v>
      </c>
      <c r="R490" t="s">
        <v>37</v>
      </c>
      <c r="S490">
        <v>2</v>
      </c>
      <c r="T490">
        <v>5</v>
      </c>
      <c r="U490" t="s">
        <v>49</v>
      </c>
      <c r="V490" t="s">
        <v>79</v>
      </c>
      <c r="W490" t="s">
        <v>66</v>
      </c>
      <c r="X490" s="3">
        <v>45782</v>
      </c>
      <c r="Y490" s="1" t="str">
        <f t="shared" si="14"/>
        <v>May</v>
      </c>
      <c r="Z490" s="1" t="str">
        <f t="shared" si="15"/>
        <v>2025</v>
      </c>
      <c r="AA490" t="b">
        <v>0</v>
      </c>
      <c r="AB490" t="b">
        <v>1</v>
      </c>
      <c r="AC490" t="s">
        <v>74</v>
      </c>
      <c r="AD490" t="s">
        <v>41</v>
      </c>
      <c r="AE490">
        <v>1</v>
      </c>
    </row>
    <row r="491" spans="1:31" x14ac:dyDescent="0.3">
      <c r="A491" t="s">
        <v>1060</v>
      </c>
      <c r="B491">
        <v>43</v>
      </c>
      <c r="C491" t="str" cm="1">
        <f t="array" ref="C491">_xlfn.IFS(B491&lt;=18,"0-18",B491&lt;=29,"19-29",B491&gt;=49,"30-49",B491&gt;=69,"50-69",TRUE,"70+")</f>
        <v>70+</v>
      </c>
      <c r="D491" t="s">
        <v>29</v>
      </c>
      <c r="E491" t="s">
        <v>44</v>
      </c>
      <c r="F491" t="s">
        <v>76</v>
      </c>
      <c r="G491" t="s">
        <v>56</v>
      </c>
      <c r="H491" t="s">
        <v>30</v>
      </c>
      <c r="I491" t="s">
        <v>1061</v>
      </c>
      <c r="J491" t="s">
        <v>246</v>
      </c>
      <c r="K491" s="2">
        <v>426.89</v>
      </c>
      <c r="L491">
        <v>2</v>
      </c>
      <c r="M491" t="s">
        <v>35</v>
      </c>
      <c r="N491">
        <v>5</v>
      </c>
      <c r="O491">
        <v>1</v>
      </c>
      <c r="P491">
        <v>1</v>
      </c>
      <c r="Q491" t="s">
        <v>44</v>
      </c>
      <c r="R491" t="s">
        <v>50</v>
      </c>
      <c r="S491">
        <v>1</v>
      </c>
      <c r="T491">
        <v>3</v>
      </c>
      <c r="U491" t="s">
        <v>59</v>
      </c>
      <c r="V491" t="s">
        <v>60</v>
      </c>
      <c r="W491" t="s">
        <v>51</v>
      </c>
      <c r="X491" s="3">
        <v>45783</v>
      </c>
      <c r="Y491" s="1" t="str">
        <f t="shared" si="14"/>
        <v>May</v>
      </c>
      <c r="Z491" s="1" t="str">
        <f t="shared" si="15"/>
        <v>2025</v>
      </c>
      <c r="AA491" t="b">
        <v>1</v>
      </c>
      <c r="AB491" t="b">
        <v>0</v>
      </c>
      <c r="AC491" t="s">
        <v>52</v>
      </c>
      <c r="AD491" t="s">
        <v>67</v>
      </c>
      <c r="AE491">
        <v>10</v>
      </c>
    </row>
    <row r="492" spans="1:31" x14ac:dyDescent="0.3">
      <c r="A492" t="s">
        <v>1062</v>
      </c>
      <c r="B492">
        <v>25</v>
      </c>
      <c r="C492" t="str" cm="1">
        <f t="array" ref="C492">_xlfn.IFS(B492&lt;=18,"0-18",B492&lt;=29,"19-29",B492&gt;=49,"30-49",B492&gt;=69,"50-69",TRUE,"70+")</f>
        <v>19-29</v>
      </c>
      <c r="D492" t="s">
        <v>43</v>
      </c>
      <c r="E492" t="s">
        <v>30</v>
      </c>
      <c r="F492" t="s">
        <v>76</v>
      </c>
      <c r="G492" t="s">
        <v>56</v>
      </c>
      <c r="H492" t="s">
        <v>44</v>
      </c>
      <c r="I492" t="s">
        <v>1063</v>
      </c>
      <c r="J492" t="s">
        <v>101</v>
      </c>
      <c r="K492" s="2">
        <v>365.37</v>
      </c>
      <c r="L492">
        <v>6</v>
      </c>
      <c r="M492" t="s">
        <v>35</v>
      </c>
      <c r="N492">
        <v>1</v>
      </c>
      <c r="O492">
        <v>2</v>
      </c>
      <c r="P492">
        <v>1</v>
      </c>
      <c r="Q492" t="s">
        <v>59</v>
      </c>
      <c r="R492" t="s">
        <v>85</v>
      </c>
      <c r="S492">
        <v>1</v>
      </c>
      <c r="T492">
        <v>5</v>
      </c>
      <c r="U492" t="s">
        <v>59</v>
      </c>
      <c r="V492" t="s">
        <v>60</v>
      </c>
      <c r="W492" t="s">
        <v>51</v>
      </c>
      <c r="X492" s="3">
        <v>45784</v>
      </c>
      <c r="Y492" s="1" t="str">
        <f t="shared" si="14"/>
        <v>May</v>
      </c>
      <c r="Z492" s="1" t="str">
        <f t="shared" si="15"/>
        <v>2025</v>
      </c>
      <c r="AA492" t="b">
        <v>1</v>
      </c>
      <c r="AB492" t="b">
        <v>1</v>
      </c>
      <c r="AC492" t="s">
        <v>52</v>
      </c>
      <c r="AD492" t="s">
        <v>67</v>
      </c>
      <c r="AE492">
        <v>7</v>
      </c>
    </row>
    <row r="493" spans="1:31" x14ac:dyDescent="0.3">
      <c r="A493" t="s">
        <v>1064</v>
      </c>
      <c r="B493">
        <v>21</v>
      </c>
      <c r="C493" t="str" cm="1">
        <f t="array" ref="C493">_xlfn.IFS(B493&lt;=18,"0-18",B493&lt;=29,"19-29",B493&gt;=49,"30-49",B493&gt;=69,"50-69",TRUE,"70+")</f>
        <v>19-29</v>
      </c>
      <c r="D493" t="s">
        <v>29</v>
      </c>
      <c r="E493" t="s">
        <v>30</v>
      </c>
      <c r="F493" t="s">
        <v>76</v>
      </c>
      <c r="G493" t="s">
        <v>56</v>
      </c>
      <c r="H493" t="s">
        <v>44</v>
      </c>
      <c r="I493" t="s">
        <v>1065</v>
      </c>
      <c r="J493" t="s">
        <v>93</v>
      </c>
      <c r="K493" s="2">
        <v>487.25</v>
      </c>
      <c r="L493">
        <v>4</v>
      </c>
      <c r="M493" t="s">
        <v>78</v>
      </c>
      <c r="N493">
        <v>3</v>
      </c>
      <c r="O493">
        <v>2</v>
      </c>
      <c r="P493">
        <v>1</v>
      </c>
      <c r="Q493" t="s">
        <v>44</v>
      </c>
      <c r="R493" t="s">
        <v>85</v>
      </c>
      <c r="S493">
        <v>0</v>
      </c>
      <c r="T493">
        <v>4</v>
      </c>
      <c r="U493" t="s">
        <v>44</v>
      </c>
      <c r="V493" t="s">
        <v>79</v>
      </c>
      <c r="W493" t="s">
        <v>86</v>
      </c>
      <c r="X493" s="3">
        <v>45785</v>
      </c>
      <c r="Y493" s="1" t="str">
        <f t="shared" si="14"/>
        <v>May</v>
      </c>
      <c r="Z493" s="1" t="str">
        <f t="shared" si="15"/>
        <v>2025</v>
      </c>
      <c r="AA493" t="b">
        <v>0</v>
      </c>
      <c r="AB493" t="b">
        <v>0</v>
      </c>
      <c r="AC493" t="s">
        <v>52</v>
      </c>
      <c r="AD493" t="s">
        <v>53</v>
      </c>
      <c r="AE493">
        <v>1</v>
      </c>
    </row>
    <row r="494" spans="1:31" x14ac:dyDescent="0.3">
      <c r="A494" t="s">
        <v>1066</v>
      </c>
      <c r="B494">
        <v>29</v>
      </c>
      <c r="C494" t="str" cm="1">
        <f t="array" ref="C494">_xlfn.IFS(B494&lt;=18,"0-18",B494&lt;=29,"19-29",B494&gt;=49,"30-49",B494&gt;=69,"50-69",TRUE,"70+")</f>
        <v>19-29</v>
      </c>
      <c r="D494" t="s">
        <v>29</v>
      </c>
      <c r="E494" t="s">
        <v>30</v>
      </c>
      <c r="F494" t="s">
        <v>31</v>
      </c>
      <c r="G494" t="s">
        <v>45</v>
      </c>
      <c r="H494" t="s">
        <v>44</v>
      </c>
      <c r="I494" t="s">
        <v>1067</v>
      </c>
      <c r="J494" t="s">
        <v>123</v>
      </c>
      <c r="K494" s="2">
        <v>187.22</v>
      </c>
      <c r="L494">
        <v>10</v>
      </c>
      <c r="M494" t="s">
        <v>78</v>
      </c>
      <c r="N494">
        <v>5</v>
      </c>
      <c r="O494">
        <v>3</v>
      </c>
      <c r="P494">
        <v>0</v>
      </c>
      <c r="Q494" t="s">
        <v>49</v>
      </c>
      <c r="R494" t="s">
        <v>85</v>
      </c>
      <c r="S494">
        <v>1</v>
      </c>
      <c r="T494">
        <v>4</v>
      </c>
      <c r="U494" t="s">
        <v>59</v>
      </c>
      <c r="V494" t="s">
        <v>79</v>
      </c>
      <c r="W494" t="s">
        <v>39</v>
      </c>
      <c r="X494" s="3">
        <v>45786</v>
      </c>
      <c r="Y494" s="1" t="str">
        <f t="shared" si="14"/>
        <v>May</v>
      </c>
      <c r="Z494" s="1" t="str">
        <f t="shared" si="15"/>
        <v>2025</v>
      </c>
      <c r="AA494" t="b">
        <v>0</v>
      </c>
      <c r="AB494" t="b">
        <v>0</v>
      </c>
      <c r="AC494" t="s">
        <v>52</v>
      </c>
      <c r="AD494" t="s">
        <v>53</v>
      </c>
      <c r="AE494">
        <v>4</v>
      </c>
    </row>
    <row r="495" spans="1:31" x14ac:dyDescent="0.3">
      <c r="A495" t="s">
        <v>1068</v>
      </c>
      <c r="B495">
        <v>41</v>
      </c>
      <c r="C495" t="str" cm="1">
        <f t="array" ref="C495">_xlfn.IFS(B495&lt;=18,"0-18",B495&lt;=29,"19-29",B495&gt;=49,"30-49",B495&gt;=69,"50-69",TRUE,"70+")</f>
        <v>70+</v>
      </c>
      <c r="D495" t="s">
        <v>43</v>
      </c>
      <c r="E495" t="s">
        <v>44</v>
      </c>
      <c r="F495" t="s">
        <v>76</v>
      </c>
      <c r="G495" t="s">
        <v>56</v>
      </c>
      <c r="H495" t="s">
        <v>44</v>
      </c>
      <c r="I495" t="s">
        <v>1069</v>
      </c>
      <c r="J495" t="s">
        <v>126</v>
      </c>
      <c r="K495" s="2">
        <v>396.82</v>
      </c>
      <c r="L495">
        <v>7</v>
      </c>
      <c r="M495" t="s">
        <v>35</v>
      </c>
      <c r="N495">
        <v>3</v>
      </c>
      <c r="O495">
        <v>4</v>
      </c>
      <c r="P495">
        <v>1</v>
      </c>
      <c r="Q495" t="s">
        <v>36</v>
      </c>
      <c r="R495" t="s">
        <v>37</v>
      </c>
      <c r="S495">
        <v>1</v>
      </c>
      <c r="T495">
        <v>9</v>
      </c>
      <c r="U495" t="s">
        <v>44</v>
      </c>
      <c r="V495" t="s">
        <v>79</v>
      </c>
      <c r="W495" t="s">
        <v>39</v>
      </c>
      <c r="X495" s="3">
        <v>45787</v>
      </c>
      <c r="Y495" s="1" t="str">
        <f t="shared" si="14"/>
        <v>May</v>
      </c>
      <c r="Z495" s="1" t="str">
        <f t="shared" si="15"/>
        <v>2025</v>
      </c>
      <c r="AA495" t="b">
        <v>1</v>
      </c>
      <c r="AB495" t="b">
        <v>1</v>
      </c>
      <c r="AC495" t="s">
        <v>40</v>
      </c>
      <c r="AD495" t="s">
        <v>41</v>
      </c>
      <c r="AE495">
        <v>9</v>
      </c>
    </row>
    <row r="496" spans="1:31" x14ac:dyDescent="0.3">
      <c r="A496" t="s">
        <v>1070</v>
      </c>
      <c r="B496">
        <v>38</v>
      </c>
      <c r="C496" t="str" cm="1">
        <f t="array" ref="C496">_xlfn.IFS(B496&lt;=18,"0-18",B496&lt;=29,"19-29",B496&gt;=49,"30-49",B496&gt;=69,"50-69",TRUE,"70+")</f>
        <v>70+</v>
      </c>
      <c r="D496" t="s">
        <v>148</v>
      </c>
      <c r="E496" t="s">
        <v>44</v>
      </c>
      <c r="F496" t="s">
        <v>76</v>
      </c>
      <c r="G496" t="s">
        <v>56</v>
      </c>
      <c r="H496" t="s">
        <v>44</v>
      </c>
      <c r="I496" t="s">
        <v>1071</v>
      </c>
      <c r="J496" t="s">
        <v>194</v>
      </c>
      <c r="K496" s="2">
        <v>246.74</v>
      </c>
      <c r="L496">
        <v>10</v>
      </c>
      <c r="M496" t="s">
        <v>78</v>
      </c>
      <c r="N496">
        <v>2</v>
      </c>
      <c r="O496">
        <v>3</v>
      </c>
      <c r="P496">
        <v>0</v>
      </c>
      <c r="Q496" t="s">
        <v>49</v>
      </c>
      <c r="R496" t="s">
        <v>50</v>
      </c>
      <c r="S496">
        <v>1</v>
      </c>
      <c r="T496">
        <v>6</v>
      </c>
      <c r="U496" t="s">
        <v>44</v>
      </c>
      <c r="V496" t="s">
        <v>79</v>
      </c>
      <c r="W496" t="s">
        <v>51</v>
      </c>
      <c r="X496" s="3">
        <v>45788</v>
      </c>
      <c r="Y496" s="1" t="str">
        <f t="shared" si="14"/>
        <v>May</v>
      </c>
      <c r="Z496" s="1" t="str">
        <f t="shared" si="15"/>
        <v>2025</v>
      </c>
      <c r="AA496" t="b">
        <v>0</v>
      </c>
      <c r="AB496" t="b">
        <v>0</v>
      </c>
      <c r="AC496" t="s">
        <v>40</v>
      </c>
      <c r="AD496" t="s">
        <v>67</v>
      </c>
      <c r="AE496">
        <v>8</v>
      </c>
    </row>
    <row r="497" spans="1:31" x14ac:dyDescent="0.3">
      <c r="A497" t="s">
        <v>1072</v>
      </c>
      <c r="B497">
        <v>26</v>
      </c>
      <c r="C497" t="str" cm="1">
        <f t="array" ref="C497">_xlfn.IFS(B497&lt;=18,"0-18",B497&lt;=29,"19-29",B497&gt;=49,"30-49",B497&gt;=69,"50-69",TRUE,"70+")</f>
        <v>19-29</v>
      </c>
      <c r="D497" t="s">
        <v>43</v>
      </c>
      <c r="E497" t="s">
        <v>44</v>
      </c>
      <c r="F497" t="s">
        <v>69</v>
      </c>
      <c r="G497" t="s">
        <v>32</v>
      </c>
      <c r="H497" t="s">
        <v>44</v>
      </c>
      <c r="I497" t="s">
        <v>1073</v>
      </c>
      <c r="J497" t="s">
        <v>98</v>
      </c>
      <c r="K497" s="2">
        <v>128.74</v>
      </c>
      <c r="L497">
        <v>12</v>
      </c>
      <c r="M497" t="s">
        <v>35</v>
      </c>
      <c r="N497">
        <v>5</v>
      </c>
      <c r="O497">
        <v>1</v>
      </c>
      <c r="P497">
        <v>1</v>
      </c>
      <c r="Q497" t="s">
        <v>49</v>
      </c>
      <c r="R497" t="s">
        <v>37</v>
      </c>
      <c r="S497">
        <v>1</v>
      </c>
      <c r="T497">
        <v>8</v>
      </c>
      <c r="U497" t="s">
        <v>44</v>
      </c>
      <c r="V497" t="s">
        <v>79</v>
      </c>
      <c r="W497" t="s">
        <v>51</v>
      </c>
      <c r="X497" s="3">
        <v>45789</v>
      </c>
      <c r="Y497" s="1" t="str">
        <f t="shared" si="14"/>
        <v>May</v>
      </c>
      <c r="Z497" s="1" t="str">
        <f t="shared" si="15"/>
        <v>2025</v>
      </c>
      <c r="AA497" t="b">
        <v>0</v>
      </c>
      <c r="AB497" t="b">
        <v>1</v>
      </c>
      <c r="AC497" t="s">
        <v>74</v>
      </c>
      <c r="AD497" t="s">
        <v>53</v>
      </c>
      <c r="AE497">
        <v>1</v>
      </c>
    </row>
    <row r="498" spans="1:31" x14ac:dyDescent="0.3">
      <c r="A498" t="s">
        <v>1074</v>
      </c>
      <c r="B498">
        <v>41</v>
      </c>
      <c r="C498" t="str" cm="1">
        <f t="array" ref="C498">_xlfn.IFS(B498&lt;=18,"0-18",B498&lt;=29,"19-29",B498&gt;=49,"30-49",B498&gt;=69,"50-69",TRUE,"70+")</f>
        <v>70+</v>
      </c>
      <c r="D498" t="s">
        <v>29</v>
      </c>
      <c r="E498" t="s">
        <v>30</v>
      </c>
      <c r="F498" t="s">
        <v>69</v>
      </c>
      <c r="G498" t="s">
        <v>56</v>
      </c>
      <c r="H498" t="s">
        <v>30</v>
      </c>
      <c r="I498" t="s">
        <v>1075</v>
      </c>
      <c r="J498" t="s">
        <v>126</v>
      </c>
      <c r="K498" s="2">
        <v>339.63</v>
      </c>
      <c r="L498">
        <v>2</v>
      </c>
      <c r="M498" t="s">
        <v>48</v>
      </c>
      <c r="N498">
        <v>3</v>
      </c>
      <c r="O498">
        <v>3</v>
      </c>
      <c r="P498">
        <v>2</v>
      </c>
      <c r="Q498" t="s">
        <v>49</v>
      </c>
      <c r="R498" t="s">
        <v>85</v>
      </c>
      <c r="S498">
        <v>2</v>
      </c>
      <c r="T498">
        <v>1</v>
      </c>
      <c r="U498" t="s">
        <v>59</v>
      </c>
      <c r="V498" t="s">
        <v>38</v>
      </c>
      <c r="W498" t="s">
        <v>51</v>
      </c>
      <c r="X498" s="3">
        <v>45790</v>
      </c>
      <c r="Y498" s="1" t="str">
        <f t="shared" si="14"/>
        <v>May</v>
      </c>
      <c r="Z498" s="1" t="str">
        <f t="shared" si="15"/>
        <v>2025</v>
      </c>
      <c r="AA498" t="b">
        <v>1</v>
      </c>
      <c r="AB498" t="b">
        <v>0</v>
      </c>
      <c r="AC498" t="s">
        <v>62</v>
      </c>
      <c r="AD498" t="s">
        <v>41</v>
      </c>
      <c r="AE498">
        <v>6</v>
      </c>
    </row>
    <row r="499" spans="1:31" x14ac:dyDescent="0.3">
      <c r="A499" t="s">
        <v>1076</v>
      </c>
      <c r="B499">
        <v>46</v>
      </c>
      <c r="C499" t="str" cm="1">
        <f t="array" ref="C499">_xlfn.IFS(B499&lt;=18,"0-18",B499&lt;=29,"19-29",B499&gt;=49,"30-49",B499&gt;=69,"50-69",TRUE,"70+")</f>
        <v>70+</v>
      </c>
      <c r="D499" t="s">
        <v>29</v>
      </c>
      <c r="E499" t="s">
        <v>44</v>
      </c>
      <c r="F499" t="s">
        <v>55</v>
      </c>
      <c r="G499" t="s">
        <v>32</v>
      </c>
      <c r="H499" t="s">
        <v>44</v>
      </c>
      <c r="I499" t="s">
        <v>1077</v>
      </c>
      <c r="J499" t="s">
        <v>90</v>
      </c>
      <c r="K499" s="2">
        <v>223.58</v>
      </c>
      <c r="L499">
        <v>11</v>
      </c>
      <c r="M499" t="s">
        <v>35</v>
      </c>
      <c r="N499">
        <v>4</v>
      </c>
      <c r="O499">
        <v>3</v>
      </c>
      <c r="P499">
        <v>0</v>
      </c>
      <c r="Q499" t="s">
        <v>44</v>
      </c>
      <c r="R499" t="s">
        <v>85</v>
      </c>
      <c r="S499">
        <v>0</v>
      </c>
      <c r="T499">
        <v>6</v>
      </c>
      <c r="U499" t="s">
        <v>36</v>
      </c>
      <c r="V499" t="s">
        <v>38</v>
      </c>
      <c r="W499" t="s">
        <v>51</v>
      </c>
      <c r="X499" s="3">
        <v>45791</v>
      </c>
      <c r="Y499" s="1" t="str">
        <f t="shared" si="14"/>
        <v>May</v>
      </c>
      <c r="Z499" s="1" t="str">
        <f t="shared" si="15"/>
        <v>2025</v>
      </c>
      <c r="AA499" t="b">
        <v>0</v>
      </c>
      <c r="AB499" t="b">
        <v>0</v>
      </c>
      <c r="AC499" t="s">
        <v>62</v>
      </c>
      <c r="AD499" t="s">
        <v>41</v>
      </c>
      <c r="AE499">
        <v>11</v>
      </c>
    </row>
    <row r="500" spans="1:31" x14ac:dyDescent="0.3">
      <c r="A500" t="s">
        <v>1078</v>
      </c>
      <c r="B500">
        <v>39</v>
      </c>
      <c r="C500" t="str" cm="1">
        <f t="array" ref="C500">_xlfn.IFS(B500&lt;=18,"0-18",B500&lt;=29,"19-29",B500&gt;=49,"30-49",B500&gt;=69,"50-69",TRUE,"70+")</f>
        <v>70+</v>
      </c>
      <c r="D500" t="s">
        <v>352</v>
      </c>
      <c r="E500" t="s">
        <v>44</v>
      </c>
      <c r="F500" t="s">
        <v>69</v>
      </c>
      <c r="G500" t="s">
        <v>32</v>
      </c>
      <c r="H500" t="s">
        <v>30</v>
      </c>
      <c r="I500" t="s">
        <v>1079</v>
      </c>
      <c r="J500" t="s">
        <v>34</v>
      </c>
      <c r="K500" s="2">
        <v>446.92</v>
      </c>
      <c r="L500">
        <v>5</v>
      </c>
      <c r="M500" t="s">
        <v>35</v>
      </c>
      <c r="N500">
        <v>1</v>
      </c>
      <c r="O500">
        <v>1</v>
      </c>
      <c r="P500">
        <v>1</v>
      </c>
      <c r="Q500" t="s">
        <v>49</v>
      </c>
      <c r="R500" t="s">
        <v>85</v>
      </c>
      <c r="S500">
        <v>2</v>
      </c>
      <c r="T500">
        <v>6</v>
      </c>
      <c r="U500" t="s">
        <v>36</v>
      </c>
      <c r="V500" t="s">
        <v>60</v>
      </c>
      <c r="W500" t="s">
        <v>51</v>
      </c>
      <c r="X500" s="3">
        <v>45792</v>
      </c>
      <c r="Y500" s="1" t="str">
        <f t="shared" si="14"/>
        <v>May</v>
      </c>
      <c r="Z500" s="1" t="str">
        <f t="shared" si="15"/>
        <v>2025</v>
      </c>
      <c r="AA500" t="b">
        <v>1</v>
      </c>
      <c r="AB500" t="b">
        <v>0</v>
      </c>
      <c r="AC500" t="s">
        <v>74</v>
      </c>
      <c r="AD500" t="s">
        <v>67</v>
      </c>
      <c r="AE500">
        <v>10</v>
      </c>
    </row>
    <row r="501" spans="1:31" x14ac:dyDescent="0.3">
      <c r="A501" t="s">
        <v>1080</v>
      </c>
      <c r="B501">
        <v>43</v>
      </c>
      <c r="C501" t="str" cm="1">
        <f t="array" ref="C501">_xlfn.IFS(B501&lt;=18,"0-18",B501&lt;=29,"19-29",B501&gt;=49,"30-49",B501&gt;=69,"50-69",TRUE,"70+")</f>
        <v>70+</v>
      </c>
      <c r="D501" t="s">
        <v>43</v>
      </c>
      <c r="E501" t="s">
        <v>30</v>
      </c>
      <c r="F501" t="s">
        <v>76</v>
      </c>
      <c r="G501" t="s">
        <v>32</v>
      </c>
      <c r="H501" t="s">
        <v>30</v>
      </c>
      <c r="I501" t="s">
        <v>1081</v>
      </c>
      <c r="J501" t="s">
        <v>117</v>
      </c>
      <c r="K501" s="2">
        <v>175.65</v>
      </c>
      <c r="L501">
        <v>11</v>
      </c>
      <c r="M501" t="s">
        <v>35</v>
      </c>
      <c r="N501">
        <v>4</v>
      </c>
      <c r="O501">
        <v>3</v>
      </c>
      <c r="P501">
        <v>2</v>
      </c>
      <c r="Q501" t="s">
        <v>59</v>
      </c>
      <c r="R501" t="s">
        <v>50</v>
      </c>
      <c r="S501">
        <v>1</v>
      </c>
      <c r="T501">
        <v>7</v>
      </c>
      <c r="U501" t="s">
        <v>36</v>
      </c>
      <c r="V501" t="s">
        <v>38</v>
      </c>
      <c r="W501" t="s">
        <v>66</v>
      </c>
      <c r="X501" s="3">
        <v>45793</v>
      </c>
      <c r="Y501" s="1" t="str">
        <f t="shared" si="14"/>
        <v>May</v>
      </c>
      <c r="Z501" s="1" t="str">
        <f t="shared" si="15"/>
        <v>2025</v>
      </c>
      <c r="AA501" t="b">
        <v>0</v>
      </c>
      <c r="AB501" t="b">
        <v>1</v>
      </c>
      <c r="AC501" t="s">
        <v>52</v>
      </c>
      <c r="AD501" t="s">
        <v>67</v>
      </c>
      <c r="AE501">
        <v>8</v>
      </c>
    </row>
    <row r="502" spans="1:31" x14ac:dyDescent="0.3">
      <c r="A502" t="s">
        <v>1082</v>
      </c>
      <c r="B502">
        <v>44</v>
      </c>
      <c r="C502" t="str" cm="1">
        <f t="array" ref="C502">_xlfn.IFS(B502&lt;=18,"0-18",B502&lt;=29,"19-29",B502&gt;=49,"30-49",B502&gt;=69,"50-69",TRUE,"70+")</f>
        <v>70+</v>
      </c>
      <c r="D502" t="s">
        <v>148</v>
      </c>
      <c r="E502" t="s">
        <v>30</v>
      </c>
      <c r="F502" t="s">
        <v>31</v>
      </c>
      <c r="G502" t="s">
        <v>32</v>
      </c>
      <c r="H502" t="s">
        <v>30</v>
      </c>
      <c r="I502" t="s">
        <v>1083</v>
      </c>
      <c r="J502" t="s">
        <v>183</v>
      </c>
      <c r="K502" s="2">
        <v>491.49</v>
      </c>
      <c r="L502">
        <v>10</v>
      </c>
      <c r="M502" t="s">
        <v>35</v>
      </c>
      <c r="N502">
        <v>1</v>
      </c>
      <c r="O502">
        <v>1</v>
      </c>
      <c r="P502">
        <v>0</v>
      </c>
      <c r="Q502" t="s">
        <v>59</v>
      </c>
      <c r="R502" t="s">
        <v>37</v>
      </c>
      <c r="S502">
        <v>2</v>
      </c>
      <c r="T502">
        <v>7</v>
      </c>
      <c r="U502" t="s">
        <v>36</v>
      </c>
      <c r="V502" t="s">
        <v>79</v>
      </c>
      <c r="W502" t="s">
        <v>51</v>
      </c>
      <c r="X502" s="3">
        <v>45794</v>
      </c>
      <c r="Y502" s="1" t="str">
        <f t="shared" si="14"/>
        <v>May</v>
      </c>
      <c r="Z502" s="1" t="str">
        <f t="shared" si="15"/>
        <v>2025</v>
      </c>
      <c r="AA502" t="b">
        <v>0</v>
      </c>
      <c r="AB502" t="b">
        <v>0</v>
      </c>
      <c r="AC502" t="s">
        <v>74</v>
      </c>
      <c r="AD502" t="s">
        <v>53</v>
      </c>
      <c r="AE502">
        <v>1</v>
      </c>
    </row>
    <row r="503" spans="1:31" x14ac:dyDescent="0.3">
      <c r="A503" t="s">
        <v>1084</v>
      </c>
      <c r="B503">
        <v>26</v>
      </c>
      <c r="C503" t="str" cm="1">
        <f t="array" ref="C503">_xlfn.IFS(B503&lt;=18,"0-18",B503&lt;=29,"19-29",B503&gt;=49,"30-49",B503&gt;=69,"50-69",TRUE,"70+")</f>
        <v>19-29</v>
      </c>
      <c r="D503" t="s">
        <v>43</v>
      </c>
      <c r="E503" t="s">
        <v>30</v>
      </c>
      <c r="F503" t="s">
        <v>69</v>
      </c>
      <c r="G503" t="s">
        <v>32</v>
      </c>
      <c r="H503" t="s">
        <v>30</v>
      </c>
      <c r="I503" t="s">
        <v>1085</v>
      </c>
      <c r="J503" t="s">
        <v>188</v>
      </c>
      <c r="K503" s="2">
        <v>88.4</v>
      </c>
      <c r="L503">
        <v>5</v>
      </c>
      <c r="M503" t="s">
        <v>48</v>
      </c>
      <c r="N503">
        <v>5</v>
      </c>
      <c r="O503">
        <v>2</v>
      </c>
      <c r="P503">
        <v>0</v>
      </c>
      <c r="Q503" t="s">
        <v>49</v>
      </c>
      <c r="R503" t="s">
        <v>50</v>
      </c>
      <c r="S503">
        <v>0</v>
      </c>
      <c r="T503">
        <v>4</v>
      </c>
      <c r="U503" t="s">
        <v>49</v>
      </c>
      <c r="V503" t="s">
        <v>79</v>
      </c>
      <c r="W503" t="s">
        <v>86</v>
      </c>
      <c r="X503" s="3">
        <v>45795</v>
      </c>
      <c r="Y503" s="1" t="str">
        <f t="shared" si="14"/>
        <v>May</v>
      </c>
      <c r="Z503" s="1" t="str">
        <f t="shared" si="15"/>
        <v>2025</v>
      </c>
      <c r="AA503" t="b">
        <v>1</v>
      </c>
      <c r="AB503" t="b">
        <v>0</v>
      </c>
      <c r="AC503" t="s">
        <v>40</v>
      </c>
      <c r="AD503" t="s">
        <v>41</v>
      </c>
      <c r="AE503">
        <v>4</v>
      </c>
    </row>
    <row r="504" spans="1:31" x14ac:dyDescent="0.3">
      <c r="A504" t="s">
        <v>1086</v>
      </c>
      <c r="B504">
        <v>29</v>
      </c>
      <c r="C504" t="str" cm="1">
        <f t="array" ref="C504">_xlfn.IFS(B504&lt;=18,"0-18",B504&lt;=29,"19-29",B504&gt;=49,"30-49",B504&gt;=69,"50-69",TRUE,"70+")</f>
        <v>19-29</v>
      </c>
      <c r="D504" t="s">
        <v>43</v>
      </c>
      <c r="E504" t="s">
        <v>30</v>
      </c>
      <c r="F504" t="s">
        <v>69</v>
      </c>
      <c r="G504" t="s">
        <v>56</v>
      </c>
      <c r="H504" t="s">
        <v>44</v>
      </c>
      <c r="I504" t="s">
        <v>1087</v>
      </c>
      <c r="J504" t="s">
        <v>58</v>
      </c>
      <c r="K504" s="2">
        <v>430.9</v>
      </c>
      <c r="L504">
        <v>8</v>
      </c>
      <c r="M504" t="s">
        <v>78</v>
      </c>
      <c r="N504">
        <v>4</v>
      </c>
      <c r="O504">
        <v>5</v>
      </c>
      <c r="P504">
        <v>1</v>
      </c>
      <c r="Q504" t="s">
        <v>44</v>
      </c>
      <c r="R504" t="s">
        <v>50</v>
      </c>
      <c r="S504">
        <v>0</v>
      </c>
      <c r="T504">
        <v>6</v>
      </c>
      <c r="U504" t="s">
        <v>36</v>
      </c>
      <c r="V504" t="s">
        <v>38</v>
      </c>
      <c r="W504" t="s">
        <v>39</v>
      </c>
      <c r="X504" s="3">
        <v>45796</v>
      </c>
      <c r="Y504" s="1" t="str">
        <f t="shared" si="14"/>
        <v>May</v>
      </c>
      <c r="Z504" s="1" t="str">
        <f t="shared" si="15"/>
        <v>2025</v>
      </c>
      <c r="AA504" t="b">
        <v>0</v>
      </c>
      <c r="AB504" t="b">
        <v>0</v>
      </c>
      <c r="AC504" t="s">
        <v>52</v>
      </c>
      <c r="AD504" t="s">
        <v>53</v>
      </c>
      <c r="AE504">
        <v>11</v>
      </c>
    </row>
    <row r="505" spans="1:31" x14ac:dyDescent="0.3">
      <c r="A505" t="s">
        <v>1088</v>
      </c>
      <c r="B505">
        <v>50</v>
      </c>
      <c r="C505" t="str" cm="1">
        <f t="array" ref="C505">_xlfn.IFS(B505&lt;=18,"0-18",B505&lt;=29,"19-29",B505&gt;=49,"30-49",B505&gt;=69,"50-69",TRUE,"70+")</f>
        <v>30-49</v>
      </c>
      <c r="D505" t="s">
        <v>43</v>
      </c>
      <c r="E505" t="s">
        <v>44</v>
      </c>
      <c r="F505" t="s">
        <v>69</v>
      </c>
      <c r="G505" t="s">
        <v>45</v>
      </c>
      <c r="H505" t="s">
        <v>44</v>
      </c>
      <c r="I505" t="s">
        <v>1089</v>
      </c>
      <c r="J505" t="s">
        <v>93</v>
      </c>
      <c r="K505" s="2">
        <v>435.23</v>
      </c>
      <c r="L505">
        <v>2</v>
      </c>
      <c r="M505" t="s">
        <v>48</v>
      </c>
      <c r="N505">
        <v>2</v>
      </c>
      <c r="O505">
        <v>4</v>
      </c>
      <c r="P505">
        <v>0</v>
      </c>
      <c r="Q505" t="s">
        <v>36</v>
      </c>
      <c r="R505" t="s">
        <v>37</v>
      </c>
      <c r="S505">
        <v>2</v>
      </c>
      <c r="T505">
        <v>2</v>
      </c>
      <c r="U505" t="s">
        <v>49</v>
      </c>
      <c r="V505" t="s">
        <v>60</v>
      </c>
      <c r="W505" t="s">
        <v>86</v>
      </c>
      <c r="X505" s="3">
        <v>45797</v>
      </c>
      <c r="Y505" s="1" t="str">
        <f t="shared" si="14"/>
        <v>May</v>
      </c>
      <c r="Z505" s="1" t="str">
        <f t="shared" si="15"/>
        <v>2025</v>
      </c>
      <c r="AA505" t="b">
        <v>0</v>
      </c>
      <c r="AB505" t="b">
        <v>1</v>
      </c>
      <c r="AC505" t="s">
        <v>62</v>
      </c>
      <c r="AD505" t="s">
        <v>67</v>
      </c>
      <c r="AE505">
        <v>13</v>
      </c>
    </row>
    <row r="506" spans="1:31" x14ac:dyDescent="0.3">
      <c r="A506" t="s">
        <v>1090</v>
      </c>
      <c r="B506">
        <v>19</v>
      </c>
      <c r="C506" t="str" cm="1">
        <f t="array" ref="C506">_xlfn.IFS(B506&lt;=18,"0-18",B506&lt;=29,"19-29",B506&gt;=49,"30-49",B506&gt;=69,"50-69",TRUE,"70+")</f>
        <v>19-29</v>
      </c>
      <c r="D506" t="s">
        <v>29</v>
      </c>
      <c r="E506" t="s">
        <v>44</v>
      </c>
      <c r="F506" t="s">
        <v>76</v>
      </c>
      <c r="G506" t="s">
        <v>56</v>
      </c>
      <c r="H506" t="s">
        <v>30</v>
      </c>
      <c r="I506" t="s">
        <v>1091</v>
      </c>
      <c r="J506" t="s">
        <v>126</v>
      </c>
      <c r="K506" s="2">
        <v>218.65</v>
      </c>
      <c r="L506">
        <v>3</v>
      </c>
      <c r="M506" t="s">
        <v>78</v>
      </c>
      <c r="N506">
        <v>4</v>
      </c>
      <c r="O506">
        <v>2</v>
      </c>
      <c r="P506">
        <v>2</v>
      </c>
      <c r="Q506" t="s">
        <v>59</v>
      </c>
      <c r="R506" t="s">
        <v>85</v>
      </c>
      <c r="S506">
        <v>0</v>
      </c>
      <c r="T506">
        <v>9</v>
      </c>
      <c r="U506" t="s">
        <v>49</v>
      </c>
      <c r="V506" t="s">
        <v>60</v>
      </c>
      <c r="W506" t="s">
        <v>39</v>
      </c>
      <c r="X506" s="3">
        <v>45798</v>
      </c>
      <c r="Y506" s="1" t="str">
        <f t="shared" si="14"/>
        <v>May</v>
      </c>
      <c r="Z506" s="1" t="str">
        <f t="shared" si="15"/>
        <v>2025</v>
      </c>
      <c r="AA506" t="b">
        <v>1</v>
      </c>
      <c r="AB506" t="b">
        <v>1</v>
      </c>
      <c r="AC506" t="s">
        <v>62</v>
      </c>
      <c r="AD506" t="s">
        <v>53</v>
      </c>
      <c r="AE506">
        <v>4</v>
      </c>
    </row>
    <row r="507" spans="1:31" x14ac:dyDescent="0.3">
      <c r="A507" t="s">
        <v>1092</v>
      </c>
      <c r="B507">
        <v>27</v>
      </c>
      <c r="C507" t="str" cm="1">
        <f t="array" ref="C507">_xlfn.IFS(B507&lt;=18,"0-18",B507&lt;=29,"19-29",B507&gt;=49,"30-49",B507&gt;=69,"50-69",TRUE,"70+")</f>
        <v>19-29</v>
      </c>
      <c r="D507" t="s">
        <v>43</v>
      </c>
      <c r="E507" t="s">
        <v>44</v>
      </c>
      <c r="F507" t="s">
        <v>69</v>
      </c>
      <c r="G507" t="s">
        <v>45</v>
      </c>
      <c r="H507" t="s">
        <v>30</v>
      </c>
      <c r="I507" t="s">
        <v>1093</v>
      </c>
      <c r="J507" t="s">
        <v>142</v>
      </c>
      <c r="K507" s="2">
        <v>207.66</v>
      </c>
      <c r="L507">
        <v>10</v>
      </c>
      <c r="M507" t="s">
        <v>48</v>
      </c>
      <c r="N507">
        <v>2</v>
      </c>
      <c r="O507">
        <v>3</v>
      </c>
      <c r="P507">
        <v>1</v>
      </c>
      <c r="Q507" t="s">
        <v>44</v>
      </c>
      <c r="R507" t="s">
        <v>85</v>
      </c>
      <c r="S507">
        <v>2</v>
      </c>
      <c r="T507">
        <v>2</v>
      </c>
      <c r="U507" t="s">
        <v>49</v>
      </c>
      <c r="V507" t="s">
        <v>79</v>
      </c>
      <c r="W507" t="s">
        <v>66</v>
      </c>
      <c r="X507" s="3">
        <v>45799</v>
      </c>
      <c r="Y507" s="1" t="str">
        <f t="shared" si="14"/>
        <v>May</v>
      </c>
      <c r="Z507" s="1" t="str">
        <f t="shared" si="15"/>
        <v>2025</v>
      </c>
      <c r="AA507" t="b">
        <v>0</v>
      </c>
      <c r="AB507" t="b">
        <v>1</v>
      </c>
      <c r="AC507" t="s">
        <v>52</v>
      </c>
      <c r="AD507" t="s">
        <v>53</v>
      </c>
      <c r="AE507">
        <v>8</v>
      </c>
    </row>
    <row r="508" spans="1:31" x14ac:dyDescent="0.3">
      <c r="A508" t="s">
        <v>1094</v>
      </c>
      <c r="B508">
        <v>34</v>
      </c>
      <c r="C508" t="str" cm="1">
        <f t="array" ref="C508">_xlfn.IFS(B508&lt;=18,"0-18",B508&lt;=29,"19-29",B508&gt;=49,"30-49",B508&gt;=69,"50-69",TRUE,"70+")</f>
        <v>70+</v>
      </c>
      <c r="D508" t="s">
        <v>29</v>
      </c>
      <c r="E508" t="s">
        <v>44</v>
      </c>
      <c r="F508" t="s">
        <v>31</v>
      </c>
      <c r="G508" t="s">
        <v>45</v>
      </c>
      <c r="H508" t="s">
        <v>44</v>
      </c>
      <c r="I508" t="s">
        <v>1095</v>
      </c>
      <c r="J508" t="s">
        <v>135</v>
      </c>
      <c r="K508" s="2">
        <v>141.09</v>
      </c>
      <c r="L508">
        <v>7</v>
      </c>
      <c r="M508" t="s">
        <v>48</v>
      </c>
      <c r="N508">
        <v>3</v>
      </c>
      <c r="O508">
        <v>4</v>
      </c>
      <c r="P508">
        <v>0</v>
      </c>
      <c r="Q508" t="s">
        <v>44</v>
      </c>
      <c r="R508" t="s">
        <v>85</v>
      </c>
      <c r="S508">
        <v>2</v>
      </c>
      <c r="T508">
        <v>3</v>
      </c>
      <c r="U508" t="s">
        <v>44</v>
      </c>
      <c r="V508" t="s">
        <v>79</v>
      </c>
      <c r="W508" t="s">
        <v>61</v>
      </c>
      <c r="X508" s="3">
        <v>45800</v>
      </c>
      <c r="Y508" s="1" t="str">
        <f t="shared" si="14"/>
        <v>May</v>
      </c>
      <c r="Z508" s="1" t="str">
        <f t="shared" si="15"/>
        <v>2025</v>
      </c>
      <c r="AA508" t="b">
        <v>0</v>
      </c>
      <c r="AB508" t="b">
        <v>1</v>
      </c>
      <c r="AC508" t="s">
        <v>52</v>
      </c>
      <c r="AD508" t="s">
        <v>67</v>
      </c>
      <c r="AE508">
        <v>1</v>
      </c>
    </row>
    <row r="509" spans="1:31" x14ac:dyDescent="0.3">
      <c r="A509" t="s">
        <v>1096</v>
      </c>
      <c r="B509">
        <v>39</v>
      </c>
      <c r="C509" t="str" cm="1">
        <f t="array" ref="C509">_xlfn.IFS(B509&lt;=18,"0-18",B509&lt;=29,"19-29",B509&gt;=49,"30-49",B509&gt;=69,"50-69",TRUE,"70+")</f>
        <v>70+</v>
      </c>
      <c r="D509" t="s">
        <v>43</v>
      </c>
      <c r="E509" t="s">
        <v>44</v>
      </c>
      <c r="F509" t="s">
        <v>76</v>
      </c>
      <c r="G509" t="s">
        <v>32</v>
      </c>
      <c r="H509" t="s">
        <v>30</v>
      </c>
      <c r="I509" t="s">
        <v>1097</v>
      </c>
      <c r="J509" t="s">
        <v>114</v>
      </c>
      <c r="K509" s="2">
        <v>142.69999999999999</v>
      </c>
      <c r="L509">
        <v>6</v>
      </c>
      <c r="M509" t="s">
        <v>48</v>
      </c>
      <c r="N509">
        <v>3</v>
      </c>
      <c r="O509">
        <v>2</v>
      </c>
      <c r="P509">
        <v>1</v>
      </c>
      <c r="Q509" t="s">
        <v>36</v>
      </c>
      <c r="R509" t="s">
        <v>85</v>
      </c>
      <c r="S509">
        <v>0</v>
      </c>
      <c r="T509">
        <v>4</v>
      </c>
      <c r="U509" t="s">
        <v>36</v>
      </c>
      <c r="V509" t="s">
        <v>79</v>
      </c>
      <c r="W509" t="s">
        <v>39</v>
      </c>
      <c r="X509" s="3">
        <v>45801</v>
      </c>
      <c r="Y509" s="1" t="str">
        <f t="shared" si="14"/>
        <v>May</v>
      </c>
      <c r="Z509" s="1" t="str">
        <f t="shared" si="15"/>
        <v>2025</v>
      </c>
      <c r="AA509" t="b">
        <v>0</v>
      </c>
      <c r="AB509" t="b">
        <v>1</v>
      </c>
      <c r="AC509" t="s">
        <v>62</v>
      </c>
      <c r="AD509" t="s">
        <v>41</v>
      </c>
      <c r="AE509">
        <v>11</v>
      </c>
    </row>
    <row r="510" spans="1:31" x14ac:dyDescent="0.3">
      <c r="A510" t="s">
        <v>1098</v>
      </c>
      <c r="B510">
        <v>44</v>
      </c>
      <c r="C510" t="str" cm="1">
        <f t="array" ref="C510">_xlfn.IFS(B510&lt;=18,"0-18",B510&lt;=29,"19-29",B510&gt;=49,"30-49",B510&gt;=69,"50-69",TRUE,"70+")</f>
        <v>70+</v>
      </c>
      <c r="D510" t="s">
        <v>43</v>
      </c>
      <c r="E510" t="s">
        <v>44</v>
      </c>
      <c r="F510" t="s">
        <v>76</v>
      </c>
      <c r="G510" t="s">
        <v>56</v>
      </c>
      <c r="H510" t="s">
        <v>44</v>
      </c>
      <c r="I510" t="s">
        <v>1099</v>
      </c>
      <c r="J510" t="s">
        <v>101</v>
      </c>
      <c r="K510" s="2">
        <v>64.09</v>
      </c>
      <c r="L510">
        <v>10</v>
      </c>
      <c r="M510" t="s">
        <v>78</v>
      </c>
      <c r="N510">
        <v>5</v>
      </c>
      <c r="O510">
        <v>5</v>
      </c>
      <c r="P510">
        <v>0</v>
      </c>
      <c r="Q510" t="s">
        <v>36</v>
      </c>
      <c r="R510" t="s">
        <v>37</v>
      </c>
      <c r="S510">
        <v>0</v>
      </c>
      <c r="T510">
        <v>6</v>
      </c>
      <c r="U510" t="s">
        <v>59</v>
      </c>
      <c r="V510" t="s">
        <v>79</v>
      </c>
      <c r="W510" t="s">
        <v>39</v>
      </c>
      <c r="X510" s="3">
        <v>45802</v>
      </c>
      <c r="Y510" s="1" t="str">
        <f t="shared" si="14"/>
        <v>May</v>
      </c>
      <c r="Z510" s="1" t="str">
        <f t="shared" si="15"/>
        <v>2025</v>
      </c>
      <c r="AA510" t="b">
        <v>1</v>
      </c>
      <c r="AB510" t="b">
        <v>0</v>
      </c>
      <c r="AC510" t="s">
        <v>40</v>
      </c>
      <c r="AD510" t="s">
        <v>67</v>
      </c>
      <c r="AE510">
        <v>7</v>
      </c>
    </row>
    <row r="511" spans="1:31" x14ac:dyDescent="0.3">
      <c r="A511" t="s">
        <v>1100</v>
      </c>
      <c r="B511">
        <v>20</v>
      </c>
      <c r="C511" t="str" cm="1">
        <f t="array" ref="C511">_xlfn.IFS(B511&lt;=18,"0-18",B511&lt;=29,"19-29",B511&gt;=49,"30-49",B511&gt;=69,"50-69",TRUE,"70+")</f>
        <v>19-29</v>
      </c>
      <c r="D511" t="s">
        <v>29</v>
      </c>
      <c r="E511" t="s">
        <v>30</v>
      </c>
      <c r="F511" t="s">
        <v>31</v>
      </c>
      <c r="G511" t="s">
        <v>45</v>
      </c>
      <c r="H511" t="s">
        <v>30</v>
      </c>
      <c r="I511" t="s">
        <v>820</v>
      </c>
      <c r="J511" t="s">
        <v>126</v>
      </c>
      <c r="K511" s="2">
        <v>126.26</v>
      </c>
      <c r="L511">
        <v>2</v>
      </c>
      <c r="M511" t="s">
        <v>78</v>
      </c>
      <c r="N511">
        <v>4</v>
      </c>
      <c r="O511">
        <v>5</v>
      </c>
      <c r="P511">
        <v>1</v>
      </c>
      <c r="Q511" t="s">
        <v>36</v>
      </c>
      <c r="R511" t="s">
        <v>37</v>
      </c>
      <c r="S511">
        <v>1</v>
      </c>
      <c r="T511">
        <v>6</v>
      </c>
      <c r="U511" t="s">
        <v>36</v>
      </c>
      <c r="V511" t="s">
        <v>60</v>
      </c>
      <c r="W511" t="s">
        <v>61</v>
      </c>
      <c r="X511" s="3">
        <v>45803</v>
      </c>
      <c r="Y511" s="1" t="str">
        <f t="shared" si="14"/>
        <v>May</v>
      </c>
      <c r="Z511" s="1" t="str">
        <f t="shared" si="15"/>
        <v>2025</v>
      </c>
      <c r="AA511" t="b">
        <v>1</v>
      </c>
      <c r="AB511" t="b">
        <v>0</v>
      </c>
      <c r="AC511" t="s">
        <v>74</v>
      </c>
      <c r="AD511" t="s">
        <v>53</v>
      </c>
      <c r="AE511">
        <v>13</v>
      </c>
    </row>
    <row r="512" spans="1:31" x14ac:dyDescent="0.3">
      <c r="A512" t="s">
        <v>1101</v>
      </c>
      <c r="B512">
        <v>42</v>
      </c>
      <c r="C512" t="str" cm="1">
        <f t="array" ref="C512">_xlfn.IFS(B512&lt;=18,"0-18",B512&lt;=29,"19-29",B512&gt;=49,"30-49",B512&gt;=69,"50-69",TRUE,"70+")</f>
        <v>70+</v>
      </c>
      <c r="D512" t="s">
        <v>29</v>
      </c>
      <c r="E512" t="s">
        <v>30</v>
      </c>
      <c r="F512" t="s">
        <v>55</v>
      </c>
      <c r="G512" t="s">
        <v>45</v>
      </c>
      <c r="H512" t="s">
        <v>44</v>
      </c>
      <c r="I512" t="s">
        <v>1102</v>
      </c>
      <c r="J512" t="s">
        <v>107</v>
      </c>
      <c r="K512" s="2">
        <v>195.05</v>
      </c>
      <c r="L512">
        <v>5</v>
      </c>
      <c r="M512" t="s">
        <v>48</v>
      </c>
      <c r="N512">
        <v>2</v>
      </c>
      <c r="O512">
        <v>1</v>
      </c>
      <c r="P512">
        <v>2</v>
      </c>
      <c r="Q512" t="s">
        <v>49</v>
      </c>
      <c r="R512" t="s">
        <v>50</v>
      </c>
      <c r="S512">
        <v>0</v>
      </c>
      <c r="T512">
        <v>10</v>
      </c>
      <c r="U512" t="s">
        <v>44</v>
      </c>
      <c r="V512" t="s">
        <v>60</v>
      </c>
      <c r="W512" t="s">
        <v>66</v>
      </c>
      <c r="X512" s="3">
        <v>45804</v>
      </c>
      <c r="Y512" s="1" t="str">
        <f t="shared" si="14"/>
        <v>May</v>
      </c>
      <c r="Z512" s="1" t="str">
        <f t="shared" si="15"/>
        <v>2025</v>
      </c>
      <c r="AA512" t="b">
        <v>1</v>
      </c>
      <c r="AB512" t="b">
        <v>0</v>
      </c>
      <c r="AC512" t="s">
        <v>62</v>
      </c>
      <c r="AD512" t="s">
        <v>41</v>
      </c>
      <c r="AE512">
        <v>11</v>
      </c>
    </row>
    <row r="513" spans="1:31" x14ac:dyDescent="0.3">
      <c r="A513" t="s">
        <v>1103</v>
      </c>
      <c r="B513">
        <v>22</v>
      </c>
      <c r="C513" t="str" cm="1">
        <f t="array" ref="C513">_xlfn.IFS(B513&lt;=18,"0-18",B513&lt;=29,"19-29",B513&gt;=49,"30-49",B513&gt;=69,"50-69",TRUE,"70+")</f>
        <v>19-29</v>
      </c>
      <c r="D513" t="s">
        <v>29</v>
      </c>
      <c r="E513" t="s">
        <v>30</v>
      </c>
      <c r="F513" t="s">
        <v>31</v>
      </c>
      <c r="G513" t="s">
        <v>56</v>
      </c>
      <c r="H513" t="s">
        <v>44</v>
      </c>
      <c r="I513" t="s">
        <v>1104</v>
      </c>
      <c r="J513" t="s">
        <v>158</v>
      </c>
      <c r="K513" s="2">
        <v>432.84</v>
      </c>
      <c r="L513">
        <v>7</v>
      </c>
      <c r="M513" t="s">
        <v>35</v>
      </c>
      <c r="N513">
        <v>4</v>
      </c>
      <c r="O513">
        <v>5</v>
      </c>
      <c r="P513">
        <v>2</v>
      </c>
      <c r="Q513" t="s">
        <v>44</v>
      </c>
      <c r="R513" t="s">
        <v>85</v>
      </c>
      <c r="S513">
        <v>0</v>
      </c>
      <c r="T513">
        <v>1</v>
      </c>
      <c r="U513" t="s">
        <v>44</v>
      </c>
      <c r="V513" t="s">
        <v>38</v>
      </c>
      <c r="W513" t="s">
        <v>61</v>
      </c>
      <c r="X513" s="3">
        <v>45805</v>
      </c>
      <c r="Y513" s="1" t="str">
        <f t="shared" si="14"/>
        <v>May</v>
      </c>
      <c r="Z513" s="1" t="str">
        <f t="shared" si="15"/>
        <v>2025</v>
      </c>
      <c r="AA513" t="b">
        <v>0</v>
      </c>
      <c r="AB513" t="b">
        <v>0</v>
      </c>
      <c r="AC513" t="s">
        <v>52</v>
      </c>
      <c r="AD513" t="s">
        <v>41</v>
      </c>
      <c r="AE513">
        <v>4</v>
      </c>
    </row>
    <row r="514" spans="1:31" x14ac:dyDescent="0.3">
      <c r="A514" t="s">
        <v>1105</v>
      </c>
      <c r="B514">
        <v>30</v>
      </c>
      <c r="C514" t="str" cm="1">
        <f t="array" ref="C514">_xlfn.IFS(B514&lt;=18,"0-18",B514&lt;=29,"19-29",B514&gt;=49,"30-49",B514&gt;=69,"50-69",TRUE,"70+")</f>
        <v>70+</v>
      </c>
      <c r="D514" t="s">
        <v>43</v>
      </c>
      <c r="E514" t="s">
        <v>44</v>
      </c>
      <c r="F514" t="s">
        <v>31</v>
      </c>
      <c r="G514" t="s">
        <v>32</v>
      </c>
      <c r="H514" t="s">
        <v>30</v>
      </c>
      <c r="I514" t="s">
        <v>1106</v>
      </c>
      <c r="J514" t="s">
        <v>246</v>
      </c>
      <c r="K514" s="2">
        <v>404.12</v>
      </c>
      <c r="L514">
        <v>6</v>
      </c>
      <c r="M514" t="s">
        <v>48</v>
      </c>
      <c r="N514">
        <v>1</v>
      </c>
      <c r="O514">
        <v>3</v>
      </c>
      <c r="P514">
        <v>1</v>
      </c>
      <c r="Q514" t="s">
        <v>44</v>
      </c>
      <c r="R514" t="s">
        <v>85</v>
      </c>
      <c r="S514">
        <v>0</v>
      </c>
      <c r="T514">
        <v>4</v>
      </c>
      <c r="U514" t="s">
        <v>59</v>
      </c>
      <c r="V514" t="s">
        <v>60</v>
      </c>
      <c r="W514" t="s">
        <v>61</v>
      </c>
      <c r="X514" s="3">
        <v>45806</v>
      </c>
      <c r="Y514" s="1" t="str">
        <f t="shared" si="14"/>
        <v>May</v>
      </c>
      <c r="Z514" s="1" t="str">
        <f t="shared" si="15"/>
        <v>2025</v>
      </c>
      <c r="AA514" t="b">
        <v>0</v>
      </c>
      <c r="AB514" t="b">
        <v>0</v>
      </c>
      <c r="AC514" t="s">
        <v>62</v>
      </c>
      <c r="AD514" t="s">
        <v>67</v>
      </c>
      <c r="AE514">
        <v>11</v>
      </c>
    </row>
    <row r="515" spans="1:31" x14ac:dyDescent="0.3">
      <c r="A515" t="s">
        <v>1107</v>
      </c>
      <c r="B515">
        <v>39</v>
      </c>
      <c r="C515" t="str" cm="1">
        <f t="array" ref="C515">_xlfn.IFS(B515&lt;=18,"0-18",B515&lt;=29,"19-29",B515&gt;=49,"30-49",B515&gt;=69,"50-69",TRUE,"70+")</f>
        <v>70+</v>
      </c>
      <c r="D515" t="s">
        <v>43</v>
      </c>
      <c r="E515" t="s">
        <v>44</v>
      </c>
      <c r="F515" t="s">
        <v>76</v>
      </c>
      <c r="G515" t="s">
        <v>56</v>
      </c>
      <c r="H515" t="s">
        <v>44</v>
      </c>
      <c r="I515" t="s">
        <v>1108</v>
      </c>
      <c r="J515" t="s">
        <v>158</v>
      </c>
      <c r="K515" s="2">
        <v>438.26</v>
      </c>
      <c r="L515">
        <v>10</v>
      </c>
      <c r="M515" t="s">
        <v>48</v>
      </c>
      <c r="N515">
        <v>3</v>
      </c>
      <c r="O515">
        <v>4</v>
      </c>
      <c r="P515">
        <v>1</v>
      </c>
      <c r="Q515" t="s">
        <v>36</v>
      </c>
      <c r="R515" t="s">
        <v>37</v>
      </c>
      <c r="S515">
        <v>1</v>
      </c>
      <c r="T515">
        <v>3</v>
      </c>
      <c r="U515" t="s">
        <v>49</v>
      </c>
      <c r="V515" t="s">
        <v>60</v>
      </c>
      <c r="W515" t="s">
        <v>61</v>
      </c>
      <c r="X515" s="3">
        <v>45807</v>
      </c>
      <c r="Y515" s="1" t="str">
        <f t="shared" ref="Y515:Y578" si="16">TEXT(X515,"mmm")</f>
        <v>May</v>
      </c>
      <c r="Z515" s="1" t="str">
        <f t="shared" ref="Z515:Z578" si="17">TEXT(X515,"yyyy")</f>
        <v>2025</v>
      </c>
      <c r="AA515" t="b">
        <v>1</v>
      </c>
      <c r="AB515" t="b">
        <v>0</v>
      </c>
      <c r="AC515" t="s">
        <v>74</v>
      </c>
      <c r="AD515" t="s">
        <v>67</v>
      </c>
      <c r="AE515">
        <v>10</v>
      </c>
    </row>
    <row r="516" spans="1:31" x14ac:dyDescent="0.3">
      <c r="A516" t="s">
        <v>1109</v>
      </c>
      <c r="B516">
        <v>19</v>
      </c>
      <c r="C516" t="str" cm="1">
        <f t="array" ref="C516">_xlfn.IFS(B516&lt;=18,"0-18",B516&lt;=29,"19-29",B516&gt;=49,"30-49",B516&gt;=69,"50-69",TRUE,"70+")</f>
        <v>19-29</v>
      </c>
      <c r="D516" t="s">
        <v>29</v>
      </c>
      <c r="E516" t="s">
        <v>44</v>
      </c>
      <c r="F516" t="s">
        <v>55</v>
      </c>
      <c r="G516" t="s">
        <v>32</v>
      </c>
      <c r="H516" t="s">
        <v>44</v>
      </c>
      <c r="I516" t="s">
        <v>1110</v>
      </c>
      <c r="J516" t="s">
        <v>246</v>
      </c>
      <c r="K516" s="2">
        <v>233.02</v>
      </c>
      <c r="L516">
        <v>4</v>
      </c>
      <c r="M516" t="s">
        <v>35</v>
      </c>
      <c r="N516">
        <v>3</v>
      </c>
      <c r="O516">
        <v>3</v>
      </c>
      <c r="P516">
        <v>1</v>
      </c>
      <c r="Q516" t="s">
        <v>49</v>
      </c>
      <c r="R516" t="s">
        <v>50</v>
      </c>
      <c r="S516">
        <v>0</v>
      </c>
      <c r="T516">
        <v>3</v>
      </c>
      <c r="U516" t="s">
        <v>49</v>
      </c>
      <c r="V516" t="s">
        <v>60</v>
      </c>
      <c r="W516" t="s">
        <v>86</v>
      </c>
      <c r="X516" s="3">
        <v>45808</v>
      </c>
      <c r="Y516" s="1" t="str">
        <f t="shared" si="16"/>
        <v>May</v>
      </c>
      <c r="Z516" s="1" t="str">
        <f t="shared" si="17"/>
        <v>2025</v>
      </c>
      <c r="AA516" t="b">
        <v>0</v>
      </c>
      <c r="AB516" t="b">
        <v>0</v>
      </c>
      <c r="AC516" t="s">
        <v>62</v>
      </c>
      <c r="AD516" t="s">
        <v>53</v>
      </c>
      <c r="AE516">
        <v>8</v>
      </c>
    </row>
    <row r="517" spans="1:31" x14ac:dyDescent="0.3">
      <c r="A517" t="s">
        <v>1111</v>
      </c>
      <c r="B517">
        <v>26</v>
      </c>
      <c r="C517" t="str" cm="1">
        <f t="array" ref="C517">_xlfn.IFS(B517&lt;=18,"0-18",B517&lt;=29,"19-29",B517&gt;=49,"30-49",B517&gt;=69,"50-69",TRUE,"70+")</f>
        <v>19-29</v>
      </c>
      <c r="D517" t="s">
        <v>29</v>
      </c>
      <c r="E517" t="s">
        <v>30</v>
      </c>
      <c r="F517" t="s">
        <v>69</v>
      </c>
      <c r="G517" t="s">
        <v>32</v>
      </c>
      <c r="H517" t="s">
        <v>30</v>
      </c>
      <c r="I517" t="s">
        <v>1112</v>
      </c>
      <c r="J517" t="s">
        <v>114</v>
      </c>
      <c r="K517" s="2">
        <v>273.41000000000003</v>
      </c>
      <c r="L517">
        <v>7</v>
      </c>
      <c r="M517" t="s">
        <v>78</v>
      </c>
      <c r="N517">
        <v>3</v>
      </c>
      <c r="O517">
        <v>5</v>
      </c>
      <c r="P517">
        <v>2</v>
      </c>
      <c r="Q517" t="s">
        <v>59</v>
      </c>
      <c r="R517" t="s">
        <v>85</v>
      </c>
      <c r="S517">
        <v>0</v>
      </c>
      <c r="T517">
        <v>9</v>
      </c>
      <c r="U517" t="s">
        <v>49</v>
      </c>
      <c r="V517" t="s">
        <v>38</v>
      </c>
      <c r="W517" t="s">
        <v>66</v>
      </c>
      <c r="X517" s="3">
        <v>45809</v>
      </c>
      <c r="Y517" s="1" t="str">
        <f t="shared" si="16"/>
        <v>Jun</v>
      </c>
      <c r="Z517" s="1" t="str">
        <f t="shared" si="17"/>
        <v>2025</v>
      </c>
      <c r="AA517" t="b">
        <v>1</v>
      </c>
      <c r="AB517" t="b">
        <v>0</v>
      </c>
      <c r="AC517" t="s">
        <v>74</v>
      </c>
      <c r="AD517" t="s">
        <v>53</v>
      </c>
      <c r="AE517">
        <v>2</v>
      </c>
    </row>
    <row r="518" spans="1:31" x14ac:dyDescent="0.3">
      <c r="A518" t="s">
        <v>1113</v>
      </c>
      <c r="B518">
        <v>21</v>
      </c>
      <c r="C518" t="str" cm="1">
        <f t="array" ref="C518">_xlfn.IFS(B518&lt;=18,"0-18",B518&lt;=29,"19-29",B518&gt;=49,"30-49",B518&gt;=69,"50-69",TRUE,"70+")</f>
        <v>19-29</v>
      </c>
      <c r="D518" t="s">
        <v>29</v>
      </c>
      <c r="E518" t="s">
        <v>44</v>
      </c>
      <c r="F518" t="s">
        <v>31</v>
      </c>
      <c r="G518" t="s">
        <v>45</v>
      </c>
      <c r="H518" t="s">
        <v>30</v>
      </c>
      <c r="I518" t="s">
        <v>1114</v>
      </c>
      <c r="J518" t="s">
        <v>71</v>
      </c>
      <c r="K518" s="2">
        <v>338.96</v>
      </c>
      <c r="L518">
        <v>10</v>
      </c>
      <c r="M518" t="s">
        <v>78</v>
      </c>
      <c r="N518">
        <v>1</v>
      </c>
      <c r="O518">
        <v>4</v>
      </c>
      <c r="P518">
        <v>2</v>
      </c>
      <c r="Q518" t="s">
        <v>44</v>
      </c>
      <c r="R518" t="s">
        <v>37</v>
      </c>
      <c r="S518">
        <v>1</v>
      </c>
      <c r="T518">
        <v>9</v>
      </c>
      <c r="U518" t="s">
        <v>44</v>
      </c>
      <c r="V518" t="s">
        <v>79</v>
      </c>
      <c r="W518" t="s">
        <v>61</v>
      </c>
      <c r="X518" s="3">
        <v>45810</v>
      </c>
      <c r="Y518" s="1" t="str">
        <f t="shared" si="16"/>
        <v>Jun</v>
      </c>
      <c r="Z518" s="1" t="str">
        <f t="shared" si="17"/>
        <v>2025</v>
      </c>
      <c r="AA518" t="b">
        <v>1</v>
      </c>
      <c r="AB518" t="b">
        <v>1</v>
      </c>
      <c r="AC518" t="s">
        <v>52</v>
      </c>
      <c r="AD518" t="s">
        <v>53</v>
      </c>
      <c r="AE518">
        <v>4</v>
      </c>
    </row>
    <row r="519" spans="1:31" x14ac:dyDescent="0.3">
      <c r="A519" t="s">
        <v>1115</v>
      </c>
      <c r="B519">
        <v>37</v>
      </c>
      <c r="C519" t="str" cm="1">
        <f t="array" ref="C519">_xlfn.IFS(B519&lt;=18,"0-18",B519&lt;=29,"19-29",B519&gt;=49,"30-49",B519&gt;=69,"50-69",TRUE,"70+")</f>
        <v>70+</v>
      </c>
      <c r="D519" t="s">
        <v>43</v>
      </c>
      <c r="E519" t="s">
        <v>30</v>
      </c>
      <c r="F519" t="s">
        <v>76</v>
      </c>
      <c r="G519" t="s">
        <v>56</v>
      </c>
      <c r="H519" t="s">
        <v>44</v>
      </c>
      <c r="I519" t="s">
        <v>1116</v>
      </c>
      <c r="J519" t="s">
        <v>98</v>
      </c>
      <c r="K519" s="2">
        <v>75.91</v>
      </c>
      <c r="L519">
        <v>12</v>
      </c>
      <c r="M519" t="s">
        <v>35</v>
      </c>
      <c r="N519">
        <v>3</v>
      </c>
      <c r="O519">
        <v>5</v>
      </c>
      <c r="P519">
        <v>2</v>
      </c>
      <c r="Q519" t="s">
        <v>59</v>
      </c>
      <c r="R519" t="s">
        <v>85</v>
      </c>
      <c r="S519">
        <v>0</v>
      </c>
      <c r="T519">
        <v>6</v>
      </c>
      <c r="U519" t="s">
        <v>36</v>
      </c>
      <c r="V519" t="s">
        <v>79</v>
      </c>
      <c r="W519" t="s">
        <v>51</v>
      </c>
      <c r="X519" s="3">
        <v>45811</v>
      </c>
      <c r="Y519" s="1" t="str">
        <f t="shared" si="16"/>
        <v>Jun</v>
      </c>
      <c r="Z519" s="1" t="str">
        <f t="shared" si="17"/>
        <v>2025</v>
      </c>
      <c r="AA519" t="b">
        <v>1</v>
      </c>
      <c r="AB519" t="b">
        <v>1</v>
      </c>
      <c r="AC519" t="s">
        <v>74</v>
      </c>
      <c r="AD519" t="s">
        <v>41</v>
      </c>
      <c r="AE519">
        <v>1</v>
      </c>
    </row>
    <row r="520" spans="1:31" x14ac:dyDescent="0.3">
      <c r="A520" t="s">
        <v>1117</v>
      </c>
      <c r="B520">
        <v>23</v>
      </c>
      <c r="C520" t="str" cm="1">
        <f t="array" ref="C520">_xlfn.IFS(B520&lt;=18,"0-18",B520&lt;=29,"19-29",B520&gt;=49,"30-49",B520&gt;=69,"50-69",TRUE,"70+")</f>
        <v>19-29</v>
      </c>
      <c r="D520" t="s">
        <v>43</v>
      </c>
      <c r="E520" t="s">
        <v>44</v>
      </c>
      <c r="F520" t="s">
        <v>31</v>
      </c>
      <c r="G520" t="s">
        <v>45</v>
      </c>
      <c r="H520" t="s">
        <v>44</v>
      </c>
      <c r="I520" t="s">
        <v>1118</v>
      </c>
      <c r="J520" t="s">
        <v>93</v>
      </c>
      <c r="K520" s="2">
        <v>425.21</v>
      </c>
      <c r="L520">
        <v>12</v>
      </c>
      <c r="M520" t="s">
        <v>78</v>
      </c>
      <c r="N520">
        <v>2</v>
      </c>
      <c r="O520">
        <v>4</v>
      </c>
      <c r="P520">
        <v>2</v>
      </c>
      <c r="Q520" t="s">
        <v>59</v>
      </c>
      <c r="R520" t="s">
        <v>37</v>
      </c>
      <c r="S520">
        <v>0</v>
      </c>
      <c r="T520">
        <v>4</v>
      </c>
      <c r="U520" t="s">
        <v>44</v>
      </c>
      <c r="V520" t="s">
        <v>79</v>
      </c>
      <c r="W520" t="s">
        <v>66</v>
      </c>
      <c r="X520" s="3">
        <v>45812</v>
      </c>
      <c r="Y520" s="1" t="str">
        <f t="shared" si="16"/>
        <v>Jun</v>
      </c>
      <c r="Z520" s="1" t="str">
        <f t="shared" si="17"/>
        <v>2025</v>
      </c>
      <c r="AA520" t="b">
        <v>1</v>
      </c>
      <c r="AB520" t="b">
        <v>1</v>
      </c>
      <c r="AC520" t="s">
        <v>74</v>
      </c>
      <c r="AD520" t="s">
        <v>67</v>
      </c>
      <c r="AE520">
        <v>12</v>
      </c>
    </row>
    <row r="521" spans="1:31" x14ac:dyDescent="0.3">
      <c r="A521" t="s">
        <v>1119</v>
      </c>
      <c r="B521">
        <v>46</v>
      </c>
      <c r="C521" t="str" cm="1">
        <f t="array" ref="C521">_xlfn.IFS(B521&lt;=18,"0-18",B521&lt;=29,"19-29",B521&gt;=49,"30-49",B521&gt;=69,"50-69",TRUE,"70+")</f>
        <v>70+</v>
      </c>
      <c r="D521" t="s">
        <v>43</v>
      </c>
      <c r="E521" t="s">
        <v>30</v>
      </c>
      <c r="F521" t="s">
        <v>31</v>
      </c>
      <c r="G521" t="s">
        <v>56</v>
      </c>
      <c r="H521" t="s">
        <v>30</v>
      </c>
      <c r="I521" t="s">
        <v>1120</v>
      </c>
      <c r="J521" t="s">
        <v>120</v>
      </c>
      <c r="K521" s="2">
        <v>268.8</v>
      </c>
      <c r="L521">
        <v>2</v>
      </c>
      <c r="M521" t="s">
        <v>48</v>
      </c>
      <c r="N521">
        <v>1</v>
      </c>
      <c r="O521">
        <v>3</v>
      </c>
      <c r="P521">
        <v>0</v>
      </c>
      <c r="Q521" t="s">
        <v>44</v>
      </c>
      <c r="R521" t="s">
        <v>85</v>
      </c>
      <c r="S521">
        <v>1</v>
      </c>
      <c r="T521">
        <v>7</v>
      </c>
      <c r="U521" t="s">
        <v>36</v>
      </c>
      <c r="V521" t="s">
        <v>79</v>
      </c>
      <c r="W521" t="s">
        <v>61</v>
      </c>
      <c r="X521" s="3">
        <v>45813</v>
      </c>
      <c r="Y521" s="1" t="str">
        <f t="shared" si="16"/>
        <v>Jun</v>
      </c>
      <c r="Z521" s="1" t="str">
        <f t="shared" si="17"/>
        <v>2025</v>
      </c>
      <c r="AA521" t="b">
        <v>0</v>
      </c>
      <c r="AB521" t="b">
        <v>0</v>
      </c>
      <c r="AC521" t="s">
        <v>40</v>
      </c>
      <c r="AD521" t="s">
        <v>53</v>
      </c>
      <c r="AE521">
        <v>12</v>
      </c>
    </row>
    <row r="522" spans="1:31" x14ac:dyDescent="0.3">
      <c r="A522" t="s">
        <v>1121</v>
      </c>
      <c r="B522">
        <v>35</v>
      </c>
      <c r="C522" t="str" cm="1">
        <f t="array" ref="C522">_xlfn.IFS(B522&lt;=18,"0-18",B522&lt;=29,"19-29",B522&gt;=49,"30-49",B522&gt;=69,"50-69",TRUE,"70+")</f>
        <v>70+</v>
      </c>
      <c r="D522" t="s">
        <v>29</v>
      </c>
      <c r="E522" t="s">
        <v>30</v>
      </c>
      <c r="F522" t="s">
        <v>76</v>
      </c>
      <c r="G522" t="s">
        <v>56</v>
      </c>
      <c r="H522" t="s">
        <v>44</v>
      </c>
      <c r="I522" t="s">
        <v>1122</v>
      </c>
      <c r="J522" t="s">
        <v>104</v>
      </c>
      <c r="K522" s="2">
        <v>170.71</v>
      </c>
      <c r="L522">
        <v>10</v>
      </c>
      <c r="M522" t="s">
        <v>35</v>
      </c>
      <c r="N522">
        <v>5</v>
      </c>
      <c r="O522">
        <v>3</v>
      </c>
      <c r="P522">
        <v>0</v>
      </c>
      <c r="Q522" t="s">
        <v>59</v>
      </c>
      <c r="R522" t="s">
        <v>37</v>
      </c>
      <c r="S522">
        <v>1</v>
      </c>
      <c r="T522">
        <v>9</v>
      </c>
      <c r="U522" t="s">
        <v>59</v>
      </c>
      <c r="V522" t="s">
        <v>79</v>
      </c>
      <c r="W522" t="s">
        <v>39</v>
      </c>
      <c r="X522" s="3">
        <v>45814</v>
      </c>
      <c r="Y522" s="1" t="str">
        <f t="shared" si="16"/>
        <v>Jun</v>
      </c>
      <c r="Z522" s="1" t="str">
        <f t="shared" si="17"/>
        <v>2025</v>
      </c>
      <c r="AA522" t="b">
        <v>1</v>
      </c>
      <c r="AB522" t="b">
        <v>1</v>
      </c>
      <c r="AC522" t="s">
        <v>74</v>
      </c>
      <c r="AD522" t="s">
        <v>41</v>
      </c>
      <c r="AE522">
        <v>7</v>
      </c>
    </row>
    <row r="523" spans="1:31" x14ac:dyDescent="0.3">
      <c r="A523" t="s">
        <v>1123</v>
      </c>
      <c r="B523">
        <v>33</v>
      </c>
      <c r="C523" t="str" cm="1">
        <f t="array" ref="C523">_xlfn.IFS(B523&lt;=18,"0-18",B523&lt;=29,"19-29",B523&gt;=49,"30-49",B523&gt;=69,"50-69",TRUE,"70+")</f>
        <v>70+</v>
      </c>
      <c r="D523" t="s">
        <v>190</v>
      </c>
      <c r="E523" t="s">
        <v>30</v>
      </c>
      <c r="F523" t="s">
        <v>69</v>
      </c>
      <c r="G523" t="s">
        <v>45</v>
      </c>
      <c r="H523" t="s">
        <v>30</v>
      </c>
      <c r="I523" t="s">
        <v>1124</v>
      </c>
      <c r="J523" t="s">
        <v>101</v>
      </c>
      <c r="K523" s="2">
        <v>444.05</v>
      </c>
      <c r="L523">
        <v>10</v>
      </c>
      <c r="M523" t="s">
        <v>78</v>
      </c>
      <c r="N523">
        <v>5</v>
      </c>
      <c r="O523">
        <v>4</v>
      </c>
      <c r="P523">
        <v>0</v>
      </c>
      <c r="Q523" t="s">
        <v>59</v>
      </c>
      <c r="R523" t="s">
        <v>50</v>
      </c>
      <c r="S523">
        <v>1</v>
      </c>
      <c r="T523">
        <v>8</v>
      </c>
      <c r="U523" t="s">
        <v>49</v>
      </c>
      <c r="V523" t="s">
        <v>79</v>
      </c>
      <c r="W523" t="s">
        <v>51</v>
      </c>
      <c r="X523" s="3">
        <v>45815</v>
      </c>
      <c r="Y523" s="1" t="str">
        <f t="shared" si="16"/>
        <v>Jun</v>
      </c>
      <c r="Z523" s="1" t="str">
        <f t="shared" si="17"/>
        <v>2025</v>
      </c>
      <c r="AA523" t="b">
        <v>1</v>
      </c>
      <c r="AB523" t="b">
        <v>1</v>
      </c>
      <c r="AC523" t="s">
        <v>52</v>
      </c>
      <c r="AD523" t="s">
        <v>53</v>
      </c>
      <c r="AE523">
        <v>8</v>
      </c>
    </row>
    <row r="524" spans="1:31" x14ac:dyDescent="0.3">
      <c r="A524" t="s">
        <v>1125</v>
      </c>
      <c r="B524">
        <v>47</v>
      </c>
      <c r="C524" t="str" cm="1">
        <f t="array" ref="C524">_xlfn.IFS(B524&lt;=18,"0-18",B524&lt;=29,"19-29",B524&gt;=49,"30-49",B524&gt;=69,"50-69",TRUE,"70+")</f>
        <v>70+</v>
      </c>
      <c r="D524" t="s">
        <v>43</v>
      </c>
      <c r="E524" t="s">
        <v>30</v>
      </c>
      <c r="F524" t="s">
        <v>76</v>
      </c>
      <c r="G524" t="s">
        <v>45</v>
      </c>
      <c r="H524" t="s">
        <v>30</v>
      </c>
      <c r="I524" t="s">
        <v>1126</v>
      </c>
      <c r="J524" t="s">
        <v>34</v>
      </c>
      <c r="K524" s="2">
        <v>255.1</v>
      </c>
      <c r="L524">
        <v>5</v>
      </c>
      <c r="M524" t="s">
        <v>35</v>
      </c>
      <c r="N524">
        <v>5</v>
      </c>
      <c r="O524">
        <v>1</v>
      </c>
      <c r="P524">
        <v>2</v>
      </c>
      <c r="Q524" t="s">
        <v>44</v>
      </c>
      <c r="R524" t="s">
        <v>85</v>
      </c>
      <c r="S524">
        <v>1</v>
      </c>
      <c r="T524">
        <v>1</v>
      </c>
      <c r="U524" t="s">
        <v>59</v>
      </c>
      <c r="V524" t="s">
        <v>79</v>
      </c>
      <c r="W524" t="s">
        <v>51</v>
      </c>
      <c r="X524" s="3">
        <v>45816</v>
      </c>
      <c r="Y524" s="1" t="str">
        <f t="shared" si="16"/>
        <v>Jun</v>
      </c>
      <c r="Z524" s="1" t="str">
        <f t="shared" si="17"/>
        <v>2025</v>
      </c>
      <c r="AA524" t="b">
        <v>1</v>
      </c>
      <c r="AB524" t="b">
        <v>0</v>
      </c>
      <c r="AC524" t="s">
        <v>74</v>
      </c>
      <c r="AD524" t="s">
        <v>41</v>
      </c>
      <c r="AE524">
        <v>14</v>
      </c>
    </row>
    <row r="525" spans="1:31" x14ac:dyDescent="0.3">
      <c r="A525" t="s">
        <v>1127</v>
      </c>
      <c r="B525">
        <v>32</v>
      </c>
      <c r="C525" t="str" cm="1">
        <f t="array" ref="C525">_xlfn.IFS(B525&lt;=18,"0-18",B525&lt;=29,"19-29",B525&gt;=49,"30-49",B525&gt;=69,"50-69",TRUE,"70+")</f>
        <v>70+</v>
      </c>
      <c r="D525" t="s">
        <v>43</v>
      </c>
      <c r="E525" t="s">
        <v>44</v>
      </c>
      <c r="F525" t="s">
        <v>69</v>
      </c>
      <c r="G525" t="s">
        <v>32</v>
      </c>
      <c r="H525" t="s">
        <v>44</v>
      </c>
      <c r="I525" t="s">
        <v>1128</v>
      </c>
      <c r="J525" t="s">
        <v>142</v>
      </c>
      <c r="K525" s="2">
        <v>236.44</v>
      </c>
      <c r="L525">
        <v>6</v>
      </c>
      <c r="M525" t="s">
        <v>35</v>
      </c>
      <c r="N525">
        <v>4</v>
      </c>
      <c r="O525">
        <v>4</v>
      </c>
      <c r="P525">
        <v>0</v>
      </c>
      <c r="Q525" t="s">
        <v>49</v>
      </c>
      <c r="R525" t="s">
        <v>85</v>
      </c>
      <c r="S525">
        <v>2</v>
      </c>
      <c r="T525">
        <v>2</v>
      </c>
      <c r="U525" t="s">
        <v>36</v>
      </c>
      <c r="V525" t="s">
        <v>60</v>
      </c>
      <c r="W525" t="s">
        <v>51</v>
      </c>
      <c r="X525" s="3">
        <v>45817</v>
      </c>
      <c r="Y525" s="1" t="str">
        <f t="shared" si="16"/>
        <v>Jun</v>
      </c>
      <c r="Z525" s="1" t="str">
        <f t="shared" si="17"/>
        <v>2025</v>
      </c>
      <c r="AA525" t="b">
        <v>0</v>
      </c>
      <c r="AB525" t="b">
        <v>0</v>
      </c>
      <c r="AC525" t="s">
        <v>62</v>
      </c>
      <c r="AD525" t="s">
        <v>53</v>
      </c>
      <c r="AE525">
        <v>6</v>
      </c>
    </row>
    <row r="526" spans="1:31" x14ac:dyDescent="0.3">
      <c r="A526" t="s">
        <v>1129</v>
      </c>
      <c r="B526">
        <v>20</v>
      </c>
      <c r="C526" t="str" cm="1">
        <f t="array" ref="C526">_xlfn.IFS(B526&lt;=18,"0-18",B526&lt;=29,"19-29",B526&gt;=49,"30-49",B526&gt;=69,"50-69",TRUE,"70+")</f>
        <v>19-29</v>
      </c>
      <c r="D526" t="s">
        <v>43</v>
      </c>
      <c r="E526" t="s">
        <v>30</v>
      </c>
      <c r="F526" t="s">
        <v>69</v>
      </c>
      <c r="G526" t="s">
        <v>32</v>
      </c>
      <c r="H526" t="s">
        <v>44</v>
      </c>
      <c r="I526" t="s">
        <v>1130</v>
      </c>
      <c r="J526" t="s">
        <v>71</v>
      </c>
      <c r="K526" s="2">
        <v>201.69</v>
      </c>
      <c r="L526">
        <v>11</v>
      </c>
      <c r="M526" t="s">
        <v>35</v>
      </c>
      <c r="N526">
        <v>4</v>
      </c>
      <c r="O526">
        <v>5</v>
      </c>
      <c r="P526">
        <v>0</v>
      </c>
      <c r="Q526" t="s">
        <v>44</v>
      </c>
      <c r="R526" t="s">
        <v>85</v>
      </c>
      <c r="S526">
        <v>2</v>
      </c>
      <c r="T526">
        <v>8</v>
      </c>
      <c r="U526" t="s">
        <v>59</v>
      </c>
      <c r="V526" t="s">
        <v>38</v>
      </c>
      <c r="W526" t="s">
        <v>66</v>
      </c>
      <c r="X526" s="3">
        <v>45818</v>
      </c>
      <c r="Y526" s="1" t="str">
        <f t="shared" si="16"/>
        <v>Jun</v>
      </c>
      <c r="Z526" s="1" t="str">
        <f t="shared" si="17"/>
        <v>2025</v>
      </c>
      <c r="AA526" t="b">
        <v>1</v>
      </c>
      <c r="AB526" t="b">
        <v>0</v>
      </c>
      <c r="AC526" t="s">
        <v>74</v>
      </c>
      <c r="AD526" t="s">
        <v>41</v>
      </c>
      <c r="AE526">
        <v>3</v>
      </c>
    </row>
    <row r="527" spans="1:31" x14ac:dyDescent="0.3">
      <c r="A527" t="s">
        <v>1131</v>
      </c>
      <c r="B527">
        <v>37</v>
      </c>
      <c r="C527" t="str" cm="1">
        <f t="array" ref="C527">_xlfn.IFS(B527&lt;=18,"0-18",B527&lt;=29,"19-29",B527&gt;=49,"30-49",B527&gt;=69,"50-69",TRUE,"70+")</f>
        <v>70+</v>
      </c>
      <c r="D527" t="s">
        <v>29</v>
      </c>
      <c r="E527" t="s">
        <v>44</v>
      </c>
      <c r="F527" t="s">
        <v>55</v>
      </c>
      <c r="G527" t="s">
        <v>32</v>
      </c>
      <c r="H527" t="s">
        <v>30</v>
      </c>
      <c r="I527" t="s">
        <v>1132</v>
      </c>
      <c r="J527" t="s">
        <v>135</v>
      </c>
      <c r="K527" s="2">
        <v>390.51</v>
      </c>
      <c r="L527">
        <v>6</v>
      </c>
      <c r="M527" t="s">
        <v>78</v>
      </c>
      <c r="N527">
        <v>3</v>
      </c>
      <c r="O527">
        <v>2</v>
      </c>
      <c r="P527">
        <v>0</v>
      </c>
      <c r="Q527" t="s">
        <v>49</v>
      </c>
      <c r="R527" t="s">
        <v>85</v>
      </c>
      <c r="S527">
        <v>0</v>
      </c>
      <c r="T527">
        <v>2</v>
      </c>
      <c r="U527" t="s">
        <v>44</v>
      </c>
      <c r="V527" t="s">
        <v>79</v>
      </c>
      <c r="W527" t="s">
        <v>86</v>
      </c>
      <c r="X527" s="3">
        <v>45819</v>
      </c>
      <c r="Y527" s="1" t="str">
        <f t="shared" si="16"/>
        <v>Jun</v>
      </c>
      <c r="Z527" s="1" t="str">
        <f t="shared" si="17"/>
        <v>2025</v>
      </c>
      <c r="AA527" t="b">
        <v>0</v>
      </c>
      <c r="AB527" t="b">
        <v>0</v>
      </c>
      <c r="AC527" t="s">
        <v>52</v>
      </c>
      <c r="AD527" t="s">
        <v>67</v>
      </c>
      <c r="AE527">
        <v>6</v>
      </c>
    </row>
    <row r="528" spans="1:31" x14ac:dyDescent="0.3">
      <c r="A528" t="s">
        <v>1133</v>
      </c>
      <c r="B528">
        <v>35</v>
      </c>
      <c r="C528" t="str" cm="1">
        <f t="array" ref="C528">_xlfn.IFS(B528&lt;=18,"0-18",B528&lt;=29,"19-29",B528&gt;=49,"30-49",B528&gt;=69,"50-69",TRUE,"70+")</f>
        <v>70+</v>
      </c>
      <c r="D528" t="s">
        <v>190</v>
      </c>
      <c r="E528" t="s">
        <v>44</v>
      </c>
      <c r="F528" t="s">
        <v>76</v>
      </c>
      <c r="G528" t="s">
        <v>56</v>
      </c>
      <c r="H528" t="s">
        <v>44</v>
      </c>
      <c r="I528" t="s">
        <v>1134</v>
      </c>
      <c r="J528" t="s">
        <v>183</v>
      </c>
      <c r="K528" s="2">
        <v>442.29</v>
      </c>
      <c r="L528">
        <v>9</v>
      </c>
      <c r="M528" t="s">
        <v>35</v>
      </c>
      <c r="N528">
        <v>1</v>
      </c>
      <c r="O528">
        <v>2</v>
      </c>
      <c r="P528">
        <v>0</v>
      </c>
      <c r="Q528" t="s">
        <v>49</v>
      </c>
      <c r="R528" t="s">
        <v>37</v>
      </c>
      <c r="S528">
        <v>1</v>
      </c>
      <c r="T528">
        <v>2</v>
      </c>
      <c r="U528" t="s">
        <v>59</v>
      </c>
      <c r="V528" t="s">
        <v>38</v>
      </c>
      <c r="W528" t="s">
        <v>51</v>
      </c>
      <c r="X528" s="3">
        <v>45820</v>
      </c>
      <c r="Y528" s="1" t="str">
        <f t="shared" si="16"/>
        <v>Jun</v>
      </c>
      <c r="Z528" s="1" t="str">
        <f t="shared" si="17"/>
        <v>2025</v>
      </c>
      <c r="AA528" t="b">
        <v>0</v>
      </c>
      <c r="AB528" t="b">
        <v>0</v>
      </c>
      <c r="AC528" t="s">
        <v>74</v>
      </c>
      <c r="AD528" t="s">
        <v>67</v>
      </c>
      <c r="AE528">
        <v>13</v>
      </c>
    </row>
    <row r="529" spans="1:31" x14ac:dyDescent="0.3">
      <c r="A529" t="s">
        <v>1135</v>
      </c>
      <c r="B529">
        <v>18</v>
      </c>
      <c r="C529" t="str" cm="1">
        <f t="array" ref="C529">_xlfn.IFS(B529&lt;=18,"0-18",B529&lt;=29,"19-29",B529&gt;=49,"30-49",B529&gt;=69,"50-69",TRUE,"70+")</f>
        <v>0-18</v>
      </c>
      <c r="D529" t="s">
        <v>29</v>
      </c>
      <c r="E529" t="s">
        <v>30</v>
      </c>
      <c r="F529" t="s">
        <v>55</v>
      </c>
      <c r="G529" t="s">
        <v>45</v>
      </c>
      <c r="H529" t="s">
        <v>44</v>
      </c>
      <c r="I529" t="s">
        <v>1136</v>
      </c>
      <c r="J529" t="s">
        <v>71</v>
      </c>
      <c r="K529" s="2">
        <v>89.6</v>
      </c>
      <c r="L529">
        <v>7</v>
      </c>
      <c r="M529" t="s">
        <v>48</v>
      </c>
      <c r="N529">
        <v>5</v>
      </c>
      <c r="O529">
        <v>3</v>
      </c>
      <c r="P529">
        <v>2</v>
      </c>
      <c r="Q529" t="s">
        <v>36</v>
      </c>
      <c r="R529" t="s">
        <v>50</v>
      </c>
      <c r="S529">
        <v>1</v>
      </c>
      <c r="T529">
        <v>5</v>
      </c>
      <c r="U529" t="s">
        <v>59</v>
      </c>
      <c r="V529" t="s">
        <v>79</v>
      </c>
      <c r="W529" t="s">
        <v>86</v>
      </c>
      <c r="X529" s="3">
        <v>45821</v>
      </c>
      <c r="Y529" s="1" t="str">
        <f t="shared" si="16"/>
        <v>Jun</v>
      </c>
      <c r="Z529" s="1" t="str">
        <f t="shared" si="17"/>
        <v>2025</v>
      </c>
      <c r="AA529" t="b">
        <v>0</v>
      </c>
      <c r="AB529" t="b">
        <v>0</v>
      </c>
      <c r="AC529" t="s">
        <v>74</v>
      </c>
      <c r="AD529" t="s">
        <v>53</v>
      </c>
      <c r="AE529">
        <v>8</v>
      </c>
    </row>
    <row r="530" spans="1:31" x14ac:dyDescent="0.3">
      <c r="A530" t="s">
        <v>1137</v>
      </c>
      <c r="B530">
        <v>27</v>
      </c>
      <c r="C530" t="str" cm="1">
        <f t="array" ref="C530">_xlfn.IFS(B530&lt;=18,"0-18",B530&lt;=29,"19-29",B530&gt;=49,"30-49",B530&gt;=69,"50-69",TRUE,"70+")</f>
        <v>19-29</v>
      </c>
      <c r="D530" t="s">
        <v>43</v>
      </c>
      <c r="E530" t="s">
        <v>30</v>
      </c>
      <c r="F530" t="s">
        <v>69</v>
      </c>
      <c r="G530" t="s">
        <v>45</v>
      </c>
      <c r="H530" t="s">
        <v>44</v>
      </c>
      <c r="I530" t="s">
        <v>1138</v>
      </c>
      <c r="J530" t="s">
        <v>90</v>
      </c>
      <c r="K530" s="2">
        <v>166.74</v>
      </c>
      <c r="L530">
        <v>6</v>
      </c>
      <c r="M530" t="s">
        <v>35</v>
      </c>
      <c r="N530">
        <v>2</v>
      </c>
      <c r="O530">
        <v>5</v>
      </c>
      <c r="P530">
        <v>0</v>
      </c>
      <c r="Q530" t="s">
        <v>44</v>
      </c>
      <c r="R530" t="s">
        <v>50</v>
      </c>
      <c r="S530">
        <v>0</v>
      </c>
      <c r="T530">
        <v>6</v>
      </c>
      <c r="U530" t="s">
        <v>59</v>
      </c>
      <c r="V530" t="s">
        <v>79</v>
      </c>
      <c r="W530" t="s">
        <v>66</v>
      </c>
      <c r="X530" s="3">
        <v>45822</v>
      </c>
      <c r="Y530" s="1" t="str">
        <f t="shared" si="16"/>
        <v>Jun</v>
      </c>
      <c r="Z530" s="1" t="str">
        <f t="shared" si="17"/>
        <v>2025</v>
      </c>
      <c r="AA530" t="b">
        <v>0</v>
      </c>
      <c r="AB530" t="b">
        <v>0</v>
      </c>
      <c r="AC530" t="s">
        <v>62</v>
      </c>
      <c r="AD530" t="s">
        <v>41</v>
      </c>
      <c r="AE530">
        <v>1</v>
      </c>
    </row>
    <row r="531" spans="1:31" x14ac:dyDescent="0.3">
      <c r="A531" t="s">
        <v>1139</v>
      </c>
      <c r="B531">
        <v>29</v>
      </c>
      <c r="C531" t="str" cm="1">
        <f t="array" ref="C531">_xlfn.IFS(B531&lt;=18,"0-18",B531&lt;=29,"19-29",B531&gt;=49,"30-49",B531&gt;=69,"50-69",TRUE,"70+")</f>
        <v>19-29</v>
      </c>
      <c r="D531" t="s">
        <v>29</v>
      </c>
      <c r="E531" t="s">
        <v>44</v>
      </c>
      <c r="F531" t="s">
        <v>31</v>
      </c>
      <c r="G531" t="s">
        <v>32</v>
      </c>
      <c r="H531" t="s">
        <v>30</v>
      </c>
      <c r="I531" t="s">
        <v>1140</v>
      </c>
      <c r="J531" t="s">
        <v>93</v>
      </c>
      <c r="K531" s="2">
        <v>299.27999999999997</v>
      </c>
      <c r="L531">
        <v>12</v>
      </c>
      <c r="M531" t="s">
        <v>35</v>
      </c>
      <c r="N531">
        <v>4</v>
      </c>
      <c r="O531">
        <v>5</v>
      </c>
      <c r="P531">
        <v>1</v>
      </c>
      <c r="Q531" t="s">
        <v>44</v>
      </c>
      <c r="R531" t="s">
        <v>37</v>
      </c>
      <c r="S531">
        <v>0</v>
      </c>
      <c r="T531">
        <v>9</v>
      </c>
      <c r="U531" t="s">
        <v>44</v>
      </c>
      <c r="V531" t="s">
        <v>60</v>
      </c>
      <c r="W531" t="s">
        <v>61</v>
      </c>
      <c r="X531" s="3">
        <v>45823</v>
      </c>
      <c r="Y531" s="1" t="str">
        <f t="shared" si="16"/>
        <v>Jun</v>
      </c>
      <c r="Z531" s="1" t="str">
        <f t="shared" si="17"/>
        <v>2025</v>
      </c>
      <c r="AA531" t="b">
        <v>0</v>
      </c>
      <c r="AB531" t="b">
        <v>0</v>
      </c>
      <c r="AC531" t="s">
        <v>52</v>
      </c>
      <c r="AD531" t="s">
        <v>53</v>
      </c>
      <c r="AE531">
        <v>3</v>
      </c>
    </row>
    <row r="532" spans="1:31" x14ac:dyDescent="0.3">
      <c r="A532" t="s">
        <v>1141</v>
      </c>
      <c r="B532">
        <v>24</v>
      </c>
      <c r="C532" t="str" cm="1">
        <f t="array" ref="C532">_xlfn.IFS(B532&lt;=18,"0-18",B532&lt;=29,"19-29",B532&gt;=49,"30-49",B532&gt;=69,"50-69",TRUE,"70+")</f>
        <v>19-29</v>
      </c>
      <c r="D532" t="s">
        <v>43</v>
      </c>
      <c r="E532" t="s">
        <v>44</v>
      </c>
      <c r="F532" t="s">
        <v>69</v>
      </c>
      <c r="G532" t="s">
        <v>56</v>
      </c>
      <c r="H532" t="s">
        <v>44</v>
      </c>
      <c r="I532" t="s">
        <v>1142</v>
      </c>
      <c r="J532" t="s">
        <v>90</v>
      </c>
      <c r="K532" s="2">
        <v>404.57</v>
      </c>
      <c r="L532">
        <v>5</v>
      </c>
      <c r="M532" t="s">
        <v>35</v>
      </c>
      <c r="N532">
        <v>4</v>
      </c>
      <c r="O532">
        <v>3</v>
      </c>
      <c r="P532">
        <v>0</v>
      </c>
      <c r="Q532" t="s">
        <v>49</v>
      </c>
      <c r="R532" t="s">
        <v>50</v>
      </c>
      <c r="S532">
        <v>2</v>
      </c>
      <c r="T532">
        <v>7</v>
      </c>
      <c r="U532" t="s">
        <v>36</v>
      </c>
      <c r="V532" t="s">
        <v>60</v>
      </c>
      <c r="W532" t="s">
        <v>61</v>
      </c>
      <c r="X532" s="3">
        <v>45824</v>
      </c>
      <c r="Y532" s="1" t="str">
        <f t="shared" si="16"/>
        <v>Jun</v>
      </c>
      <c r="Z532" s="1" t="str">
        <f t="shared" si="17"/>
        <v>2025</v>
      </c>
      <c r="AA532" t="b">
        <v>0</v>
      </c>
      <c r="AB532" t="b">
        <v>1</v>
      </c>
      <c r="AC532" t="s">
        <v>40</v>
      </c>
      <c r="AD532" t="s">
        <v>67</v>
      </c>
      <c r="AE532">
        <v>14</v>
      </c>
    </row>
    <row r="533" spans="1:31" x14ac:dyDescent="0.3">
      <c r="A533" t="s">
        <v>1143</v>
      </c>
      <c r="B533">
        <v>27</v>
      </c>
      <c r="C533" t="str" cm="1">
        <f t="array" ref="C533">_xlfn.IFS(B533&lt;=18,"0-18",B533&lt;=29,"19-29",B533&gt;=49,"30-49",B533&gt;=69,"50-69",TRUE,"70+")</f>
        <v>19-29</v>
      </c>
      <c r="D533" t="s">
        <v>43</v>
      </c>
      <c r="E533" t="s">
        <v>44</v>
      </c>
      <c r="F533" t="s">
        <v>55</v>
      </c>
      <c r="G533" t="s">
        <v>32</v>
      </c>
      <c r="H533" t="s">
        <v>44</v>
      </c>
      <c r="I533" t="s">
        <v>1144</v>
      </c>
      <c r="J533" t="s">
        <v>120</v>
      </c>
      <c r="K533" s="2">
        <v>344.81</v>
      </c>
      <c r="L533">
        <v>10</v>
      </c>
      <c r="M533" t="s">
        <v>48</v>
      </c>
      <c r="N533">
        <v>3</v>
      </c>
      <c r="O533">
        <v>1</v>
      </c>
      <c r="P533">
        <v>2</v>
      </c>
      <c r="Q533" t="s">
        <v>59</v>
      </c>
      <c r="R533" t="s">
        <v>37</v>
      </c>
      <c r="S533">
        <v>1</v>
      </c>
      <c r="T533">
        <v>9</v>
      </c>
      <c r="U533" t="s">
        <v>44</v>
      </c>
      <c r="V533" t="s">
        <v>79</v>
      </c>
      <c r="W533" t="s">
        <v>66</v>
      </c>
      <c r="X533" s="3">
        <v>45825</v>
      </c>
      <c r="Y533" s="1" t="str">
        <f t="shared" si="16"/>
        <v>Jun</v>
      </c>
      <c r="Z533" s="1" t="str">
        <f t="shared" si="17"/>
        <v>2025</v>
      </c>
      <c r="AA533" t="b">
        <v>1</v>
      </c>
      <c r="AB533" t="b">
        <v>1</v>
      </c>
      <c r="AC533" t="s">
        <v>52</v>
      </c>
      <c r="AD533" t="s">
        <v>67</v>
      </c>
      <c r="AE533">
        <v>14</v>
      </c>
    </row>
    <row r="534" spans="1:31" x14ac:dyDescent="0.3">
      <c r="A534" t="s">
        <v>1145</v>
      </c>
      <c r="B534">
        <v>34</v>
      </c>
      <c r="C534" t="str" cm="1">
        <f t="array" ref="C534">_xlfn.IFS(B534&lt;=18,"0-18",B534&lt;=29,"19-29",B534&gt;=49,"30-49",B534&gt;=69,"50-69",TRUE,"70+")</f>
        <v>70+</v>
      </c>
      <c r="D534" t="s">
        <v>43</v>
      </c>
      <c r="E534" t="s">
        <v>44</v>
      </c>
      <c r="F534" t="s">
        <v>55</v>
      </c>
      <c r="G534" t="s">
        <v>56</v>
      </c>
      <c r="H534" t="s">
        <v>44</v>
      </c>
      <c r="I534" t="s">
        <v>1146</v>
      </c>
      <c r="J534" t="s">
        <v>104</v>
      </c>
      <c r="K534" s="2">
        <v>217.84</v>
      </c>
      <c r="L534">
        <v>10</v>
      </c>
      <c r="M534" t="s">
        <v>78</v>
      </c>
      <c r="N534">
        <v>2</v>
      </c>
      <c r="O534">
        <v>2</v>
      </c>
      <c r="P534">
        <v>2</v>
      </c>
      <c r="Q534" t="s">
        <v>36</v>
      </c>
      <c r="R534" t="s">
        <v>85</v>
      </c>
      <c r="S534">
        <v>0</v>
      </c>
      <c r="T534">
        <v>8</v>
      </c>
      <c r="U534" t="s">
        <v>44</v>
      </c>
      <c r="V534" t="s">
        <v>38</v>
      </c>
      <c r="W534" t="s">
        <v>86</v>
      </c>
      <c r="X534" s="3">
        <v>45826</v>
      </c>
      <c r="Y534" s="1" t="str">
        <f t="shared" si="16"/>
        <v>Jun</v>
      </c>
      <c r="Z534" s="1" t="str">
        <f t="shared" si="17"/>
        <v>2025</v>
      </c>
      <c r="AA534" t="b">
        <v>1</v>
      </c>
      <c r="AB534" t="b">
        <v>1</v>
      </c>
      <c r="AC534" t="s">
        <v>52</v>
      </c>
      <c r="AD534" t="s">
        <v>53</v>
      </c>
      <c r="AE534">
        <v>11</v>
      </c>
    </row>
    <row r="535" spans="1:31" x14ac:dyDescent="0.3">
      <c r="A535" t="s">
        <v>1147</v>
      </c>
      <c r="B535">
        <v>21</v>
      </c>
      <c r="C535" t="str" cm="1">
        <f t="array" ref="C535">_xlfn.IFS(B535&lt;=18,"0-18",B535&lt;=29,"19-29",B535&gt;=49,"30-49",B535&gt;=69,"50-69",TRUE,"70+")</f>
        <v>19-29</v>
      </c>
      <c r="D535" t="s">
        <v>43</v>
      </c>
      <c r="E535" t="s">
        <v>30</v>
      </c>
      <c r="F535" t="s">
        <v>76</v>
      </c>
      <c r="G535" t="s">
        <v>32</v>
      </c>
      <c r="H535" t="s">
        <v>30</v>
      </c>
      <c r="I535" t="s">
        <v>1148</v>
      </c>
      <c r="J535" t="s">
        <v>90</v>
      </c>
      <c r="K535" s="2">
        <v>445.34</v>
      </c>
      <c r="L535">
        <v>9</v>
      </c>
      <c r="M535" t="s">
        <v>48</v>
      </c>
      <c r="N535">
        <v>5</v>
      </c>
      <c r="O535">
        <v>2</v>
      </c>
      <c r="P535">
        <v>1</v>
      </c>
      <c r="Q535" t="s">
        <v>59</v>
      </c>
      <c r="R535" t="s">
        <v>37</v>
      </c>
      <c r="S535">
        <v>1</v>
      </c>
      <c r="T535">
        <v>3</v>
      </c>
      <c r="U535" t="s">
        <v>44</v>
      </c>
      <c r="V535" t="s">
        <v>38</v>
      </c>
      <c r="W535" t="s">
        <v>86</v>
      </c>
      <c r="X535" s="3">
        <v>45827</v>
      </c>
      <c r="Y535" s="1" t="str">
        <f t="shared" si="16"/>
        <v>Jun</v>
      </c>
      <c r="Z535" s="1" t="str">
        <f t="shared" si="17"/>
        <v>2025</v>
      </c>
      <c r="AA535" t="b">
        <v>1</v>
      </c>
      <c r="AB535" t="b">
        <v>1</v>
      </c>
      <c r="AC535" t="s">
        <v>62</v>
      </c>
      <c r="AD535" t="s">
        <v>41</v>
      </c>
      <c r="AE535">
        <v>3</v>
      </c>
    </row>
    <row r="536" spans="1:31" x14ac:dyDescent="0.3">
      <c r="A536" t="s">
        <v>1149</v>
      </c>
      <c r="B536">
        <v>18</v>
      </c>
      <c r="C536" t="str" cm="1">
        <f t="array" ref="C536">_xlfn.IFS(B536&lt;=18,"0-18",B536&lt;=29,"19-29",B536&gt;=49,"30-49",B536&gt;=69,"50-69",TRUE,"70+")</f>
        <v>0-18</v>
      </c>
      <c r="D536" t="s">
        <v>43</v>
      </c>
      <c r="E536" t="s">
        <v>44</v>
      </c>
      <c r="F536" t="s">
        <v>69</v>
      </c>
      <c r="G536" t="s">
        <v>45</v>
      </c>
      <c r="H536" t="s">
        <v>44</v>
      </c>
      <c r="I536" t="s">
        <v>1150</v>
      </c>
      <c r="J536" t="s">
        <v>65</v>
      </c>
      <c r="K536" s="2">
        <v>151.72999999999999</v>
      </c>
      <c r="L536">
        <v>3</v>
      </c>
      <c r="M536" t="s">
        <v>48</v>
      </c>
      <c r="N536">
        <v>2</v>
      </c>
      <c r="O536">
        <v>4</v>
      </c>
      <c r="P536">
        <v>1</v>
      </c>
      <c r="Q536" t="s">
        <v>49</v>
      </c>
      <c r="R536" t="s">
        <v>85</v>
      </c>
      <c r="S536">
        <v>1</v>
      </c>
      <c r="T536">
        <v>3</v>
      </c>
      <c r="U536" t="s">
        <v>36</v>
      </c>
      <c r="V536" t="s">
        <v>60</v>
      </c>
      <c r="W536" t="s">
        <v>66</v>
      </c>
      <c r="X536" s="3">
        <v>45828</v>
      </c>
      <c r="Y536" s="1" t="str">
        <f t="shared" si="16"/>
        <v>Jun</v>
      </c>
      <c r="Z536" s="1" t="str">
        <f t="shared" si="17"/>
        <v>2025</v>
      </c>
      <c r="AA536" t="b">
        <v>0</v>
      </c>
      <c r="AB536" t="b">
        <v>1</v>
      </c>
      <c r="AC536" t="s">
        <v>52</v>
      </c>
      <c r="AD536" t="s">
        <v>67</v>
      </c>
      <c r="AE536">
        <v>11</v>
      </c>
    </row>
    <row r="537" spans="1:31" x14ac:dyDescent="0.3">
      <c r="A537" t="s">
        <v>1151</v>
      </c>
      <c r="B537">
        <v>50</v>
      </c>
      <c r="C537" t="str" cm="1">
        <f t="array" ref="C537">_xlfn.IFS(B537&lt;=18,"0-18",B537&lt;=29,"19-29",B537&gt;=49,"30-49",B537&gt;=69,"50-69",TRUE,"70+")</f>
        <v>30-49</v>
      </c>
      <c r="D537" t="s">
        <v>88</v>
      </c>
      <c r="E537" t="s">
        <v>44</v>
      </c>
      <c r="F537" t="s">
        <v>31</v>
      </c>
      <c r="G537" t="s">
        <v>45</v>
      </c>
      <c r="H537" t="s">
        <v>44</v>
      </c>
      <c r="I537" t="s">
        <v>1152</v>
      </c>
      <c r="J537" t="s">
        <v>117</v>
      </c>
      <c r="K537" s="2">
        <v>123.73</v>
      </c>
      <c r="L537">
        <v>9</v>
      </c>
      <c r="M537" t="s">
        <v>78</v>
      </c>
      <c r="N537">
        <v>1</v>
      </c>
      <c r="O537">
        <v>4</v>
      </c>
      <c r="P537">
        <v>0</v>
      </c>
      <c r="Q537" t="s">
        <v>44</v>
      </c>
      <c r="R537" t="s">
        <v>50</v>
      </c>
      <c r="S537">
        <v>2</v>
      </c>
      <c r="T537">
        <v>5</v>
      </c>
      <c r="U537" t="s">
        <v>44</v>
      </c>
      <c r="V537" t="s">
        <v>60</v>
      </c>
      <c r="W537" t="s">
        <v>39</v>
      </c>
      <c r="X537" s="3">
        <v>45829</v>
      </c>
      <c r="Y537" s="1" t="str">
        <f t="shared" si="16"/>
        <v>Jun</v>
      </c>
      <c r="Z537" s="1" t="str">
        <f t="shared" si="17"/>
        <v>2025</v>
      </c>
      <c r="AA537" t="b">
        <v>0</v>
      </c>
      <c r="AB537" t="b">
        <v>1</v>
      </c>
      <c r="AC537" t="s">
        <v>40</v>
      </c>
      <c r="AD537" t="s">
        <v>41</v>
      </c>
      <c r="AE537">
        <v>10</v>
      </c>
    </row>
    <row r="538" spans="1:31" x14ac:dyDescent="0.3">
      <c r="A538" t="s">
        <v>1153</v>
      </c>
      <c r="B538">
        <v>31</v>
      </c>
      <c r="C538" t="str" cm="1">
        <f t="array" ref="C538">_xlfn.IFS(B538&lt;=18,"0-18",B538&lt;=29,"19-29",B538&gt;=49,"30-49",B538&gt;=69,"50-69",TRUE,"70+")</f>
        <v>70+</v>
      </c>
      <c r="D538" t="s">
        <v>43</v>
      </c>
      <c r="E538" t="s">
        <v>30</v>
      </c>
      <c r="F538" t="s">
        <v>55</v>
      </c>
      <c r="G538" t="s">
        <v>56</v>
      </c>
      <c r="H538" t="s">
        <v>44</v>
      </c>
      <c r="I538" t="s">
        <v>1154</v>
      </c>
      <c r="J538" t="s">
        <v>194</v>
      </c>
      <c r="K538" s="2">
        <v>370.54</v>
      </c>
      <c r="L538">
        <v>2</v>
      </c>
      <c r="M538" t="s">
        <v>48</v>
      </c>
      <c r="N538">
        <v>3</v>
      </c>
      <c r="O538">
        <v>3</v>
      </c>
      <c r="P538">
        <v>0</v>
      </c>
      <c r="Q538" t="s">
        <v>59</v>
      </c>
      <c r="R538" t="s">
        <v>85</v>
      </c>
      <c r="S538">
        <v>1</v>
      </c>
      <c r="T538">
        <v>9</v>
      </c>
      <c r="U538" t="s">
        <v>59</v>
      </c>
      <c r="V538" t="s">
        <v>60</v>
      </c>
      <c r="W538" t="s">
        <v>39</v>
      </c>
      <c r="X538" s="3">
        <v>45830</v>
      </c>
      <c r="Y538" s="1" t="str">
        <f t="shared" si="16"/>
        <v>Jun</v>
      </c>
      <c r="Z538" s="1" t="str">
        <f t="shared" si="17"/>
        <v>2025</v>
      </c>
      <c r="AA538" t="b">
        <v>1</v>
      </c>
      <c r="AB538" t="b">
        <v>0</v>
      </c>
      <c r="AC538" t="s">
        <v>62</v>
      </c>
      <c r="AD538" t="s">
        <v>41</v>
      </c>
      <c r="AE538">
        <v>7</v>
      </c>
    </row>
    <row r="539" spans="1:31" x14ac:dyDescent="0.3">
      <c r="A539" t="s">
        <v>1155</v>
      </c>
      <c r="B539">
        <v>45</v>
      </c>
      <c r="C539" t="str" cm="1">
        <f t="array" ref="C539">_xlfn.IFS(B539&lt;=18,"0-18",B539&lt;=29,"19-29",B539&gt;=49,"30-49",B539&gt;=69,"50-69",TRUE,"70+")</f>
        <v>70+</v>
      </c>
      <c r="D539" t="s">
        <v>43</v>
      </c>
      <c r="E539" t="s">
        <v>44</v>
      </c>
      <c r="F539" t="s">
        <v>31</v>
      </c>
      <c r="G539" t="s">
        <v>56</v>
      </c>
      <c r="H539" t="s">
        <v>44</v>
      </c>
      <c r="I539" t="s">
        <v>1156</v>
      </c>
      <c r="J539" t="s">
        <v>123</v>
      </c>
      <c r="K539" s="2">
        <v>152.87</v>
      </c>
      <c r="L539">
        <v>3</v>
      </c>
      <c r="M539" t="s">
        <v>48</v>
      </c>
      <c r="N539">
        <v>1</v>
      </c>
      <c r="O539">
        <v>5</v>
      </c>
      <c r="P539">
        <v>2</v>
      </c>
      <c r="Q539" t="s">
        <v>44</v>
      </c>
      <c r="R539" t="s">
        <v>85</v>
      </c>
      <c r="S539">
        <v>1</v>
      </c>
      <c r="T539">
        <v>8</v>
      </c>
      <c r="U539" t="s">
        <v>36</v>
      </c>
      <c r="V539" t="s">
        <v>38</v>
      </c>
      <c r="W539" t="s">
        <v>61</v>
      </c>
      <c r="X539" s="3">
        <v>45831</v>
      </c>
      <c r="Y539" s="1" t="str">
        <f t="shared" si="16"/>
        <v>Jun</v>
      </c>
      <c r="Z539" s="1" t="str">
        <f t="shared" si="17"/>
        <v>2025</v>
      </c>
      <c r="AA539" t="b">
        <v>0</v>
      </c>
      <c r="AB539" t="b">
        <v>0</v>
      </c>
      <c r="AC539" t="s">
        <v>62</v>
      </c>
      <c r="AD539" t="s">
        <v>67</v>
      </c>
      <c r="AE539">
        <v>11</v>
      </c>
    </row>
    <row r="540" spans="1:31" x14ac:dyDescent="0.3">
      <c r="A540" t="s">
        <v>1157</v>
      </c>
      <c r="B540">
        <v>29</v>
      </c>
      <c r="C540" t="str" cm="1">
        <f t="array" ref="C540">_xlfn.IFS(B540&lt;=18,"0-18",B540&lt;=29,"19-29",B540&gt;=49,"30-49",B540&gt;=69,"50-69",TRUE,"70+")</f>
        <v>19-29</v>
      </c>
      <c r="D540" t="s">
        <v>43</v>
      </c>
      <c r="E540" t="s">
        <v>30</v>
      </c>
      <c r="F540" t="s">
        <v>55</v>
      </c>
      <c r="G540" t="s">
        <v>56</v>
      </c>
      <c r="H540" t="s">
        <v>30</v>
      </c>
      <c r="I540" t="s">
        <v>1158</v>
      </c>
      <c r="J540" t="s">
        <v>142</v>
      </c>
      <c r="K540" s="2">
        <v>295.75</v>
      </c>
      <c r="L540">
        <v>4</v>
      </c>
      <c r="M540" t="s">
        <v>35</v>
      </c>
      <c r="N540">
        <v>1</v>
      </c>
      <c r="O540">
        <v>1</v>
      </c>
      <c r="P540">
        <v>0</v>
      </c>
      <c r="Q540" t="s">
        <v>44</v>
      </c>
      <c r="R540" t="s">
        <v>37</v>
      </c>
      <c r="S540">
        <v>1</v>
      </c>
      <c r="T540">
        <v>10</v>
      </c>
      <c r="U540" t="s">
        <v>59</v>
      </c>
      <c r="V540" t="s">
        <v>38</v>
      </c>
      <c r="W540" t="s">
        <v>39</v>
      </c>
      <c r="X540" s="3">
        <v>45832</v>
      </c>
      <c r="Y540" s="1" t="str">
        <f t="shared" si="16"/>
        <v>Jun</v>
      </c>
      <c r="Z540" s="1" t="str">
        <f t="shared" si="17"/>
        <v>2025</v>
      </c>
      <c r="AA540" t="b">
        <v>1</v>
      </c>
      <c r="AB540" t="b">
        <v>1</v>
      </c>
      <c r="AC540" t="s">
        <v>40</v>
      </c>
      <c r="AD540" t="s">
        <v>53</v>
      </c>
      <c r="AE540">
        <v>8</v>
      </c>
    </row>
    <row r="541" spans="1:31" x14ac:dyDescent="0.3">
      <c r="A541" t="s">
        <v>1159</v>
      </c>
      <c r="B541">
        <v>36</v>
      </c>
      <c r="C541" t="str" cm="1">
        <f t="array" ref="C541">_xlfn.IFS(B541&lt;=18,"0-18",B541&lt;=29,"19-29",B541&gt;=49,"30-49",B541&gt;=69,"50-69",TRUE,"70+")</f>
        <v>70+</v>
      </c>
      <c r="D541" t="s">
        <v>43</v>
      </c>
      <c r="E541" t="s">
        <v>44</v>
      </c>
      <c r="F541" t="s">
        <v>69</v>
      </c>
      <c r="G541" t="s">
        <v>45</v>
      </c>
      <c r="H541" t="s">
        <v>30</v>
      </c>
      <c r="I541" t="s">
        <v>1160</v>
      </c>
      <c r="J541" t="s">
        <v>58</v>
      </c>
      <c r="K541" s="2">
        <v>358.11</v>
      </c>
      <c r="L541">
        <v>11</v>
      </c>
      <c r="M541" t="s">
        <v>35</v>
      </c>
      <c r="N541">
        <v>5</v>
      </c>
      <c r="O541">
        <v>1</v>
      </c>
      <c r="P541">
        <v>0</v>
      </c>
      <c r="Q541" t="s">
        <v>44</v>
      </c>
      <c r="R541" t="s">
        <v>85</v>
      </c>
      <c r="S541">
        <v>0</v>
      </c>
      <c r="T541">
        <v>3</v>
      </c>
      <c r="U541" t="s">
        <v>44</v>
      </c>
      <c r="V541" t="s">
        <v>79</v>
      </c>
      <c r="W541" t="s">
        <v>39</v>
      </c>
      <c r="X541" s="3">
        <v>45833</v>
      </c>
      <c r="Y541" s="1" t="str">
        <f t="shared" si="16"/>
        <v>Jun</v>
      </c>
      <c r="Z541" s="1" t="str">
        <f t="shared" si="17"/>
        <v>2025</v>
      </c>
      <c r="AA541" t="b">
        <v>0</v>
      </c>
      <c r="AB541" t="b">
        <v>0</v>
      </c>
      <c r="AC541" t="s">
        <v>40</v>
      </c>
      <c r="AD541" t="s">
        <v>53</v>
      </c>
      <c r="AE541">
        <v>11</v>
      </c>
    </row>
    <row r="542" spans="1:31" x14ac:dyDescent="0.3">
      <c r="A542" t="s">
        <v>1161</v>
      </c>
      <c r="B542">
        <v>27</v>
      </c>
      <c r="C542" t="str" cm="1">
        <f t="array" ref="C542">_xlfn.IFS(B542&lt;=18,"0-18",B542&lt;=29,"19-29",B542&gt;=49,"30-49",B542&gt;=69,"50-69",TRUE,"70+")</f>
        <v>19-29</v>
      </c>
      <c r="D542" t="s">
        <v>29</v>
      </c>
      <c r="E542" t="s">
        <v>44</v>
      </c>
      <c r="F542" t="s">
        <v>69</v>
      </c>
      <c r="G542" t="s">
        <v>56</v>
      </c>
      <c r="H542" t="s">
        <v>44</v>
      </c>
      <c r="I542" t="s">
        <v>1162</v>
      </c>
      <c r="J542" t="s">
        <v>246</v>
      </c>
      <c r="K542" s="2">
        <v>63.6</v>
      </c>
      <c r="L542">
        <v>12</v>
      </c>
      <c r="M542" t="s">
        <v>35</v>
      </c>
      <c r="N542">
        <v>5</v>
      </c>
      <c r="O542">
        <v>1</v>
      </c>
      <c r="P542">
        <v>0</v>
      </c>
      <c r="Q542" t="s">
        <v>44</v>
      </c>
      <c r="R542" t="s">
        <v>50</v>
      </c>
      <c r="S542">
        <v>2</v>
      </c>
      <c r="T542">
        <v>1</v>
      </c>
      <c r="U542" t="s">
        <v>36</v>
      </c>
      <c r="V542" t="s">
        <v>79</v>
      </c>
      <c r="W542" t="s">
        <v>51</v>
      </c>
      <c r="X542" s="3">
        <v>45834</v>
      </c>
      <c r="Y542" s="1" t="str">
        <f t="shared" si="16"/>
        <v>Jun</v>
      </c>
      <c r="Z542" s="1" t="str">
        <f t="shared" si="17"/>
        <v>2025</v>
      </c>
      <c r="AA542" t="b">
        <v>0</v>
      </c>
      <c r="AB542" t="b">
        <v>1</v>
      </c>
      <c r="AC542" t="s">
        <v>52</v>
      </c>
      <c r="AD542" t="s">
        <v>41</v>
      </c>
      <c r="AE542">
        <v>6</v>
      </c>
    </row>
    <row r="543" spans="1:31" x14ac:dyDescent="0.3">
      <c r="A543" t="s">
        <v>1163</v>
      </c>
      <c r="B543">
        <v>24</v>
      </c>
      <c r="C543" t="str" cm="1">
        <f t="array" ref="C543">_xlfn.IFS(B543&lt;=18,"0-18",B543&lt;=29,"19-29",B543&gt;=49,"30-49",B543&gt;=69,"50-69",TRUE,"70+")</f>
        <v>19-29</v>
      </c>
      <c r="D543" t="s">
        <v>43</v>
      </c>
      <c r="E543" t="s">
        <v>44</v>
      </c>
      <c r="F543" t="s">
        <v>55</v>
      </c>
      <c r="G543" t="s">
        <v>45</v>
      </c>
      <c r="H543" t="s">
        <v>30</v>
      </c>
      <c r="I543" t="s">
        <v>1164</v>
      </c>
      <c r="J543" t="s">
        <v>82</v>
      </c>
      <c r="K543" s="2">
        <v>419.53</v>
      </c>
      <c r="L543">
        <v>3</v>
      </c>
      <c r="M543" t="s">
        <v>35</v>
      </c>
      <c r="N543">
        <v>1</v>
      </c>
      <c r="O543">
        <v>5</v>
      </c>
      <c r="P543">
        <v>2</v>
      </c>
      <c r="Q543" t="s">
        <v>44</v>
      </c>
      <c r="R543" t="s">
        <v>50</v>
      </c>
      <c r="S543">
        <v>2</v>
      </c>
      <c r="T543">
        <v>10</v>
      </c>
      <c r="U543" t="s">
        <v>49</v>
      </c>
      <c r="V543" t="s">
        <v>38</v>
      </c>
      <c r="W543" t="s">
        <v>66</v>
      </c>
      <c r="X543" s="3">
        <v>45835</v>
      </c>
      <c r="Y543" s="1" t="str">
        <f t="shared" si="16"/>
        <v>Jun</v>
      </c>
      <c r="Z543" s="1" t="str">
        <f t="shared" si="17"/>
        <v>2025</v>
      </c>
      <c r="AA543" t="b">
        <v>0</v>
      </c>
      <c r="AB543" t="b">
        <v>0</v>
      </c>
      <c r="AC543" t="s">
        <v>52</v>
      </c>
      <c r="AD543" t="s">
        <v>67</v>
      </c>
      <c r="AE543">
        <v>6</v>
      </c>
    </row>
    <row r="544" spans="1:31" x14ac:dyDescent="0.3">
      <c r="A544" t="s">
        <v>1165</v>
      </c>
      <c r="B544">
        <v>49</v>
      </c>
      <c r="C544" t="str" cm="1">
        <f t="array" ref="C544">_xlfn.IFS(B544&lt;=18,"0-18",B544&lt;=29,"19-29",B544&gt;=49,"30-49",B544&gt;=69,"50-69",TRUE,"70+")</f>
        <v>30-49</v>
      </c>
      <c r="D544" t="s">
        <v>274</v>
      </c>
      <c r="E544" t="s">
        <v>44</v>
      </c>
      <c r="F544" t="s">
        <v>69</v>
      </c>
      <c r="G544" t="s">
        <v>45</v>
      </c>
      <c r="H544" t="s">
        <v>30</v>
      </c>
      <c r="I544" t="s">
        <v>1166</v>
      </c>
      <c r="J544" t="s">
        <v>158</v>
      </c>
      <c r="K544" s="2">
        <v>491.92</v>
      </c>
      <c r="L544">
        <v>10</v>
      </c>
      <c r="M544" t="s">
        <v>48</v>
      </c>
      <c r="N544">
        <v>5</v>
      </c>
      <c r="O544">
        <v>3</v>
      </c>
      <c r="P544">
        <v>0</v>
      </c>
      <c r="Q544" t="s">
        <v>49</v>
      </c>
      <c r="R544" t="s">
        <v>85</v>
      </c>
      <c r="S544">
        <v>1</v>
      </c>
      <c r="T544">
        <v>1</v>
      </c>
      <c r="U544" t="s">
        <v>59</v>
      </c>
      <c r="V544" t="s">
        <v>79</v>
      </c>
      <c r="W544" t="s">
        <v>39</v>
      </c>
      <c r="X544" s="3">
        <v>45836</v>
      </c>
      <c r="Y544" s="1" t="str">
        <f t="shared" si="16"/>
        <v>Jun</v>
      </c>
      <c r="Z544" s="1" t="str">
        <f t="shared" si="17"/>
        <v>2025</v>
      </c>
      <c r="AA544" t="b">
        <v>0</v>
      </c>
      <c r="AB544" t="b">
        <v>0</v>
      </c>
      <c r="AC544" t="s">
        <v>52</v>
      </c>
      <c r="AD544" t="s">
        <v>53</v>
      </c>
      <c r="AE544">
        <v>2</v>
      </c>
    </row>
    <row r="545" spans="1:31" x14ac:dyDescent="0.3">
      <c r="A545" t="s">
        <v>1167</v>
      </c>
      <c r="B545">
        <v>21</v>
      </c>
      <c r="C545" t="str" cm="1">
        <f t="array" ref="C545">_xlfn.IFS(B545&lt;=18,"0-18",B545&lt;=29,"19-29",B545&gt;=49,"30-49",B545&gt;=69,"50-69",TRUE,"70+")</f>
        <v>19-29</v>
      </c>
      <c r="D545" t="s">
        <v>88</v>
      </c>
      <c r="E545" t="s">
        <v>30</v>
      </c>
      <c r="F545" t="s">
        <v>76</v>
      </c>
      <c r="G545" t="s">
        <v>45</v>
      </c>
      <c r="H545" t="s">
        <v>44</v>
      </c>
      <c r="I545" t="s">
        <v>1168</v>
      </c>
      <c r="J545" t="s">
        <v>90</v>
      </c>
      <c r="K545" s="2">
        <v>114.44</v>
      </c>
      <c r="L545">
        <v>4</v>
      </c>
      <c r="M545" t="s">
        <v>78</v>
      </c>
      <c r="N545">
        <v>5</v>
      </c>
      <c r="O545">
        <v>3</v>
      </c>
      <c r="P545">
        <v>2</v>
      </c>
      <c r="Q545" t="s">
        <v>59</v>
      </c>
      <c r="R545" t="s">
        <v>50</v>
      </c>
      <c r="S545">
        <v>1</v>
      </c>
      <c r="T545">
        <v>9</v>
      </c>
      <c r="U545" t="s">
        <v>36</v>
      </c>
      <c r="V545" t="s">
        <v>79</v>
      </c>
      <c r="W545" t="s">
        <v>39</v>
      </c>
      <c r="X545" s="3">
        <v>45837</v>
      </c>
      <c r="Y545" s="1" t="str">
        <f t="shared" si="16"/>
        <v>Jun</v>
      </c>
      <c r="Z545" s="1" t="str">
        <f t="shared" si="17"/>
        <v>2025</v>
      </c>
      <c r="AA545" t="b">
        <v>0</v>
      </c>
      <c r="AB545" t="b">
        <v>0</v>
      </c>
      <c r="AC545" t="s">
        <v>74</v>
      </c>
      <c r="AD545" t="s">
        <v>67</v>
      </c>
      <c r="AE545">
        <v>1</v>
      </c>
    </row>
    <row r="546" spans="1:31" x14ac:dyDescent="0.3">
      <c r="A546" t="s">
        <v>1169</v>
      </c>
      <c r="B546">
        <v>19</v>
      </c>
      <c r="C546" t="str" cm="1">
        <f t="array" ref="C546">_xlfn.IFS(B546&lt;=18,"0-18",B546&lt;=29,"19-29",B546&gt;=49,"30-49",B546&gt;=69,"50-69",TRUE,"70+")</f>
        <v>19-29</v>
      </c>
      <c r="D546" t="s">
        <v>29</v>
      </c>
      <c r="E546" t="s">
        <v>30</v>
      </c>
      <c r="F546" t="s">
        <v>31</v>
      </c>
      <c r="G546" t="s">
        <v>56</v>
      </c>
      <c r="H546" t="s">
        <v>44</v>
      </c>
      <c r="I546" t="s">
        <v>1170</v>
      </c>
      <c r="J546" t="s">
        <v>93</v>
      </c>
      <c r="K546" s="2">
        <v>388.82</v>
      </c>
      <c r="L546">
        <v>10</v>
      </c>
      <c r="M546" t="s">
        <v>35</v>
      </c>
      <c r="N546">
        <v>2</v>
      </c>
      <c r="O546">
        <v>3</v>
      </c>
      <c r="P546">
        <v>0</v>
      </c>
      <c r="Q546" t="s">
        <v>59</v>
      </c>
      <c r="R546" t="s">
        <v>85</v>
      </c>
      <c r="S546">
        <v>0</v>
      </c>
      <c r="T546">
        <v>8</v>
      </c>
      <c r="U546" t="s">
        <v>59</v>
      </c>
      <c r="V546" t="s">
        <v>79</v>
      </c>
      <c r="W546" t="s">
        <v>66</v>
      </c>
      <c r="X546" s="3">
        <v>45838</v>
      </c>
      <c r="Y546" s="1" t="str">
        <f t="shared" si="16"/>
        <v>Jun</v>
      </c>
      <c r="Z546" s="1" t="str">
        <f t="shared" si="17"/>
        <v>2025</v>
      </c>
      <c r="AA546" t="b">
        <v>0</v>
      </c>
      <c r="AB546" t="b">
        <v>0</v>
      </c>
      <c r="AC546" t="s">
        <v>40</v>
      </c>
      <c r="AD546" t="s">
        <v>41</v>
      </c>
      <c r="AE546">
        <v>6</v>
      </c>
    </row>
    <row r="547" spans="1:31" x14ac:dyDescent="0.3">
      <c r="A547" t="s">
        <v>1171</v>
      </c>
      <c r="B547">
        <v>23</v>
      </c>
      <c r="C547" t="str" cm="1">
        <f t="array" ref="C547">_xlfn.IFS(B547&lt;=18,"0-18",B547&lt;=29,"19-29",B547&gt;=49,"30-49",B547&gt;=69,"50-69",TRUE,"70+")</f>
        <v>19-29</v>
      </c>
      <c r="D547" t="s">
        <v>29</v>
      </c>
      <c r="E547" t="s">
        <v>30</v>
      </c>
      <c r="F547" t="s">
        <v>31</v>
      </c>
      <c r="G547" t="s">
        <v>32</v>
      </c>
      <c r="H547" t="s">
        <v>44</v>
      </c>
      <c r="I547" t="s">
        <v>1172</v>
      </c>
      <c r="J547" t="s">
        <v>93</v>
      </c>
      <c r="K547" s="2">
        <v>58.32</v>
      </c>
      <c r="L547">
        <v>7</v>
      </c>
      <c r="M547" t="s">
        <v>48</v>
      </c>
      <c r="N547">
        <v>1</v>
      </c>
      <c r="O547">
        <v>5</v>
      </c>
      <c r="P547">
        <v>0</v>
      </c>
      <c r="Q547" t="s">
        <v>59</v>
      </c>
      <c r="R547" t="s">
        <v>50</v>
      </c>
      <c r="S547">
        <v>1</v>
      </c>
      <c r="T547">
        <v>6</v>
      </c>
      <c r="U547" t="s">
        <v>59</v>
      </c>
      <c r="V547" t="s">
        <v>60</v>
      </c>
      <c r="W547" t="s">
        <v>51</v>
      </c>
      <c r="X547" s="3">
        <v>45839</v>
      </c>
      <c r="Y547" s="1" t="str">
        <f t="shared" si="16"/>
        <v>Jul</v>
      </c>
      <c r="Z547" s="1" t="str">
        <f t="shared" si="17"/>
        <v>2025</v>
      </c>
      <c r="AA547" t="b">
        <v>1</v>
      </c>
      <c r="AB547" t="b">
        <v>1</v>
      </c>
      <c r="AC547" t="s">
        <v>40</v>
      </c>
      <c r="AD547" t="s">
        <v>53</v>
      </c>
      <c r="AE547">
        <v>8</v>
      </c>
    </row>
    <row r="548" spans="1:31" x14ac:dyDescent="0.3">
      <c r="A548" t="s">
        <v>1173</v>
      </c>
      <c r="B548">
        <v>28</v>
      </c>
      <c r="C548" t="str" cm="1">
        <f t="array" ref="C548">_xlfn.IFS(B548&lt;=18,"0-18",B548&lt;=29,"19-29",B548&gt;=49,"30-49",B548&gt;=69,"50-69",TRUE,"70+")</f>
        <v>19-29</v>
      </c>
      <c r="D548" t="s">
        <v>29</v>
      </c>
      <c r="E548" t="s">
        <v>44</v>
      </c>
      <c r="F548" t="s">
        <v>76</v>
      </c>
      <c r="G548" t="s">
        <v>56</v>
      </c>
      <c r="H548" t="s">
        <v>44</v>
      </c>
      <c r="I548" t="s">
        <v>1174</v>
      </c>
      <c r="J548" t="s">
        <v>158</v>
      </c>
      <c r="K548" s="2">
        <v>464.76</v>
      </c>
      <c r="L548">
        <v>2</v>
      </c>
      <c r="M548" t="s">
        <v>35</v>
      </c>
      <c r="N548">
        <v>5</v>
      </c>
      <c r="O548">
        <v>1</v>
      </c>
      <c r="P548">
        <v>0</v>
      </c>
      <c r="Q548" t="s">
        <v>59</v>
      </c>
      <c r="R548" t="s">
        <v>85</v>
      </c>
      <c r="S548">
        <v>0</v>
      </c>
      <c r="T548">
        <v>3</v>
      </c>
      <c r="U548" t="s">
        <v>59</v>
      </c>
      <c r="V548" t="s">
        <v>79</v>
      </c>
      <c r="W548" t="s">
        <v>61</v>
      </c>
      <c r="X548" s="3">
        <v>45840</v>
      </c>
      <c r="Y548" s="1" t="str">
        <f t="shared" si="16"/>
        <v>Jul</v>
      </c>
      <c r="Z548" s="1" t="str">
        <f t="shared" si="17"/>
        <v>2025</v>
      </c>
      <c r="AA548" t="b">
        <v>0</v>
      </c>
      <c r="AB548" t="b">
        <v>1</v>
      </c>
      <c r="AC548" t="s">
        <v>40</v>
      </c>
      <c r="AD548" t="s">
        <v>41</v>
      </c>
      <c r="AE548">
        <v>3</v>
      </c>
    </row>
    <row r="549" spans="1:31" x14ac:dyDescent="0.3">
      <c r="A549" t="s">
        <v>1175</v>
      </c>
      <c r="B549">
        <v>27</v>
      </c>
      <c r="C549" t="str" cm="1">
        <f t="array" ref="C549">_xlfn.IFS(B549&lt;=18,"0-18",B549&lt;=29,"19-29",B549&gt;=49,"30-49",B549&gt;=69,"50-69",TRUE,"70+")</f>
        <v>19-29</v>
      </c>
      <c r="D549" t="s">
        <v>29</v>
      </c>
      <c r="E549" t="s">
        <v>44</v>
      </c>
      <c r="F549" t="s">
        <v>76</v>
      </c>
      <c r="G549" t="s">
        <v>56</v>
      </c>
      <c r="H549" t="s">
        <v>44</v>
      </c>
      <c r="I549" t="s">
        <v>1176</v>
      </c>
      <c r="J549" t="s">
        <v>65</v>
      </c>
      <c r="K549" s="2">
        <v>116.92</v>
      </c>
      <c r="L549">
        <v>7</v>
      </c>
      <c r="M549" t="s">
        <v>35</v>
      </c>
      <c r="N549">
        <v>2</v>
      </c>
      <c r="O549">
        <v>3</v>
      </c>
      <c r="P549">
        <v>2</v>
      </c>
      <c r="Q549" t="s">
        <v>36</v>
      </c>
      <c r="R549" t="s">
        <v>85</v>
      </c>
      <c r="S549">
        <v>2</v>
      </c>
      <c r="T549">
        <v>3</v>
      </c>
      <c r="U549" t="s">
        <v>59</v>
      </c>
      <c r="V549" t="s">
        <v>79</v>
      </c>
      <c r="W549" t="s">
        <v>61</v>
      </c>
      <c r="X549" s="3">
        <v>45841</v>
      </c>
      <c r="Y549" s="1" t="str">
        <f t="shared" si="16"/>
        <v>Jul</v>
      </c>
      <c r="Z549" s="1" t="str">
        <f t="shared" si="17"/>
        <v>2025</v>
      </c>
      <c r="AA549" t="b">
        <v>1</v>
      </c>
      <c r="AB549" t="b">
        <v>0</v>
      </c>
      <c r="AC549" t="s">
        <v>62</v>
      </c>
      <c r="AD549" t="s">
        <v>41</v>
      </c>
      <c r="AE549">
        <v>14</v>
      </c>
    </row>
    <row r="550" spans="1:31" x14ac:dyDescent="0.3">
      <c r="A550" t="s">
        <v>1177</v>
      </c>
      <c r="B550">
        <v>47</v>
      </c>
      <c r="C550" t="str" cm="1">
        <f t="array" ref="C550">_xlfn.IFS(B550&lt;=18,"0-18",B550&lt;=29,"19-29",B550&gt;=49,"30-49",B550&gt;=69,"50-69",TRUE,"70+")</f>
        <v>70+</v>
      </c>
      <c r="D550" t="s">
        <v>29</v>
      </c>
      <c r="E550" t="s">
        <v>44</v>
      </c>
      <c r="F550" t="s">
        <v>76</v>
      </c>
      <c r="G550" t="s">
        <v>32</v>
      </c>
      <c r="H550" t="s">
        <v>30</v>
      </c>
      <c r="I550" t="s">
        <v>1178</v>
      </c>
      <c r="J550" t="s">
        <v>246</v>
      </c>
      <c r="K550" s="2">
        <v>396.76</v>
      </c>
      <c r="L550">
        <v>8</v>
      </c>
      <c r="M550" t="s">
        <v>78</v>
      </c>
      <c r="N550">
        <v>3</v>
      </c>
      <c r="O550">
        <v>3</v>
      </c>
      <c r="P550">
        <v>1</v>
      </c>
      <c r="Q550" t="s">
        <v>36</v>
      </c>
      <c r="R550" t="s">
        <v>85</v>
      </c>
      <c r="S550">
        <v>2</v>
      </c>
      <c r="T550">
        <v>4</v>
      </c>
      <c r="U550" t="s">
        <v>44</v>
      </c>
      <c r="V550" t="s">
        <v>38</v>
      </c>
      <c r="W550" t="s">
        <v>86</v>
      </c>
      <c r="X550" s="3">
        <v>45842</v>
      </c>
      <c r="Y550" s="1" t="str">
        <f t="shared" si="16"/>
        <v>Jul</v>
      </c>
      <c r="Z550" s="1" t="str">
        <f t="shared" si="17"/>
        <v>2025</v>
      </c>
      <c r="AA550" t="b">
        <v>1</v>
      </c>
      <c r="AB550" t="b">
        <v>1</v>
      </c>
      <c r="AC550" t="s">
        <v>74</v>
      </c>
      <c r="AD550" t="s">
        <v>67</v>
      </c>
      <c r="AE550">
        <v>8</v>
      </c>
    </row>
    <row r="551" spans="1:31" x14ac:dyDescent="0.3">
      <c r="A551" t="s">
        <v>1179</v>
      </c>
      <c r="B551">
        <v>20</v>
      </c>
      <c r="C551" t="str" cm="1">
        <f t="array" ref="C551">_xlfn.IFS(B551&lt;=18,"0-18",B551&lt;=29,"19-29",B551&gt;=49,"30-49",B551&gt;=69,"50-69",TRUE,"70+")</f>
        <v>19-29</v>
      </c>
      <c r="D551" t="s">
        <v>274</v>
      </c>
      <c r="E551" t="s">
        <v>44</v>
      </c>
      <c r="F551" t="s">
        <v>69</v>
      </c>
      <c r="G551" t="s">
        <v>56</v>
      </c>
      <c r="H551" t="s">
        <v>30</v>
      </c>
      <c r="I551" t="s">
        <v>1180</v>
      </c>
      <c r="J551" t="s">
        <v>114</v>
      </c>
      <c r="K551" s="2">
        <v>393.35</v>
      </c>
      <c r="L551">
        <v>7</v>
      </c>
      <c r="M551" t="s">
        <v>35</v>
      </c>
      <c r="N551">
        <v>3</v>
      </c>
      <c r="O551">
        <v>4</v>
      </c>
      <c r="P551">
        <v>2</v>
      </c>
      <c r="Q551" t="s">
        <v>44</v>
      </c>
      <c r="R551" t="s">
        <v>50</v>
      </c>
      <c r="S551">
        <v>0</v>
      </c>
      <c r="T551">
        <v>4</v>
      </c>
      <c r="U551" t="s">
        <v>44</v>
      </c>
      <c r="V551" t="s">
        <v>38</v>
      </c>
      <c r="W551" t="s">
        <v>39</v>
      </c>
      <c r="X551" s="3">
        <v>45843</v>
      </c>
      <c r="Y551" s="1" t="str">
        <f t="shared" si="16"/>
        <v>Jul</v>
      </c>
      <c r="Z551" s="1" t="str">
        <f t="shared" si="17"/>
        <v>2025</v>
      </c>
      <c r="AA551" t="b">
        <v>1</v>
      </c>
      <c r="AB551" t="b">
        <v>1</v>
      </c>
      <c r="AC551" t="s">
        <v>40</v>
      </c>
      <c r="AD551" t="s">
        <v>41</v>
      </c>
      <c r="AE551">
        <v>12</v>
      </c>
    </row>
    <row r="552" spans="1:31" x14ac:dyDescent="0.3">
      <c r="A552" t="s">
        <v>1181</v>
      </c>
      <c r="B552">
        <v>26</v>
      </c>
      <c r="C552" t="str" cm="1">
        <f t="array" ref="C552">_xlfn.IFS(B552&lt;=18,"0-18",B552&lt;=29,"19-29",B552&gt;=49,"30-49",B552&gt;=69,"50-69",TRUE,"70+")</f>
        <v>19-29</v>
      </c>
      <c r="D552" t="s">
        <v>29</v>
      </c>
      <c r="E552" t="s">
        <v>44</v>
      </c>
      <c r="F552" t="s">
        <v>55</v>
      </c>
      <c r="G552" t="s">
        <v>56</v>
      </c>
      <c r="H552" t="s">
        <v>44</v>
      </c>
      <c r="I552" t="s">
        <v>1182</v>
      </c>
      <c r="J552" t="s">
        <v>117</v>
      </c>
      <c r="K552" s="2">
        <v>114.03</v>
      </c>
      <c r="L552">
        <v>7</v>
      </c>
      <c r="M552" t="s">
        <v>35</v>
      </c>
      <c r="N552">
        <v>4</v>
      </c>
      <c r="O552">
        <v>3</v>
      </c>
      <c r="P552">
        <v>0</v>
      </c>
      <c r="Q552" t="s">
        <v>49</v>
      </c>
      <c r="R552" t="s">
        <v>50</v>
      </c>
      <c r="S552">
        <v>1</v>
      </c>
      <c r="T552">
        <v>10</v>
      </c>
      <c r="U552" t="s">
        <v>44</v>
      </c>
      <c r="V552" t="s">
        <v>38</v>
      </c>
      <c r="W552" t="s">
        <v>39</v>
      </c>
      <c r="X552" s="3">
        <v>45844</v>
      </c>
      <c r="Y552" s="1" t="str">
        <f t="shared" si="16"/>
        <v>Jul</v>
      </c>
      <c r="Z552" s="1" t="str">
        <f t="shared" si="17"/>
        <v>2025</v>
      </c>
      <c r="AA552" t="b">
        <v>1</v>
      </c>
      <c r="AB552" t="b">
        <v>1</v>
      </c>
      <c r="AC552" t="s">
        <v>74</v>
      </c>
      <c r="AD552" t="s">
        <v>41</v>
      </c>
      <c r="AE552">
        <v>6</v>
      </c>
    </row>
    <row r="553" spans="1:31" x14ac:dyDescent="0.3">
      <c r="A553" t="s">
        <v>1183</v>
      </c>
      <c r="B553">
        <v>49</v>
      </c>
      <c r="C553" t="str" cm="1">
        <f t="array" ref="C553">_xlfn.IFS(B553&lt;=18,"0-18",B553&lt;=29,"19-29",B553&gt;=49,"30-49",B553&gt;=69,"50-69",TRUE,"70+")</f>
        <v>30-49</v>
      </c>
      <c r="D553" t="s">
        <v>43</v>
      </c>
      <c r="E553" t="s">
        <v>44</v>
      </c>
      <c r="F553" t="s">
        <v>55</v>
      </c>
      <c r="G553" t="s">
        <v>32</v>
      </c>
      <c r="H553" t="s">
        <v>30</v>
      </c>
      <c r="I553" t="s">
        <v>1184</v>
      </c>
      <c r="J553" t="s">
        <v>142</v>
      </c>
      <c r="K553" s="2">
        <v>109.97</v>
      </c>
      <c r="L553">
        <v>4</v>
      </c>
      <c r="M553" t="s">
        <v>48</v>
      </c>
      <c r="N553">
        <v>4</v>
      </c>
      <c r="O553">
        <v>4</v>
      </c>
      <c r="P553">
        <v>1</v>
      </c>
      <c r="Q553" t="s">
        <v>36</v>
      </c>
      <c r="R553" t="s">
        <v>85</v>
      </c>
      <c r="S553">
        <v>1</v>
      </c>
      <c r="T553">
        <v>5</v>
      </c>
      <c r="U553" t="s">
        <v>36</v>
      </c>
      <c r="V553" t="s">
        <v>38</v>
      </c>
      <c r="W553" t="s">
        <v>39</v>
      </c>
      <c r="X553" s="3">
        <v>45845</v>
      </c>
      <c r="Y553" s="1" t="str">
        <f t="shared" si="16"/>
        <v>Jul</v>
      </c>
      <c r="Z553" s="1" t="str">
        <f t="shared" si="17"/>
        <v>2025</v>
      </c>
      <c r="AA553" t="b">
        <v>1</v>
      </c>
      <c r="AB553" t="b">
        <v>0</v>
      </c>
      <c r="AC553" t="s">
        <v>52</v>
      </c>
      <c r="AD553" t="s">
        <v>41</v>
      </c>
      <c r="AE553">
        <v>1</v>
      </c>
    </row>
    <row r="554" spans="1:31" x14ac:dyDescent="0.3">
      <c r="A554" t="s">
        <v>1185</v>
      </c>
      <c r="B554">
        <v>39</v>
      </c>
      <c r="C554" t="str" cm="1">
        <f t="array" ref="C554">_xlfn.IFS(B554&lt;=18,"0-18",B554&lt;=29,"19-29",B554&gt;=49,"30-49",B554&gt;=69,"50-69",TRUE,"70+")</f>
        <v>70+</v>
      </c>
      <c r="D554" t="s">
        <v>29</v>
      </c>
      <c r="E554" t="s">
        <v>44</v>
      </c>
      <c r="F554" t="s">
        <v>69</v>
      </c>
      <c r="G554" t="s">
        <v>56</v>
      </c>
      <c r="H554" t="s">
        <v>44</v>
      </c>
      <c r="I554" t="s">
        <v>1186</v>
      </c>
      <c r="J554" t="s">
        <v>188</v>
      </c>
      <c r="K554" s="2">
        <v>310.23</v>
      </c>
      <c r="L554">
        <v>12</v>
      </c>
      <c r="M554" t="s">
        <v>48</v>
      </c>
      <c r="N554">
        <v>1</v>
      </c>
      <c r="O554">
        <v>4</v>
      </c>
      <c r="P554">
        <v>0</v>
      </c>
      <c r="Q554" t="s">
        <v>36</v>
      </c>
      <c r="R554" t="s">
        <v>37</v>
      </c>
      <c r="S554">
        <v>0</v>
      </c>
      <c r="T554">
        <v>6</v>
      </c>
      <c r="U554" t="s">
        <v>36</v>
      </c>
      <c r="V554" t="s">
        <v>79</v>
      </c>
      <c r="W554" t="s">
        <v>51</v>
      </c>
      <c r="X554" s="3">
        <v>45846</v>
      </c>
      <c r="Y554" s="1" t="str">
        <f t="shared" si="16"/>
        <v>Jul</v>
      </c>
      <c r="Z554" s="1" t="str">
        <f t="shared" si="17"/>
        <v>2025</v>
      </c>
      <c r="AA554" t="b">
        <v>1</v>
      </c>
      <c r="AB554" t="b">
        <v>0</v>
      </c>
      <c r="AC554" t="s">
        <v>62</v>
      </c>
      <c r="AD554" t="s">
        <v>67</v>
      </c>
      <c r="AE554">
        <v>3</v>
      </c>
    </row>
    <row r="555" spans="1:31" x14ac:dyDescent="0.3">
      <c r="A555" t="s">
        <v>1187</v>
      </c>
      <c r="B555">
        <v>22</v>
      </c>
      <c r="C555" t="str" cm="1">
        <f t="array" ref="C555">_xlfn.IFS(B555&lt;=18,"0-18",B555&lt;=29,"19-29",B555&gt;=49,"30-49",B555&gt;=69,"50-69",TRUE,"70+")</f>
        <v>19-29</v>
      </c>
      <c r="D555" t="s">
        <v>43</v>
      </c>
      <c r="E555" t="s">
        <v>30</v>
      </c>
      <c r="F555" t="s">
        <v>76</v>
      </c>
      <c r="G555" t="s">
        <v>56</v>
      </c>
      <c r="H555" t="s">
        <v>30</v>
      </c>
      <c r="I555" t="s">
        <v>1178</v>
      </c>
      <c r="J555" t="s">
        <v>194</v>
      </c>
      <c r="K555" s="2">
        <v>383.13</v>
      </c>
      <c r="L555">
        <v>3</v>
      </c>
      <c r="M555" t="s">
        <v>35</v>
      </c>
      <c r="N555">
        <v>4</v>
      </c>
      <c r="O555">
        <v>5</v>
      </c>
      <c r="P555">
        <v>0</v>
      </c>
      <c r="Q555" t="s">
        <v>49</v>
      </c>
      <c r="R555" t="s">
        <v>50</v>
      </c>
      <c r="S555">
        <v>2</v>
      </c>
      <c r="T555">
        <v>6</v>
      </c>
      <c r="U555" t="s">
        <v>36</v>
      </c>
      <c r="V555" t="s">
        <v>79</v>
      </c>
      <c r="W555" t="s">
        <v>86</v>
      </c>
      <c r="X555" s="3">
        <v>45847</v>
      </c>
      <c r="Y555" s="1" t="str">
        <f t="shared" si="16"/>
        <v>Jul</v>
      </c>
      <c r="Z555" s="1" t="str">
        <f t="shared" si="17"/>
        <v>2025</v>
      </c>
      <c r="AA555" t="b">
        <v>0</v>
      </c>
      <c r="AB555" t="b">
        <v>0</v>
      </c>
      <c r="AC555" t="s">
        <v>40</v>
      </c>
      <c r="AD555" t="s">
        <v>41</v>
      </c>
      <c r="AE555">
        <v>7</v>
      </c>
    </row>
    <row r="556" spans="1:31" x14ac:dyDescent="0.3">
      <c r="A556" t="s">
        <v>1188</v>
      </c>
      <c r="B556">
        <v>25</v>
      </c>
      <c r="C556" t="str" cm="1">
        <f t="array" ref="C556">_xlfn.IFS(B556&lt;=18,"0-18",B556&lt;=29,"19-29",B556&gt;=49,"30-49",B556&gt;=69,"50-69",TRUE,"70+")</f>
        <v>19-29</v>
      </c>
      <c r="D556" t="s">
        <v>43</v>
      </c>
      <c r="E556" t="s">
        <v>44</v>
      </c>
      <c r="F556" t="s">
        <v>55</v>
      </c>
      <c r="G556" t="s">
        <v>45</v>
      </c>
      <c r="H556" t="s">
        <v>30</v>
      </c>
      <c r="I556" t="s">
        <v>1189</v>
      </c>
      <c r="J556" t="s">
        <v>142</v>
      </c>
      <c r="K556" s="2">
        <v>434.86</v>
      </c>
      <c r="L556">
        <v>11</v>
      </c>
      <c r="M556" t="s">
        <v>48</v>
      </c>
      <c r="N556">
        <v>2</v>
      </c>
      <c r="O556">
        <v>5</v>
      </c>
      <c r="P556">
        <v>2</v>
      </c>
      <c r="Q556" t="s">
        <v>44</v>
      </c>
      <c r="R556" t="s">
        <v>37</v>
      </c>
      <c r="S556">
        <v>0</v>
      </c>
      <c r="T556">
        <v>4</v>
      </c>
      <c r="U556" t="s">
        <v>49</v>
      </c>
      <c r="V556" t="s">
        <v>60</v>
      </c>
      <c r="W556" t="s">
        <v>66</v>
      </c>
      <c r="X556" s="3">
        <v>45848</v>
      </c>
      <c r="Y556" s="1" t="str">
        <f t="shared" si="16"/>
        <v>Jul</v>
      </c>
      <c r="Z556" s="1" t="str">
        <f t="shared" si="17"/>
        <v>2025</v>
      </c>
      <c r="AA556" t="b">
        <v>1</v>
      </c>
      <c r="AB556" t="b">
        <v>0</v>
      </c>
      <c r="AC556" t="s">
        <v>62</v>
      </c>
      <c r="AD556" t="s">
        <v>67</v>
      </c>
      <c r="AE556">
        <v>11</v>
      </c>
    </row>
    <row r="557" spans="1:31" x14ac:dyDescent="0.3">
      <c r="A557" t="s">
        <v>1190</v>
      </c>
      <c r="B557">
        <v>30</v>
      </c>
      <c r="C557" t="str" cm="1">
        <f t="array" ref="C557">_xlfn.IFS(B557&lt;=18,"0-18",B557&lt;=29,"19-29",B557&gt;=49,"30-49",B557&gt;=69,"50-69",TRUE,"70+")</f>
        <v>70+</v>
      </c>
      <c r="D557" t="s">
        <v>29</v>
      </c>
      <c r="E557" t="s">
        <v>30</v>
      </c>
      <c r="F557" t="s">
        <v>31</v>
      </c>
      <c r="G557" t="s">
        <v>32</v>
      </c>
      <c r="H557" t="s">
        <v>30</v>
      </c>
      <c r="I557" t="s">
        <v>1191</v>
      </c>
      <c r="J557" t="s">
        <v>58</v>
      </c>
      <c r="K557" s="2">
        <v>489.1</v>
      </c>
      <c r="L557">
        <v>9</v>
      </c>
      <c r="M557" t="s">
        <v>35</v>
      </c>
      <c r="N557">
        <v>3</v>
      </c>
      <c r="O557">
        <v>4</v>
      </c>
      <c r="P557">
        <v>1</v>
      </c>
      <c r="Q557" t="s">
        <v>59</v>
      </c>
      <c r="R557" t="s">
        <v>37</v>
      </c>
      <c r="S557">
        <v>2</v>
      </c>
      <c r="T557">
        <v>4</v>
      </c>
      <c r="U557" t="s">
        <v>49</v>
      </c>
      <c r="V557" t="s">
        <v>60</v>
      </c>
      <c r="W557" t="s">
        <v>39</v>
      </c>
      <c r="X557" s="3">
        <v>45849</v>
      </c>
      <c r="Y557" s="1" t="str">
        <f t="shared" si="16"/>
        <v>Jul</v>
      </c>
      <c r="Z557" s="1" t="str">
        <f t="shared" si="17"/>
        <v>2025</v>
      </c>
      <c r="AA557" t="b">
        <v>1</v>
      </c>
      <c r="AB557" t="b">
        <v>0</v>
      </c>
      <c r="AC557" t="s">
        <v>40</v>
      </c>
      <c r="AD557" t="s">
        <v>53</v>
      </c>
      <c r="AE557">
        <v>13</v>
      </c>
    </row>
    <row r="558" spans="1:31" x14ac:dyDescent="0.3">
      <c r="A558" t="s">
        <v>1192</v>
      </c>
      <c r="B558">
        <v>19</v>
      </c>
      <c r="C558" t="str" cm="1">
        <f t="array" ref="C558">_xlfn.IFS(B558&lt;=18,"0-18",B558&lt;=29,"19-29",B558&gt;=49,"30-49",B558&gt;=69,"50-69",TRUE,"70+")</f>
        <v>19-29</v>
      </c>
      <c r="D558" t="s">
        <v>212</v>
      </c>
      <c r="E558" t="s">
        <v>44</v>
      </c>
      <c r="F558" t="s">
        <v>31</v>
      </c>
      <c r="G558" t="s">
        <v>32</v>
      </c>
      <c r="H558" t="s">
        <v>44</v>
      </c>
      <c r="I558" t="s">
        <v>1193</v>
      </c>
      <c r="J558" t="s">
        <v>246</v>
      </c>
      <c r="K558" s="2">
        <v>288.14999999999998</v>
      </c>
      <c r="L558">
        <v>3</v>
      </c>
      <c r="M558" t="s">
        <v>78</v>
      </c>
      <c r="N558">
        <v>1</v>
      </c>
      <c r="O558">
        <v>4</v>
      </c>
      <c r="P558">
        <v>1</v>
      </c>
      <c r="Q558" t="s">
        <v>44</v>
      </c>
      <c r="R558" t="s">
        <v>37</v>
      </c>
      <c r="S558">
        <v>1</v>
      </c>
      <c r="T558">
        <v>4</v>
      </c>
      <c r="U558" t="s">
        <v>49</v>
      </c>
      <c r="V558" t="s">
        <v>38</v>
      </c>
      <c r="W558" t="s">
        <v>86</v>
      </c>
      <c r="X558" s="3">
        <v>45850</v>
      </c>
      <c r="Y558" s="1" t="str">
        <f t="shared" si="16"/>
        <v>Jul</v>
      </c>
      <c r="Z558" s="1" t="str">
        <f t="shared" si="17"/>
        <v>2025</v>
      </c>
      <c r="AA558" t="b">
        <v>1</v>
      </c>
      <c r="AB558" t="b">
        <v>0</v>
      </c>
      <c r="AC558" t="s">
        <v>62</v>
      </c>
      <c r="AD558" t="s">
        <v>53</v>
      </c>
      <c r="AE558">
        <v>13</v>
      </c>
    </row>
    <row r="559" spans="1:31" x14ac:dyDescent="0.3">
      <c r="A559" t="s">
        <v>1194</v>
      </c>
      <c r="B559">
        <v>35</v>
      </c>
      <c r="C559" t="str" cm="1">
        <f t="array" ref="C559">_xlfn.IFS(B559&lt;=18,"0-18",B559&lt;=29,"19-29",B559&gt;=49,"30-49",B559&gt;=69,"50-69",TRUE,"70+")</f>
        <v>70+</v>
      </c>
      <c r="D559" t="s">
        <v>43</v>
      </c>
      <c r="E559" t="s">
        <v>44</v>
      </c>
      <c r="F559" t="s">
        <v>76</v>
      </c>
      <c r="G559" t="s">
        <v>56</v>
      </c>
      <c r="H559" t="s">
        <v>30</v>
      </c>
      <c r="I559" t="s">
        <v>1195</v>
      </c>
      <c r="J559" t="s">
        <v>183</v>
      </c>
      <c r="K559" s="2">
        <v>105.87</v>
      </c>
      <c r="L559">
        <v>12</v>
      </c>
      <c r="M559" t="s">
        <v>35</v>
      </c>
      <c r="N559">
        <v>3</v>
      </c>
      <c r="O559">
        <v>2</v>
      </c>
      <c r="P559">
        <v>1</v>
      </c>
      <c r="Q559" t="s">
        <v>59</v>
      </c>
      <c r="R559" t="s">
        <v>50</v>
      </c>
      <c r="S559">
        <v>1</v>
      </c>
      <c r="T559">
        <v>1</v>
      </c>
      <c r="U559" t="s">
        <v>49</v>
      </c>
      <c r="V559" t="s">
        <v>38</v>
      </c>
      <c r="W559" t="s">
        <v>86</v>
      </c>
      <c r="X559" s="3">
        <v>45851</v>
      </c>
      <c r="Y559" s="1" t="str">
        <f t="shared" si="16"/>
        <v>Jul</v>
      </c>
      <c r="Z559" s="1" t="str">
        <f t="shared" si="17"/>
        <v>2025</v>
      </c>
      <c r="AA559" t="b">
        <v>0</v>
      </c>
      <c r="AB559" t="b">
        <v>0</v>
      </c>
      <c r="AC559" t="s">
        <v>74</v>
      </c>
      <c r="AD559" t="s">
        <v>67</v>
      </c>
      <c r="AE559">
        <v>4</v>
      </c>
    </row>
    <row r="560" spans="1:31" x14ac:dyDescent="0.3">
      <c r="A560" t="s">
        <v>1196</v>
      </c>
      <c r="B560">
        <v>45</v>
      </c>
      <c r="C560" t="str" cm="1">
        <f t="array" ref="C560">_xlfn.IFS(B560&lt;=18,"0-18",B560&lt;=29,"19-29",B560&gt;=49,"30-49",B560&gt;=69,"50-69",TRUE,"70+")</f>
        <v>70+</v>
      </c>
      <c r="D560" t="s">
        <v>43</v>
      </c>
      <c r="E560" t="s">
        <v>30</v>
      </c>
      <c r="F560" t="s">
        <v>69</v>
      </c>
      <c r="G560" t="s">
        <v>45</v>
      </c>
      <c r="H560" t="s">
        <v>44</v>
      </c>
      <c r="I560" t="s">
        <v>1197</v>
      </c>
      <c r="J560" t="s">
        <v>98</v>
      </c>
      <c r="K560" s="2">
        <v>163.4</v>
      </c>
      <c r="L560">
        <v>3</v>
      </c>
      <c r="M560" t="s">
        <v>48</v>
      </c>
      <c r="N560">
        <v>3</v>
      </c>
      <c r="O560">
        <v>5</v>
      </c>
      <c r="P560">
        <v>1</v>
      </c>
      <c r="Q560" t="s">
        <v>44</v>
      </c>
      <c r="R560" t="s">
        <v>37</v>
      </c>
      <c r="S560">
        <v>2</v>
      </c>
      <c r="T560">
        <v>10</v>
      </c>
      <c r="U560" t="s">
        <v>44</v>
      </c>
      <c r="V560" t="s">
        <v>79</v>
      </c>
      <c r="W560" t="s">
        <v>86</v>
      </c>
      <c r="X560" s="3">
        <v>45852</v>
      </c>
      <c r="Y560" s="1" t="str">
        <f t="shared" si="16"/>
        <v>Jul</v>
      </c>
      <c r="Z560" s="1" t="str">
        <f t="shared" si="17"/>
        <v>2025</v>
      </c>
      <c r="AA560" t="b">
        <v>1</v>
      </c>
      <c r="AB560" t="b">
        <v>0</v>
      </c>
      <c r="AC560" t="s">
        <v>74</v>
      </c>
      <c r="AD560" t="s">
        <v>53</v>
      </c>
      <c r="AE560">
        <v>7</v>
      </c>
    </row>
    <row r="561" spans="1:31" x14ac:dyDescent="0.3">
      <c r="A561" t="s">
        <v>1198</v>
      </c>
      <c r="B561">
        <v>20</v>
      </c>
      <c r="C561" t="str" cm="1">
        <f t="array" ref="C561">_xlfn.IFS(B561&lt;=18,"0-18",B561&lt;=29,"19-29",B561&gt;=49,"30-49",B561&gt;=69,"50-69",TRUE,"70+")</f>
        <v>19-29</v>
      </c>
      <c r="D561" t="s">
        <v>43</v>
      </c>
      <c r="E561" t="s">
        <v>44</v>
      </c>
      <c r="F561" t="s">
        <v>55</v>
      </c>
      <c r="G561" t="s">
        <v>45</v>
      </c>
      <c r="H561" t="s">
        <v>44</v>
      </c>
      <c r="I561" t="s">
        <v>1199</v>
      </c>
      <c r="J561" t="s">
        <v>34</v>
      </c>
      <c r="K561" s="2">
        <v>422.92</v>
      </c>
      <c r="L561">
        <v>6</v>
      </c>
      <c r="M561" t="s">
        <v>35</v>
      </c>
      <c r="N561">
        <v>4</v>
      </c>
      <c r="O561">
        <v>1</v>
      </c>
      <c r="P561">
        <v>2</v>
      </c>
      <c r="Q561" t="s">
        <v>36</v>
      </c>
      <c r="R561" t="s">
        <v>37</v>
      </c>
      <c r="S561">
        <v>0</v>
      </c>
      <c r="T561">
        <v>6</v>
      </c>
      <c r="U561" t="s">
        <v>59</v>
      </c>
      <c r="V561" t="s">
        <v>79</v>
      </c>
      <c r="W561" t="s">
        <v>61</v>
      </c>
      <c r="X561" s="3">
        <v>45853</v>
      </c>
      <c r="Y561" s="1" t="str">
        <f t="shared" si="16"/>
        <v>Jul</v>
      </c>
      <c r="Z561" s="1" t="str">
        <f t="shared" si="17"/>
        <v>2025</v>
      </c>
      <c r="AA561" t="b">
        <v>0</v>
      </c>
      <c r="AB561" t="b">
        <v>1</v>
      </c>
      <c r="AC561" t="s">
        <v>74</v>
      </c>
      <c r="AD561" t="s">
        <v>41</v>
      </c>
      <c r="AE561">
        <v>6</v>
      </c>
    </row>
    <row r="562" spans="1:31" x14ac:dyDescent="0.3">
      <c r="A562" t="s">
        <v>1200</v>
      </c>
      <c r="B562">
        <v>48</v>
      </c>
      <c r="C562" t="str" cm="1">
        <f t="array" ref="C562">_xlfn.IFS(B562&lt;=18,"0-18",B562&lt;=29,"19-29",B562&gt;=49,"30-49",B562&gt;=69,"50-69",TRUE,"70+")</f>
        <v>70+</v>
      </c>
      <c r="D562" t="s">
        <v>43</v>
      </c>
      <c r="E562" t="s">
        <v>30</v>
      </c>
      <c r="F562" t="s">
        <v>76</v>
      </c>
      <c r="G562" t="s">
        <v>45</v>
      </c>
      <c r="H562" t="s">
        <v>44</v>
      </c>
      <c r="I562" t="s">
        <v>1201</v>
      </c>
      <c r="J562" t="s">
        <v>34</v>
      </c>
      <c r="K562" s="2">
        <v>361.48</v>
      </c>
      <c r="L562">
        <v>10</v>
      </c>
      <c r="M562" t="s">
        <v>78</v>
      </c>
      <c r="N562">
        <v>1</v>
      </c>
      <c r="O562">
        <v>4</v>
      </c>
      <c r="P562">
        <v>1</v>
      </c>
      <c r="Q562" t="s">
        <v>49</v>
      </c>
      <c r="R562" t="s">
        <v>37</v>
      </c>
      <c r="S562">
        <v>2</v>
      </c>
      <c r="T562">
        <v>9</v>
      </c>
      <c r="U562" t="s">
        <v>44</v>
      </c>
      <c r="V562" t="s">
        <v>38</v>
      </c>
      <c r="W562" t="s">
        <v>86</v>
      </c>
      <c r="X562" s="3">
        <v>45854</v>
      </c>
      <c r="Y562" s="1" t="str">
        <f t="shared" si="16"/>
        <v>Jul</v>
      </c>
      <c r="Z562" s="1" t="str">
        <f t="shared" si="17"/>
        <v>2025</v>
      </c>
      <c r="AA562" t="b">
        <v>1</v>
      </c>
      <c r="AB562" t="b">
        <v>1</v>
      </c>
      <c r="AC562" t="s">
        <v>52</v>
      </c>
      <c r="AD562" t="s">
        <v>67</v>
      </c>
      <c r="AE562">
        <v>13</v>
      </c>
    </row>
    <row r="563" spans="1:31" x14ac:dyDescent="0.3">
      <c r="A563" t="s">
        <v>1202</v>
      </c>
      <c r="B563">
        <v>23</v>
      </c>
      <c r="C563" t="str" cm="1">
        <f t="array" ref="C563">_xlfn.IFS(B563&lt;=18,"0-18",B563&lt;=29,"19-29",B563&gt;=49,"30-49",B563&gt;=69,"50-69",TRUE,"70+")</f>
        <v>19-29</v>
      </c>
      <c r="D563" t="s">
        <v>43</v>
      </c>
      <c r="E563" t="s">
        <v>30</v>
      </c>
      <c r="F563" t="s">
        <v>55</v>
      </c>
      <c r="G563" t="s">
        <v>56</v>
      </c>
      <c r="H563" t="s">
        <v>44</v>
      </c>
      <c r="I563" t="s">
        <v>1203</v>
      </c>
      <c r="J563" t="s">
        <v>107</v>
      </c>
      <c r="K563" s="2">
        <v>270.82</v>
      </c>
      <c r="L563">
        <v>2</v>
      </c>
      <c r="M563" t="s">
        <v>48</v>
      </c>
      <c r="N563">
        <v>4</v>
      </c>
      <c r="O563">
        <v>2</v>
      </c>
      <c r="P563">
        <v>0</v>
      </c>
      <c r="Q563" t="s">
        <v>36</v>
      </c>
      <c r="R563" t="s">
        <v>37</v>
      </c>
      <c r="S563">
        <v>1</v>
      </c>
      <c r="T563">
        <v>8</v>
      </c>
      <c r="U563" t="s">
        <v>59</v>
      </c>
      <c r="V563" t="s">
        <v>38</v>
      </c>
      <c r="W563" t="s">
        <v>66</v>
      </c>
      <c r="X563" s="3">
        <v>45855</v>
      </c>
      <c r="Y563" s="1" t="str">
        <f t="shared" si="16"/>
        <v>Jul</v>
      </c>
      <c r="Z563" s="1" t="str">
        <f t="shared" si="17"/>
        <v>2025</v>
      </c>
      <c r="AA563" t="b">
        <v>1</v>
      </c>
      <c r="AB563" t="b">
        <v>0</v>
      </c>
      <c r="AC563" t="s">
        <v>52</v>
      </c>
      <c r="AD563" t="s">
        <v>53</v>
      </c>
      <c r="AE563">
        <v>13</v>
      </c>
    </row>
    <row r="564" spans="1:31" x14ac:dyDescent="0.3">
      <c r="A564" t="s">
        <v>1204</v>
      </c>
      <c r="B564">
        <v>49</v>
      </c>
      <c r="C564" t="str" cm="1">
        <f t="array" ref="C564">_xlfn.IFS(B564&lt;=18,"0-18",B564&lt;=29,"19-29",B564&gt;=49,"30-49",B564&gt;=69,"50-69",TRUE,"70+")</f>
        <v>30-49</v>
      </c>
      <c r="D564" t="s">
        <v>29</v>
      </c>
      <c r="E564" t="s">
        <v>44</v>
      </c>
      <c r="F564" t="s">
        <v>69</v>
      </c>
      <c r="G564" t="s">
        <v>45</v>
      </c>
      <c r="H564" t="s">
        <v>44</v>
      </c>
      <c r="I564" t="s">
        <v>1205</v>
      </c>
      <c r="J564" t="s">
        <v>126</v>
      </c>
      <c r="K564" s="2">
        <v>372.26</v>
      </c>
      <c r="L564">
        <v>11</v>
      </c>
      <c r="M564" t="s">
        <v>48</v>
      </c>
      <c r="N564">
        <v>1</v>
      </c>
      <c r="O564">
        <v>5</v>
      </c>
      <c r="P564">
        <v>2</v>
      </c>
      <c r="Q564" t="s">
        <v>36</v>
      </c>
      <c r="R564" t="s">
        <v>85</v>
      </c>
      <c r="S564">
        <v>1</v>
      </c>
      <c r="T564">
        <v>8</v>
      </c>
      <c r="U564" t="s">
        <v>44</v>
      </c>
      <c r="V564" t="s">
        <v>60</v>
      </c>
      <c r="W564" t="s">
        <v>51</v>
      </c>
      <c r="X564" s="3">
        <v>45856</v>
      </c>
      <c r="Y564" s="1" t="str">
        <f t="shared" si="16"/>
        <v>Jul</v>
      </c>
      <c r="Z564" s="1" t="str">
        <f t="shared" si="17"/>
        <v>2025</v>
      </c>
      <c r="AA564" t="b">
        <v>0</v>
      </c>
      <c r="AB564" t="b">
        <v>1</v>
      </c>
      <c r="AC564" t="s">
        <v>52</v>
      </c>
      <c r="AD564" t="s">
        <v>67</v>
      </c>
      <c r="AE564">
        <v>6</v>
      </c>
    </row>
    <row r="565" spans="1:31" x14ac:dyDescent="0.3">
      <c r="A565" t="s">
        <v>1206</v>
      </c>
      <c r="B565">
        <v>23</v>
      </c>
      <c r="C565" t="str" cm="1">
        <f t="array" ref="C565">_xlfn.IFS(B565&lt;=18,"0-18",B565&lt;=29,"19-29",B565&gt;=49,"30-49",B565&gt;=69,"50-69",TRUE,"70+")</f>
        <v>19-29</v>
      </c>
      <c r="D565" t="s">
        <v>29</v>
      </c>
      <c r="E565" t="s">
        <v>30</v>
      </c>
      <c r="F565" t="s">
        <v>69</v>
      </c>
      <c r="G565" t="s">
        <v>32</v>
      </c>
      <c r="H565" t="s">
        <v>44</v>
      </c>
      <c r="I565" t="s">
        <v>1207</v>
      </c>
      <c r="J565" t="s">
        <v>117</v>
      </c>
      <c r="K565" s="2">
        <v>208.59</v>
      </c>
      <c r="L565">
        <v>3</v>
      </c>
      <c r="M565" t="s">
        <v>35</v>
      </c>
      <c r="N565">
        <v>1</v>
      </c>
      <c r="O565">
        <v>1</v>
      </c>
      <c r="P565">
        <v>2</v>
      </c>
      <c r="Q565" t="s">
        <v>49</v>
      </c>
      <c r="R565" t="s">
        <v>37</v>
      </c>
      <c r="S565">
        <v>0</v>
      </c>
      <c r="T565">
        <v>4</v>
      </c>
      <c r="U565" t="s">
        <v>36</v>
      </c>
      <c r="V565" t="s">
        <v>79</v>
      </c>
      <c r="W565" t="s">
        <v>51</v>
      </c>
      <c r="X565" s="3">
        <v>45857</v>
      </c>
      <c r="Y565" s="1" t="str">
        <f t="shared" si="16"/>
        <v>Jul</v>
      </c>
      <c r="Z565" s="1" t="str">
        <f t="shared" si="17"/>
        <v>2025</v>
      </c>
      <c r="AA565" t="b">
        <v>1</v>
      </c>
      <c r="AB565" t="b">
        <v>0</v>
      </c>
      <c r="AC565" t="s">
        <v>62</v>
      </c>
      <c r="AD565" t="s">
        <v>67</v>
      </c>
      <c r="AE565">
        <v>1</v>
      </c>
    </row>
    <row r="566" spans="1:31" x14ac:dyDescent="0.3">
      <c r="A566" t="s">
        <v>1208</v>
      </c>
      <c r="B566">
        <v>39</v>
      </c>
      <c r="C566" t="str" cm="1">
        <f t="array" ref="C566">_xlfn.IFS(B566&lt;=18,"0-18",B566&lt;=29,"19-29",B566&gt;=49,"30-49",B566&gt;=69,"50-69",TRUE,"70+")</f>
        <v>70+</v>
      </c>
      <c r="D566" t="s">
        <v>43</v>
      </c>
      <c r="E566" t="s">
        <v>30</v>
      </c>
      <c r="F566" t="s">
        <v>69</v>
      </c>
      <c r="G566" t="s">
        <v>45</v>
      </c>
      <c r="H566" t="s">
        <v>44</v>
      </c>
      <c r="I566" t="s">
        <v>1209</v>
      </c>
      <c r="J566" t="s">
        <v>34</v>
      </c>
      <c r="K566" s="2">
        <v>163.22</v>
      </c>
      <c r="L566">
        <v>8</v>
      </c>
      <c r="M566" t="s">
        <v>78</v>
      </c>
      <c r="N566">
        <v>5</v>
      </c>
      <c r="O566">
        <v>3</v>
      </c>
      <c r="P566">
        <v>0</v>
      </c>
      <c r="Q566" t="s">
        <v>44</v>
      </c>
      <c r="R566" t="s">
        <v>37</v>
      </c>
      <c r="S566">
        <v>1</v>
      </c>
      <c r="T566">
        <v>3</v>
      </c>
      <c r="U566" t="s">
        <v>36</v>
      </c>
      <c r="V566" t="s">
        <v>60</v>
      </c>
      <c r="W566" t="s">
        <v>51</v>
      </c>
      <c r="X566" s="3">
        <v>45858</v>
      </c>
      <c r="Y566" s="1" t="str">
        <f t="shared" si="16"/>
        <v>Jul</v>
      </c>
      <c r="Z566" s="1" t="str">
        <f t="shared" si="17"/>
        <v>2025</v>
      </c>
      <c r="AA566" t="b">
        <v>0</v>
      </c>
      <c r="AB566" t="b">
        <v>1</v>
      </c>
      <c r="AC566" t="s">
        <v>52</v>
      </c>
      <c r="AD566" t="s">
        <v>41</v>
      </c>
      <c r="AE566">
        <v>8</v>
      </c>
    </row>
    <row r="567" spans="1:31" x14ac:dyDescent="0.3">
      <c r="A567" t="s">
        <v>1210</v>
      </c>
      <c r="B567">
        <v>45</v>
      </c>
      <c r="C567" t="str" cm="1">
        <f t="array" ref="C567">_xlfn.IFS(B567&lt;=18,"0-18",B567&lt;=29,"19-29",B567&gt;=49,"30-49",B567&gt;=69,"50-69",TRUE,"70+")</f>
        <v>70+</v>
      </c>
      <c r="D567" t="s">
        <v>43</v>
      </c>
      <c r="E567" t="s">
        <v>44</v>
      </c>
      <c r="F567" t="s">
        <v>31</v>
      </c>
      <c r="G567" t="s">
        <v>45</v>
      </c>
      <c r="H567" t="s">
        <v>44</v>
      </c>
      <c r="I567" t="s">
        <v>1211</v>
      </c>
      <c r="J567" t="s">
        <v>101</v>
      </c>
      <c r="K567" s="2">
        <v>364.98</v>
      </c>
      <c r="L567">
        <v>7</v>
      </c>
      <c r="M567" t="s">
        <v>48</v>
      </c>
      <c r="N567">
        <v>4</v>
      </c>
      <c r="O567">
        <v>1</v>
      </c>
      <c r="P567">
        <v>0</v>
      </c>
      <c r="Q567" t="s">
        <v>59</v>
      </c>
      <c r="R567" t="s">
        <v>85</v>
      </c>
      <c r="S567">
        <v>0</v>
      </c>
      <c r="T567">
        <v>1</v>
      </c>
      <c r="U567" t="s">
        <v>36</v>
      </c>
      <c r="V567" t="s">
        <v>79</v>
      </c>
      <c r="W567" t="s">
        <v>86</v>
      </c>
      <c r="X567" s="3">
        <v>45859</v>
      </c>
      <c r="Y567" s="1" t="str">
        <f t="shared" si="16"/>
        <v>Jul</v>
      </c>
      <c r="Z567" s="1" t="str">
        <f t="shared" si="17"/>
        <v>2025</v>
      </c>
      <c r="AA567" t="b">
        <v>1</v>
      </c>
      <c r="AB567" t="b">
        <v>0</v>
      </c>
      <c r="AC567" t="s">
        <v>52</v>
      </c>
      <c r="AD567" t="s">
        <v>53</v>
      </c>
      <c r="AE567">
        <v>8</v>
      </c>
    </row>
    <row r="568" spans="1:31" x14ac:dyDescent="0.3">
      <c r="A568" t="s">
        <v>1212</v>
      </c>
      <c r="B568">
        <v>31</v>
      </c>
      <c r="C568" t="str" cm="1">
        <f t="array" ref="C568">_xlfn.IFS(B568&lt;=18,"0-18",B568&lt;=29,"19-29",B568&gt;=49,"30-49",B568&gt;=69,"50-69",TRUE,"70+")</f>
        <v>70+</v>
      </c>
      <c r="D568" t="s">
        <v>352</v>
      </c>
      <c r="E568" t="s">
        <v>44</v>
      </c>
      <c r="F568" t="s">
        <v>76</v>
      </c>
      <c r="G568" t="s">
        <v>56</v>
      </c>
      <c r="H568" t="s">
        <v>44</v>
      </c>
      <c r="I568" t="s">
        <v>1213</v>
      </c>
      <c r="J568" t="s">
        <v>158</v>
      </c>
      <c r="K568" s="2">
        <v>142.43</v>
      </c>
      <c r="L568">
        <v>3</v>
      </c>
      <c r="M568" t="s">
        <v>48</v>
      </c>
      <c r="N568">
        <v>2</v>
      </c>
      <c r="O568">
        <v>5</v>
      </c>
      <c r="P568">
        <v>2</v>
      </c>
      <c r="Q568" t="s">
        <v>44</v>
      </c>
      <c r="R568" t="s">
        <v>85</v>
      </c>
      <c r="S568">
        <v>1</v>
      </c>
      <c r="T568">
        <v>9</v>
      </c>
      <c r="U568" t="s">
        <v>36</v>
      </c>
      <c r="V568" t="s">
        <v>79</v>
      </c>
      <c r="W568" t="s">
        <v>51</v>
      </c>
      <c r="X568" s="3">
        <v>45860</v>
      </c>
      <c r="Y568" s="1" t="str">
        <f t="shared" si="16"/>
        <v>Jul</v>
      </c>
      <c r="Z568" s="1" t="str">
        <f t="shared" si="17"/>
        <v>2025</v>
      </c>
      <c r="AA568" t="b">
        <v>1</v>
      </c>
      <c r="AB568" t="b">
        <v>0</v>
      </c>
      <c r="AC568" t="s">
        <v>74</v>
      </c>
      <c r="AD568" t="s">
        <v>67</v>
      </c>
      <c r="AE568">
        <v>8</v>
      </c>
    </row>
    <row r="569" spans="1:31" x14ac:dyDescent="0.3">
      <c r="A569" t="s">
        <v>1214</v>
      </c>
      <c r="B569">
        <v>19</v>
      </c>
      <c r="C569" t="str" cm="1">
        <f t="array" ref="C569">_xlfn.IFS(B569&lt;=18,"0-18",B569&lt;=29,"19-29",B569&gt;=49,"30-49",B569&gt;=69,"50-69",TRUE,"70+")</f>
        <v>19-29</v>
      </c>
      <c r="D569" t="s">
        <v>29</v>
      </c>
      <c r="E569" t="s">
        <v>30</v>
      </c>
      <c r="F569" t="s">
        <v>31</v>
      </c>
      <c r="G569" t="s">
        <v>32</v>
      </c>
      <c r="H569" t="s">
        <v>44</v>
      </c>
      <c r="I569" t="s">
        <v>1215</v>
      </c>
      <c r="J569" t="s">
        <v>117</v>
      </c>
      <c r="K569" s="2">
        <v>449.72</v>
      </c>
      <c r="L569">
        <v>3</v>
      </c>
      <c r="M569" t="s">
        <v>35</v>
      </c>
      <c r="N569">
        <v>3</v>
      </c>
      <c r="O569">
        <v>3</v>
      </c>
      <c r="P569">
        <v>0</v>
      </c>
      <c r="Q569" t="s">
        <v>44</v>
      </c>
      <c r="R569" t="s">
        <v>37</v>
      </c>
      <c r="S569">
        <v>1</v>
      </c>
      <c r="T569">
        <v>9</v>
      </c>
      <c r="U569" t="s">
        <v>36</v>
      </c>
      <c r="V569" t="s">
        <v>60</v>
      </c>
      <c r="W569" t="s">
        <v>66</v>
      </c>
      <c r="X569" s="3">
        <v>45861</v>
      </c>
      <c r="Y569" s="1" t="str">
        <f t="shared" si="16"/>
        <v>Jul</v>
      </c>
      <c r="Z569" s="1" t="str">
        <f t="shared" si="17"/>
        <v>2025</v>
      </c>
      <c r="AA569" t="b">
        <v>1</v>
      </c>
      <c r="AB569" t="b">
        <v>1</v>
      </c>
      <c r="AC569" t="s">
        <v>52</v>
      </c>
      <c r="AD569" t="s">
        <v>67</v>
      </c>
      <c r="AE569">
        <v>3</v>
      </c>
    </row>
    <row r="570" spans="1:31" x14ac:dyDescent="0.3">
      <c r="A570" t="s">
        <v>1216</v>
      </c>
      <c r="B570">
        <v>27</v>
      </c>
      <c r="C570" t="str" cm="1">
        <f t="array" ref="C570">_xlfn.IFS(B570&lt;=18,"0-18",B570&lt;=29,"19-29",B570&gt;=49,"30-49",B570&gt;=69,"50-69",TRUE,"70+")</f>
        <v>19-29</v>
      </c>
      <c r="D570" t="s">
        <v>43</v>
      </c>
      <c r="E570" t="s">
        <v>30</v>
      </c>
      <c r="F570" t="s">
        <v>55</v>
      </c>
      <c r="G570" t="s">
        <v>32</v>
      </c>
      <c r="H570" t="s">
        <v>44</v>
      </c>
      <c r="I570" t="s">
        <v>1217</v>
      </c>
      <c r="J570" t="s">
        <v>34</v>
      </c>
      <c r="K570" s="2">
        <v>241.56</v>
      </c>
      <c r="L570">
        <v>12</v>
      </c>
      <c r="M570" t="s">
        <v>35</v>
      </c>
      <c r="N570">
        <v>3</v>
      </c>
      <c r="O570">
        <v>2</v>
      </c>
      <c r="P570">
        <v>0</v>
      </c>
      <c r="Q570" t="s">
        <v>44</v>
      </c>
      <c r="R570" t="s">
        <v>50</v>
      </c>
      <c r="S570">
        <v>0</v>
      </c>
      <c r="T570">
        <v>5</v>
      </c>
      <c r="U570" t="s">
        <v>44</v>
      </c>
      <c r="V570" t="s">
        <v>38</v>
      </c>
      <c r="W570" t="s">
        <v>51</v>
      </c>
      <c r="X570" s="3">
        <v>45862</v>
      </c>
      <c r="Y570" s="1" t="str">
        <f t="shared" si="16"/>
        <v>Jul</v>
      </c>
      <c r="Z570" s="1" t="str">
        <f t="shared" si="17"/>
        <v>2025</v>
      </c>
      <c r="AA570" t="b">
        <v>1</v>
      </c>
      <c r="AB570" t="b">
        <v>0</v>
      </c>
      <c r="AC570" t="s">
        <v>40</v>
      </c>
      <c r="AD570" t="s">
        <v>67</v>
      </c>
      <c r="AE570">
        <v>2</v>
      </c>
    </row>
    <row r="571" spans="1:31" x14ac:dyDescent="0.3">
      <c r="A571" t="s">
        <v>1218</v>
      </c>
      <c r="B571">
        <v>32</v>
      </c>
      <c r="C571" t="str" cm="1">
        <f t="array" ref="C571">_xlfn.IFS(B571&lt;=18,"0-18",B571&lt;=29,"19-29",B571&gt;=49,"30-49",B571&gt;=69,"50-69",TRUE,"70+")</f>
        <v>70+</v>
      </c>
      <c r="D571" t="s">
        <v>88</v>
      </c>
      <c r="E571" t="s">
        <v>30</v>
      </c>
      <c r="F571" t="s">
        <v>76</v>
      </c>
      <c r="G571" t="s">
        <v>56</v>
      </c>
      <c r="H571" t="s">
        <v>44</v>
      </c>
      <c r="I571" t="s">
        <v>1219</v>
      </c>
      <c r="J571" t="s">
        <v>183</v>
      </c>
      <c r="K571" s="2">
        <v>249.73</v>
      </c>
      <c r="L571">
        <v>5</v>
      </c>
      <c r="M571" t="s">
        <v>35</v>
      </c>
      <c r="N571">
        <v>1</v>
      </c>
      <c r="O571">
        <v>4</v>
      </c>
      <c r="P571">
        <v>2</v>
      </c>
      <c r="Q571" t="s">
        <v>59</v>
      </c>
      <c r="R571" t="s">
        <v>85</v>
      </c>
      <c r="S571">
        <v>1</v>
      </c>
      <c r="T571">
        <v>4</v>
      </c>
      <c r="U571" t="s">
        <v>59</v>
      </c>
      <c r="V571" t="s">
        <v>79</v>
      </c>
      <c r="W571" t="s">
        <v>86</v>
      </c>
      <c r="X571" s="3">
        <v>45863</v>
      </c>
      <c r="Y571" s="1" t="str">
        <f t="shared" si="16"/>
        <v>Jul</v>
      </c>
      <c r="Z571" s="1" t="str">
        <f t="shared" si="17"/>
        <v>2025</v>
      </c>
      <c r="AA571" t="b">
        <v>1</v>
      </c>
      <c r="AB571" t="b">
        <v>0</v>
      </c>
      <c r="AC571" t="s">
        <v>52</v>
      </c>
      <c r="AD571" t="s">
        <v>41</v>
      </c>
      <c r="AE571">
        <v>1</v>
      </c>
    </row>
    <row r="572" spans="1:31" x14ac:dyDescent="0.3">
      <c r="A572" t="s">
        <v>1220</v>
      </c>
      <c r="B572">
        <v>24</v>
      </c>
      <c r="C572" t="str" cm="1">
        <f t="array" ref="C572">_xlfn.IFS(B572&lt;=18,"0-18",B572&lt;=29,"19-29",B572&gt;=49,"30-49",B572&gt;=69,"50-69",TRUE,"70+")</f>
        <v>19-29</v>
      </c>
      <c r="D572" t="s">
        <v>43</v>
      </c>
      <c r="E572" t="s">
        <v>30</v>
      </c>
      <c r="F572" t="s">
        <v>31</v>
      </c>
      <c r="G572" t="s">
        <v>56</v>
      </c>
      <c r="H572" t="s">
        <v>44</v>
      </c>
      <c r="I572" t="s">
        <v>1221</v>
      </c>
      <c r="J572" t="s">
        <v>65</v>
      </c>
      <c r="K572" s="2">
        <v>437.3</v>
      </c>
      <c r="L572">
        <v>7</v>
      </c>
      <c r="M572" t="s">
        <v>35</v>
      </c>
      <c r="N572">
        <v>2</v>
      </c>
      <c r="O572">
        <v>4</v>
      </c>
      <c r="P572">
        <v>0</v>
      </c>
      <c r="Q572" t="s">
        <v>44</v>
      </c>
      <c r="R572" t="s">
        <v>37</v>
      </c>
      <c r="S572">
        <v>0</v>
      </c>
      <c r="T572">
        <v>7</v>
      </c>
      <c r="U572" t="s">
        <v>36</v>
      </c>
      <c r="V572" t="s">
        <v>38</v>
      </c>
      <c r="W572" t="s">
        <v>86</v>
      </c>
      <c r="X572" s="3">
        <v>45864</v>
      </c>
      <c r="Y572" s="1" t="str">
        <f t="shared" si="16"/>
        <v>Jul</v>
      </c>
      <c r="Z572" s="1" t="str">
        <f t="shared" si="17"/>
        <v>2025</v>
      </c>
      <c r="AA572" t="b">
        <v>1</v>
      </c>
      <c r="AB572" t="b">
        <v>1</v>
      </c>
      <c r="AC572" t="s">
        <v>62</v>
      </c>
      <c r="AD572" t="s">
        <v>41</v>
      </c>
      <c r="AE572">
        <v>1</v>
      </c>
    </row>
    <row r="573" spans="1:31" x14ac:dyDescent="0.3">
      <c r="A573" t="s">
        <v>1222</v>
      </c>
      <c r="B573">
        <v>22</v>
      </c>
      <c r="C573" t="str" cm="1">
        <f t="array" ref="C573">_xlfn.IFS(B573&lt;=18,"0-18",B573&lt;=29,"19-29",B573&gt;=49,"30-49",B573&gt;=69,"50-69",TRUE,"70+")</f>
        <v>19-29</v>
      </c>
      <c r="D573" t="s">
        <v>43</v>
      </c>
      <c r="E573" t="s">
        <v>30</v>
      </c>
      <c r="F573" t="s">
        <v>31</v>
      </c>
      <c r="G573" t="s">
        <v>56</v>
      </c>
      <c r="H573" t="s">
        <v>44</v>
      </c>
      <c r="I573" t="s">
        <v>1223</v>
      </c>
      <c r="J573" t="s">
        <v>158</v>
      </c>
      <c r="K573" s="2">
        <v>277.29000000000002</v>
      </c>
      <c r="L573">
        <v>4</v>
      </c>
      <c r="M573" t="s">
        <v>35</v>
      </c>
      <c r="N573">
        <v>1</v>
      </c>
      <c r="O573">
        <v>4</v>
      </c>
      <c r="P573">
        <v>1</v>
      </c>
      <c r="Q573" t="s">
        <v>36</v>
      </c>
      <c r="R573" t="s">
        <v>37</v>
      </c>
      <c r="S573">
        <v>2</v>
      </c>
      <c r="T573">
        <v>8</v>
      </c>
      <c r="U573" t="s">
        <v>59</v>
      </c>
      <c r="V573" t="s">
        <v>60</v>
      </c>
      <c r="W573" t="s">
        <v>39</v>
      </c>
      <c r="X573" s="3">
        <v>45865</v>
      </c>
      <c r="Y573" s="1" t="str">
        <f t="shared" si="16"/>
        <v>Jul</v>
      </c>
      <c r="Z573" s="1" t="str">
        <f t="shared" si="17"/>
        <v>2025</v>
      </c>
      <c r="AA573" t="b">
        <v>1</v>
      </c>
      <c r="AB573" t="b">
        <v>1</v>
      </c>
      <c r="AC573" t="s">
        <v>52</v>
      </c>
      <c r="AD573" t="s">
        <v>41</v>
      </c>
      <c r="AE573">
        <v>4</v>
      </c>
    </row>
    <row r="574" spans="1:31" x14ac:dyDescent="0.3">
      <c r="A574" t="s">
        <v>1224</v>
      </c>
      <c r="B574">
        <v>46</v>
      </c>
      <c r="C574" t="str" cm="1">
        <f t="array" ref="C574">_xlfn.IFS(B574&lt;=18,"0-18",B574&lt;=29,"19-29",B574&gt;=49,"30-49",B574&gt;=69,"50-69",TRUE,"70+")</f>
        <v>70+</v>
      </c>
      <c r="D574" t="s">
        <v>43</v>
      </c>
      <c r="E574" t="s">
        <v>44</v>
      </c>
      <c r="F574" t="s">
        <v>55</v>
      </c>
      <c r="G574" t="s">
        <v>45</v>
      </c>
      <c r="H574" t="s">
        <v>30</v>
      </c>
      <c r="I574" t="s">
        <v>1225</v>
      </c>
      <c r="J574" t="s">
        <v>117</v>
      </c>
      <c r="K574" s="2">
        <v>445.93</v>
      </c>
      <c r="L574">
        <v>6</v>
      </c>
      <c r="M574" t="s">
        <v>78</v>
      </c>
      <c r="N574">
        <v>5</v>
      </c>
      <c r="O574">
        <v>5</v>
      </c>
      <c r="P574">
        <v>2</v>
      </c>
      <c r="Q574" t="s">
        <v>44</v>
      </c>
      <c r="R574" t="s">
        <v>37</v>
      </c>
      <c r="S574">
        <v>2</v>
      </c>
      <c r="T574">
        <v>4</v>
      </c>
      <c r="U574" t="s">
        <v>44</v>
      </c>
      <c r="V574" t="s">
        <v>60</v>
      </c>
      <c r="W574" t="s">
        <v>61</v>
      </c>
      <c r="X574" s="3">
        <v>45866</v>
      </c>
      <c r="Y574" s="1" t="str">
        <f t="shared" si="16"/>
        <v>Jul</v>
      </c>
      <c r="Z574" s="1" t="str">
        <f t="shared" si="17"/>
        <v>2025</v>
      </c>
      <c r="AA574" t="b">
        <v>0</v>
      </c>
      <c r="AB574" t="b">
        <v>1</v>
      </c>
      <c r="AC574" t="s">
        <v>40</v>
      </c>
      <c r="AD574" t="s">
        <v>41</v>
      </c>
      <c r="AE574">
        <v>13</v>
      </c>
    </row>
    <row r="575" spans="1:31" x14ac:dyDescent="0.3">
      <c r="A575" t="s">
        <v>1226</v>
      </c>
      <c r="B575">
        <v>37</v>
      </c>
      <c r="C575" t="str" cm="1">
        <f t="array" ref="C575">_xlfn.IFS(B575&lt;=18,"0-18",B575&lt;=29,"19-29",B575&gt;=49,"30-49",B575&gt;=69,"50-69",TRUE,"70+")</f>
        <v>70+</v>
      </c>
      <c r="D575" t="s">
        <v>29</v>
      </c>
      <c r="E575" t="s">
        <v>30</v>
      </c>
      <c r="F575" t="s">
        <v>31</v>
      </c>
      <c r="G575" t="s">
        <v>32</v>
      </c>
      <c r="H575" t="s">
        <v>30</v>
      </c>
      <c r="I575" t="s">
        <v>1227</v>
      </c>
      <c r="J575" t="s">
        <v>120</v>
      </c>
      <c r="K575" s="2">
        <v>242.79</v>
      </c>
      <c r="L575">
        <v>6</v>
      </c>
      <c r="M575" t="s">
        <v>35</v>
      </c>
      <c r="N575">
        <v>2</v>
      </c>
      <c r="O575">
        <v>4</v>
      </c>
      <c r="P575">
        <v>0</v>
      </c>
      <c r="Q575" t="s">
        <v>44</v>
      </c>
      <c r="R575" t="s">
        <v>37</v>
      </c>
      <c r="S575">
        <v>1</v>
      </c>
      <c r="T575">
        <v>7</v>
      </c>
      <c r="U575" t="s">
        <v>36</v>
      </c>
      <c r="V575" t="s">
        <v>60</v>
      </c>
      <c r="W575" t="s">
        <v>66</v>
      </c>
      <c r="X575" s="3">
        <v>45867</v>
      </c>
      <c r="Y575" s="1" t="str">
        <f t="shared" si="16"/>
        <v>Jul</v>
      </c>
      <c r="Z575" s="1" t="str">
        <f t="shared" si="17"/>
        <v>2025</v>
      </c>
      <c r="AA575" t="b">
        <v>1</v>
      </c>
      <c r="AB575" t="b">
        <v>0</v>
      </c>
      <c r="AC575" t="s">
        <v>62</v>
      </c>
      <c r="AD575" t="s">
        <v>67</v>
      </c>
      <c r="AE575">
        <v>7</v>
      </c>
    </row>
    <row r="576" spans="1:31" x14ac:dyDescent="0.3">
      <c r="A576" t="s">
        <v>1228</v>
      </c>
      <c r="B576">
        <v>34</v>
      </c>
      <c r="C576" t="str" cm="1">
        <f t="array" ref="C576">_xlfn.IFS(B576&lt;=18,"0-18",B576&lt;=29,"19-29",B576&gt;=49,"30-49",B576&gt;=69,"50-69",TRUE,"70+")</f>
        <v>70+</v>
      </c>
      <c r="D576" t="s">
        <v>43</v>
      </c>
      <c r="E576" t="s">
        <v>44</v>
      </c>
      <c r="F576" t="s">
        <v>55</v>
      </c>
      <c r="G576" t="s">
        <v>32</v>
      </c>
      <c r="H576" t="s">
        <v>44</v>
      </c>
      <c r="I576" t="s">
        <v>1229</v>
      </c>
      <c r="J576" t="s">
        <v>194</v>
      </c>
      <c r="K576" s="2">
        <v>393.09</v>
      </c>
      <c r="L576">
        <v>8</v>
      </c>
      <c r="M576" t="s">
        <v>78</v>
      </c>
      <c r="N576">
        <v>5</v>
      </c>
      <c r="O576">
        <v>3</v>
      </c>
      <c r="P576">
        <v>2</v>
      </c>
      <c r="Q576" t="s">
        <v>49</v>
      </c>
      <c r="R576" t="s">
        <v>37</v>
      </c>
      <c r="S576">
        <v>0</v>
      </c>
      <c r="T576">
        <v>3</v>
      </c>
      <c r="U576" t="s">
        <v>49</v>
      </c>
      <c r="V576" t="s">
        <v>38</v>
      </c>
      <c r="W576" t="s">
        <v>86</v>
      </c>
      <c r="X576" s="3">
        <v>45868</v>
      </c>
      <c r="Y576" s="1" t="str">
        <f t="shared" si="16"/>
        <v>Jul</v>
      </c>
      <c r="Z576" s="1" t="str">
        <f t="shared" si="17"/>
        <v>2025</v>
      </c>
      <c r="AA576" t="b">
        <v>0</v>
      </c>
      <c r="AB576" t="b">
        <v>1</v>
      </c>
      <c r="AC576" t="s">
        <v>74</v>
      </c>
      <c r="AD576" t="s">
        <v>53</v>
      </c>
      <c r="AE576">
        <v>1</v>
      </c>
    </row>
    <row r="577" spans="1:31" x14ac:dyDescent="0.3">
      <c r="A577" t="s">
        <v>1230</v>
      </c>
      <c r="B577">
        <v>32</v>
      </c>
      <c r="C577" t="str" cm="1">
        <f t="array" ref="C577">_xlfn.IFS(B577&lt;=18,"0-18",B577&lt;=29,"19-29",B577&gt;=49,"30-49",B577&gt;=69,"50-69",TRUE,"70+")</f>
        <v>70+</v>
      </c>
      <c r="D577" t="s">
        <v>43</v>
      </c>
      <c r="E577" t="s">
        <v>30</v>
      </c>
      <c r="F577" t="s">
        <v>55</v>
      </c>
      <c r="G577" t="s">
        <v>56</v>
      </c>
      <c r="H577" t="s">
        <v>44</v>
      </c>
      <c r="I577" t="s">
        <v>1231</v>
      </c>
      <c r="J577" t="s">
        <v>158</v>
      </c>
      <c r="K577" s="2">
        <v>167.61</v>
      </c>
      <c r="L577">
        <v>2</v>
      </c>
      <c r="M577" t="s">
        <v>78</v>
      </c>
      <c r="N577">
        <v>3</v>
      </c>
      <c r="O577">
        <v>5</v>
      </c>
      <c r="P577">
        <v>1</v>
      </c>
      <c r="Q577" t="s">
        <v>36</v>
      </c>
      <c r="R577" t="s">
        <v>50</v>
      </c>
      <c r="S577">
        <v>2</v>
      </c>
      <c r="T577">
        <v>2</v>
      </c>
      <c r="U577" t="s">
        <v>59</v>
      </c>
      <c r="V577" t="s">
        <v>79</v>
      </c>
      <c r="W577" t="s">
        <v>66</v>
      </c>
      <c r="X577" s="3">
        <v>45869</v>
      </c>
      <c r="Y577" s="1" t="str">
        <f t="shared" si="16"/>
        <v>Jul</v>
      </c>
      <c r="Z577" s="1" t="str">
        <f t="shared" si="17"/>
        <v>2025</v>
      </c>
      <c r="AA577" t="b">
        <v>1</v>
      </c>
      <c r="AB577" t="b">
        <v>0</v>
      </c>
      <c r="AC577" t="s">
        <v>40</v>
      </c>
      <c r="AD577" t="s">
        <v>41</v>
      </c>
      <c r="AE577">
        <v>13</v>
      </c>
    </row>
    <row r="578" spans="1:31" x14ac:dyDescent="0.3">
      <c r="A578" t="s">
        <v>1232</v>
      </c>
      <c r="B578">
        <v>44</v>
      </c>
      <c r="C578" t="str" cm="1">
        <f t="array" ref="C578">_xlfn.IFS(B578&lt;=18,"0-18",B578&lt;=29,"19-29",B578&gt;=49,"30-49",B578&gt;=69,"50-69",TRUE,"70+")</f>
        <v>70+</v>
      </c>
      <c r="D578" t="s">
        <v>43</v>
      </c>
      <c r="E578" t="s">
        <v>44</v>
      </c>
      <c r="F578" t="s">
        <v>76</v>
      </c>
      <c r="G578" t="s">
        <v>45</v>
      </c>
      <c r="H578" t="s">
        <v>30</v>
      </c>
      <c r="I578" t="s">
        <v>1233</v>
      </c>
      <c r="J578" t="s">
        <v>34</v>
      </c>
      <c r="K578" s="2">
        <v>324.22000000000003</v>
      </c>
      <c r="L578">
        <v>2</v>
      </c>
      <c r="M578" t="s">
        <v>48</v>
      </c>
      <c r="N578">
        <v>4</v>
      </c>
      <c r="O578">
        <v>2</v>
      </c>
      <c r="P578">
        <v>0</v>
      </c>
      <c r="Q578" t="s">
        <v>36</v>
      </c>
      <c r="R578" t="s">
        <v>37</v>
      </c>
      <c r="S578">
        <v>1</v>
      </c>
      <c r="T578">
        <v>6</v>
      </c>
      <c r="U578" t="s">
        <v>49</v>
      </c>
      <c r="V578" t="s">
        <v>79</v>
      </c>
      <c r="W578" t="s">
        <v>51</v>
      </c>
      <c r="X578" s="3">
        <v>45870</v>
      </c>
      <c r="Y578" s="1" t="str">
        <f t="shared" si="16"/>
        <v>Aug</v>
      </c>
      <c r="Z578" s="1" t="str">
        <f t="shared" si="17"/>
        <v>2025</v>
      </c>
      <c r="AA578" t="b">
        <v>0</v>
      </c>
      <c r="AB578" t="b">
        <v>0</v>
      </c>
      <c r="AC578" t="s">
        <v>52</v>
      </c>
      <c r="AD578" t="s">
        <v>67</v>
      </c>
      <c r="AE578">
        <v>14</v>
      </c>
    </row>
    <row r="579" spans="1:31" x14ac:dyDescent="0.3">
      <c r="A579" t="s">
        <v>1234</v>
      </c>
      <c r="B579">
        <v>24</v>
      </c>
      <c r="C579" t="str" cm="1">
        <f t="array" ref="C579">_xlfn.IFS(B579&lt;=18,"0-18",B579&lt;=29,"19-29",B579&gt;=49,"30-49",B579&gt;=69,"50-69",TRUE,"70+")</f>
        <v>19-29</v>
      </c>
      <c r="D579" t="s">
        <v>29</v>
      </c>
      <c r="E579" t="s">
        <v>30</v>
      </c>
      <c r="F579" t="s">
        <v>76</v>
      </c>
      <c r="G579" t="s">
        <v>32</v>
      </c>
      <c r="H579" t="s">
        <v>30</v>
      </c>
      <c r="I579" t="s">
        <v>1235</v>
      </c>
      <c r="J579" t="s">
        <v>93</v>
      </c>
      <c r="K579" s="2">
        <v>159.30000000000001</v>
      </c>
      <c r="L579">
        <v>11</v>
      </c>
      <c r="M579" t="s">
        <v>35</v>
      </c>
      <c r="N579">
        <v>5</v>
      </c>
      <c r="O579">
        <v>4</v>
      </c>
      <c r="P579">
        <v>0</v>
      </c>
      <c r="Q579" t="s">
        <v>49</v>
      </c>
      <c r="R579" t="s">
        <v>37</v>
      </c>
      <c r="S579">
        <v>0</v>
      </c>
      <c r="T579">
        <v>6</v>
      </c>
      <c r="U579" t="s">
        <v>44</v>
      </c>
      <c r="V579" t="s">
        <v>38</v>
      </c>
      <c r="W579" t="s">
        <v>51</v>
      </c>
      <c r="X579" s="3">
        <v>45871</v>
      </c>
      <c r="Y579" s="1" t="str">
        <f t="shared" ref="Y579:Y642" si="18">TEXT(X579,"mmm")</f>
        <v>Aug</v>
      </c>
      <c r="Z579" s="1" t="str">
        <f t="shared" ref="Z579:Z642" si="19">TEXT(X579,"yyyy")</f>
        <v>2025</v>
      </c>
      <c r="AA579" t="b">
        <v>0</v>
      </c>
      <c r="AB579" t="b">
        <v>1</v>
      </c>
      <c r="AC579" t="s">
        <v>62</v>
      </c>
      <c r="AD579" t="s">
        <v>67</v>
      </c>
      <c r="AE579">
        <v>2</v>
      </c>
    </row>
    <row r="580" spans="1:31" x14ac:dyDescent="0.3">
      <c r="A580" t="s">
        <v>1236</v>
      </c>
      <c r="B580">
        <v>22</v>
      </c>
      <c r="C580" t="str" cm="1">
        <f t="array" ref="C580">_xlfn.IFS(B580&lt;=18,"0-18",B580&lt;=29,"19-29",B580&gt;=49,"30-49",B580&gt;=69,"50-69",TRUE,"70+")</f>
        <v>19-29</v>
      </c>
      <c r="D580" t="s">
        <v>352</v>
      </c>
      <c r="E580" t="s">
        <v>30</v>
      </c>
      <c r="F580" t="s">
        <v>69</v>
      </c>
      <c r="G580" t="s">
        <v>56</v>
      </c>
      <c r="H580" t="s">
        <v>30</v>
      </c>
      <c r="I580" t="s">
        <v>1237</v>
      </c>
      <c r="J580" t="s">
        <v>98</v>
      </c>
      <c r="K580" s="2">
        <v>324.39</v>
      </c>
      <c r="L580">
        <v>5</v>
      </c>
      <c r="M580" t="s">
        <v>78</v>
      </c>
      <c r="N580">
        <v>2</v>
      </c>
      <c r="O580">
        <v>2</v>
      </c>
      <c r="P580">
        <v>0</v>
      </c>
      <c r="Q580" t="s">
        <v>44</v>
      </c>
      <c r="R580" t="s">
        <v>85</v>
      </c>
      <c r="S580">
        <v>1</v>
      </c>
      <c r="T580">
        <v>6</v>
      </c>
      <c r="U580" t="s">
        <v>49</v>
      </c>
      <c r="V580" t="s">
        <v>79</v>
      </c>
      <c r="W580" t="s">
        <v>51</v>
      </c>
      <c r="X580" s="3">
        <v>45872</v>
      </c>
      <c r="Y580" s="1" t="str">
        <f t="shared" si="18"/>
        <v>Aug</v>
      </c>
      <c r="Z580" s="1" t="str">
        <f t="shared" si="19"/>
        <v>2025</v>
      </c>
      <c r="AA580" t="b">
        <v>1</v>
      </c>
      <c r="AB580" t="b">
        <v>0</v>
      </c>
      <c r="AC580" t="s">
        <v>40</v>
      </c>
      <c r="AD580" t="s">
        <v>67</v>
      </c>
      <c r="AE580">
        <v>1</v>
      </c>
    </row>
    <row r="581" spans="1:31" x14ac:dyDescent="0.3">
      <c r="A581" t="s">
        <v>1238</v>
      </c>
      <c r="B581">
        <v>37</v>
      </c>
      <c r="C581" t="str" cm="1">
        <f t="array" ref="C581">_xlfn.IFS(B581&lt;=18,"0-18",B581&lt;=29,"19-29",B581&gt;=49,"30-49",B581&gt;=69,"50-69",TRUE,"70+")</f>
        <v>70+</v>
      </c>
      <c r="D581" t="s">
        <v>274</v>
      </c>
      <c r="E581" t="s">
        <v>44</v>
      </c>
      <c r="F581" t="s">
        <v>55</v>
      </c>
      <c r="G581" t="s">
        <v>45</v>
      </c>
      <c r="H581" t="s">
        <v>44</v>
      </c>
      <c r="I581" t="s">
        <v>1239</v>
      </c>
      <c r="J581" t="s">
        <v>183</v>
      </c>
      <c r="K581" s="2">
        <v>198.89</v>
      </c>
      <c r="L581">
        <v>2</v>
      </c>
      <c r="M581" t="s">
        <v>48</v>
      </c>
      <c r="N581">
        <v>2</v>
      </c>
      <c r="O581">
        <v>2</v>
      </c>
      <c r="P581">
        <v>0</v>
      </c>
      <c r="Q581" t="s">
        <v>44</v>
      </c>
      <c r="R581" t="s">
        <v>50</v>
      </c>
      <c r="S581">
        <v>0</v>
      </c>
      <c r="T581">
        <v>4</v>
      </c>
      <c r="U581" t="s">
        <v>59</v>
      </c>
      <c r="V581" t="s">
        <v>38</v>
      </c>
      <c r="W581" t="s">
        <v>39</v>
      </c>
      <c r="X581" s="3">
        <v>45873</v>
      </c>
      <c r="Y581" s="1" t="str">
        <f t="shared" si="18"/>
        <v>Aug</v>
      </c>
      <c r="Z581" s="1" t="str">
        <f t="shared" si="19"/>
        <v>2025</v>
      </c>
      <c r="AA581" t="b">
        <v>0</v>
      </c>
      <c r="AB581" t="b">
        <v>0</v>
      </c>
      <c r="AC581" t="s">
        <v>62</v>
      </c>
      <c r="AD581" t="s">
        <v>53</v>
      </c>
      <c r="AE581">
        <v>1</v>
      </c>
    </row>
    <row r="582" spans="1:31" x14ac:dyDescent="0.3">
      <c r="A582" t="s">
        <v>1240</v>
      </c>
      <c r="B582">
        <v>41</v>
      </c>
      <c r="C582" t="str" cm="1">
        <f t="array" ref="C582">_xlfn.IFS(B582&lt;=18,"0-18",B582&lt;=29,"19-29",B582&gt;=49,"30-49",B582&gt;=69,"50-69",TRUE,"70+")</f>
        <v>70+</v>
      </c>
      <c r="D582" t="s">
        <v>29</v>
      </c>
      <c r="E582" t="s">
        <v>30</v>
      </c>
      <c r="F582" t="s">
        <v>76</v>
      </c>
      <c r="G582" t="s">
        <v>56</v>
      </c>
      <c r="H582" t="s">
        <v>44</v>
      </c>
      <c r="I582" t="s">
        <v>1241</v>
      </c>
      <c r="J582" t="s">
        <v>183</v>
      </c>
      <c r="K582" s="2">
        <v>287.18</v>
      </c>
      <c r="L582">
        <v>7</v>
      </c>
      <c r="M582" t="s">
        <v>48</v>
      </c>
      <c r="N582">
        <v>4</v>
      </c>
      <c r="O582">
        <v>5</v>
      </c>
      <c r="P582">
        <v>0</v>
      </c>
      <c r="Q582" t="s">
        <v>36</v>
      </c>
      <c r="R582" t="s">
        <v>50</v>
      </c>
      <c r="S582">
        <v>0</v>
      </c>
      <c r="T582">
        <v>1</v>
      </c>
      <c r="U582" t="s">
        <v>36</v>
      </c>
      <c r="V582" t="s">
        <v>38</v>
      </c>
      <c r="W582" t="s">
        <v>61</v>
      </c>
      <c r="X582" s="3">
        <v>45874</v>
      </c>
      <c r="Y582" s="1" t="str">
        <f t="shared" si="18"/>
        <v>Aug</v>
      </c>
      <c r="Z582" s="1" t="str">
        <f t="shared" si="19"/>
        <v>2025</v>
      </c>
      <c r="AA582" t="b">
        <v>1</v>
      </c>
      <c r="AB582" t="b">
        <v>0</v>
      </c>
      <c r="AC582" t="s">
        <v>74</v>
      </c>
      <c r="AD582" t="s">
        <v>41</v>
      </c>
      <c r="AE582">
        <v>8</v>
      </c>
    </row>
    <row r="583" spans="1:31" x14ac:dyDescent="0.3">
      <c r="A583" t="s">
        <v>1242</v>
      </c>
      <c r="B583">
        <v>32</v>
      </c>
      <c r="C583" t="str" cm="1">
        <f t="array" ref="C583">_xlfn.IFS(B583&lt;=18,"0-18",B583&lt;=29,"19-29",B583&gt;=49,"30-49",B583&gt;=69,"50-69",TRUE,"70+")</f>
        <v>70+</v>
      </c>
      <c r="D583" t="s">
        <v>43</v>
      </c>
      <c r="E583" t="s">
        <v>44</v>
      </c>
      <c r="F583" t="s">
        <v>76</v>
      </c>
      <c r="G583" t="s">
        <v>45</v>
      </c>
      <c r="H583" t="s">
        <v>30</v>
      </c>
      <c r="I583" t="s">
        <v>1243</v>
      </c>
      <c r="J583" t="s">
        <v>58</v>
      </c>
      <c r="K583" s="2">
        <v>162.24</v>
      </c>
      <c r="L583">
        <v>7</v>
      </c>
      <c r="M583" t="s">
        <v>48</v>
      </c>
      <c r="N583">
        <v>5</v>
      </c>
      <c r="O583">
        <v>3</v>
      </c>
      <c r="P583">
        <v>1</v>
      </c>
      <c r="Q583" t="s">
        <v>36</v>
      </c>
      <c r="R583" t="s">
        <v>85</v>
      </c>
      <c r="S583">
        <v>2</v>
      </c>
      <c r="T583">
        <v>6</v>
      </c>
      <c r="U583" t="s">
        <v>59</v>
      </c>
      <c r="V583" t="s">
        <v>60</v>
      </c>
      <c r="W583" t="s">
        <v>51</v>
      </c>
      <c r="X583" s="3">
        <v>45875</v>
      </c>
      <c r="Y583" s="1" t="str">
        <f t="shared" si="18"/>
        <v>Aug</v>
      </c>
      <c r="Z583" s="1" t="str">
        <f t="shared" si="19"/>
        <v>2025</v>
      </c>
      <c r="AA583" t="b">
        <v>0</v>
      </c>
      <c r="AB583" t="b">
        <v>0</v>
      </c>
      <c r="AC583" t="s">
        <v>52</v>
      </c>
      <c r="AD583" t="s">
        <v>67</v>
      </c>
      <c r="AE583">
        <v>7</v>
      </c>
    </row>
    <row r="584" spans="1:31" x14ac:dyDescent="0.3">
      <c r="A584" t="s">
        <v>1244</v>
      </c>
      <c r="B584">
        <v>37</v>
      </c>
      <c r="C584" t="str" cm="1">
        <f t="array" ref="C584">_xlfn.IFS(B584&lt;=18,"0-18",B584&lt;=29,"19-29",B584&gt;=49,"30-49",B584&gt;=69,"50-69",TRUE,"70+")</f>
        <v>70+</v>
      </c>
      <c r="D584" t="s">
        <v>29</v>
      </c>
      <c r="E584" t="s">
        <v>44</v>
      </c>
      <c r="F584" t="s">
        <v>76</v>
      </c>
      <c r="G584" t="s">
        <v>32</v>
      </c>
      <c r="H584" t="s">
        <v>44</v>
      </c>
      <c r="I584" t="s">
        <v>1245</v>
      </c>
      <c r="J584" t="s">
        <v>135</v>
      </c>
      <c r="K584" s="2">
        <v>92.97</v>
      </c>
      <c r="L584">
        <v>6</v>
      </c>
      <c r="M584" t="s">
        <v>48</v>
      </c>
      <c r="N584">
        <v>5</v>
      </c>
      <c r="O584">
        <v>5</v>
      </c>
      <c r="P584">
        <v>0</v>
      </c>
      <c r="Q584" t="s">
        <v>49</v>
      </c>
      <c r="R584" t="s">
        <v>85</v>
      </c>
      <c r="S584">
        <v>0</v>
      </c>
      <c r="T584">
        <v>7</v>
      </c>
      <c r="U584" t="s">
        <v>59</v>
      </c>
      <c r="V584" t="s">
        <v>79</v>
      </c>
      <c r="W584" t="s">
        <v>66</v>
      </c>
      <c r="X584" s="3">
        <v>45876</v>
      </c>
      <c r="Y584" s="1" t="str">
        <f t="shared" si="18"/>
        <v>Aug</v>
      </c>
      <c r="Z584" s="1" t="str">
        <f t="shared" si="19"/>
        <v>2025</v>
      </c>
      <c r="AA584" t="b">
        <v>0</v>
      </c>
      <c r="AB584" t="b">
        <v>1</v>
      </c>
      <c r="AC584" t="s">
        <v>62</v>
      </c>
      <c r="AD584" t="s">
        <v>53</v>
      </c>
      <c r="AE584">
        <v>7</v>
      </c>
    </row>
    <row r="585" spans="1:31" x14ac:dyDescent="0.3">
      <c r="A585" t="s">
        <v>1246</v>
      </c>
      <c r="B585">
        <v>41</v>
      </c>
      <c r="C585" t="str" cm="1">
        <f t="array" ref="C585">_xlfn.IFS(B585&lt;=18,"0-18",B585&lt;=29,"19-29",B585&gt;=49,"30-49",B585&gt;=69,"50-69",TRUE,"70+")</f>
        <v>70+</v>
      </c>
      <c r="D585" t="s">
        <v>43</v>
      </c>
      <c r="E585" t="s">
        <v>30</v>
      </c>
      <c r="F585" t="s">
        <v>69</v>
      </c>
      <c r="G585" t="s">
        <v>45</v>
      </c>
      <c r="H585" t="s">
        <v>30</v>
      </c>
      <c r="I585" t="s">
        <v>1247</v>
      </c>
      <c r="J585" t="s">
        <v>47</v>
      </c>
      <c r="K585" s="2">
        <v>144.38999999999999</v>
      </c>
      <c r="L585">
        <v>12</v>
      </c>
      <c r="M585" t="s">
        <v>48</v>
      </c>
      <c r="N585">
        <v>5</v>
      </c>
      <c r="O585">
        <v>3</v>
      </c>
      <c r="P585">
        <v>2</v>
      </c>
      <c r="Q585" t="s">
        <v>44</v>
      </c>
      <c r="R585" t="s">
        <v>85</v>
      </c>
      <c r="S585">
        <v>0</v>
      </c>
      <c r="T585">
        <v>4</v>
      </c>
      <c r="U585" t="s">
        <v>59</v>
      </c>
      <c r="V585" t="s">
        <v>79</v>
      </c>
      <c r="W585" t="s">
        <v>86</v>
      </c>
      <c r="X585" s="3">
        <v>45877</v>
      </c>
      <c r="Y585" s="1" t="str">
        <f t="shared" si="18"/>
        <v>Aug</v>
      </c>
      <c r="Z585" s="1" t="str">
        <f t="shared" si="19"/>
        <v>2025</v>
      </c>
      <c r="AA585" t="b">
        <v>1</v>
      </c>
      <c r="AB585" t="b">
        <v>1</v>
      </c>
      <c r="AC585" t="s">
        <v>62</v>
      </c>
      <c r="AD585" t="s">
        <v>53</v>
      </c>
      <c r="AE585">
        <v>12</v>
      </c>
    </row>
    <row r="586" spans="1:31" x14ac:dyDescent="0.3">
      <c r="A586" t="s">
        <v>1248</v>
      </c>
      <c r="B586">
        <v>37</v>
      </c>
      <c r="C586" t="str" cm="1">
        <f t="array" ref="C586">_xlfn.IFS(B586&lt;=18,"0-18",B586&lt;=29,"19-29",B586&gt;=49,"30-49",B586&gt;=69,"50-69",TRUE,"70+")</f>
        <v>70+</v>
      </c>
      <c r="D586" t="s">
        <v>29</v>
      </c>
      <c r="E586" t="s">
        <v>44</v>
      </c>
      <c r="F586" t="s">
        <v>55</v>
      </c>
      <c r="G586" t="s">
        <v>45</v>
      </c>
      <c r="H586" t="s">
        <v>44</v>
      </c>
      <c r="I586" t="s">
        <v>1249</v>
      </c>
      <c r="J586" t="s">
        <v>82</v>
      </c>
      <c r="K586" s="2">
        <v>253.37</v>
      </c>
      <c r="L586">
        <v>12</v>
      </c>
      <c r="M586" t="s">
        <v>48</v>
      </c>
      <c r="N586">
        <v>2</v>
      </c>
      <c r="O586">
        <v>5</v>
      </c>
      <c r="P586">
        <v>0</v>
      </c>
      <c r="Q586" t="s">
        <v>36</v>
      </c>
      <c r="R586" t="s">
        <v>85</v>
      </c>
      <c r="S586">
        <v>0</v>
      </c>
      <c r="T586">
        <v>9</v>
      </c>
      <c r="U586" t="s">
        <v>59</v>
      </c>
      <c r="V586" t="s">
        <v>38</v>
      </c>
      <c r="W586" t="s">
        <v>39</v>
      </c>
      <c r="X586" s="3">
        <v>45878</v>
      </c>
      <c r="Y586" s="1" t="str">
        <f t="shared" si="18"/>
        <v>Aug</v>
      </c>
      <c r="Z586" s="1" t="str">
        <f t="shared" si="19"/>
        <v>2025</v>
      </c>
      <c r="AA586" t="b">
        <v>0</v>
      </c>
      <c r="AB586" t="b">
        <v>1</v>
      </c>
      <c r="AC586" t="s">
        <v>74</v>
      </c>
      <c r="AD586" t="s">
        <v>67</v>
      </c>
      <c r="AE586">
        <v>6</v>
      </c>
    </row>
    <row r="587" spans="1:31" x14ac:dyDescent="0.3">
      <c r="A587" t="s">
        <v>1250</v>
      </c>
      <c r="B587">
        <v>43</v>
      </c>
      <c r="C587" t="str" cm="1">
        <f t="array" ref="C587">_xlfn.IFS(B587&lt;=18,"0-18",B587&lt;=29,"19-29",B587&gt;=49,"30-49",B587&gt;=69,"50-69",TRUE,"70+")</f>
        <v>70+</v>
      </c>
      <c r="D587" t="s">
        <v>43</v>
      </c>
      <c r="E587" t="s">
        <v>30</v>
      </c>
      <c r="F587" t="s">
        <v>69</v>
      </c>
      <c r="G587" t="s">
        <v>45</v>
      </c>
      <c r="H587" t="s">
        <v>44</v>
      </c>
      <c r="I587" t="s">
        <v>1251</v>
      </c>
      <c r="J587" t="s">
        <v>101</v>
      </c>
      <c r="K587" s="2">
        <v>209.62</v>
      </c>
      <c r="L587">
        <v>12</v>
      </c>
      <c r="M587" t="s">
        <v>35</v>
      </c>
      <c r="N587">
        <v>1</v>
      </c>
      <c r="O587">
        <v>2</v>
      </c>
      <c r="P587">
        <v>1</v>
      </c>
      <c r="Q587" t="s">
        <v>49</v>
      </c>
      <c r="R587" t="s">
        <v>85</v>
      </c>
      <c r="S587">
        <v>0</v>
      </c>
      <c r="T587">
        <v>7</v>
      </c>
      <c r="U587" t="s">
        <v>49</v>
      </c>
      <c r="V587" t="s">
        <v>38</v>
      </c>
      <c r="W587" t="s">
        <v>66</v>
      </c>
      <c r="X587" s="3">
        <v>45879</v>
      </c>
      <c r="Y587" s="1" t="str">
        <f t="shared" si="18"/>
        <v>Aug</v>
      </c>
      <c r="Z587" s="1" t="str">
        <f t="shared" si="19"/>
        <v>2025</v>
      </c>
      <c r="AA587" t="b">
        <v>1</v>
      </c>
      <c r="AB587" t="b">
        <v>0</v>
      </c>
      <c r="AC587" t="s">
        <v>74</v>
      </c>
      <c r="AD587" t="s">
        <v>53</v>
      </c>
      <c r="AE587">
        <v>9</v>
      </c>
    </row>
    <row r="588" spans="1:31" x14ac:dyDescent="0.3">
      <c r="A588" t="s">
        <v>1252</v>
      </c>
      <c r="B588">
        <v>49</v>
      </c>
      <c r="C588" t="str" cm="1">
        <f t="array" ref="C588">_xlfn.IFS(B588&lt;=18,"0-18",B588&lt;=29,"19-29",B588&gt;=49,"30-49",B588&gt;=69,"50-69",TRUE,"70+")</f>
        <v>30-49</v>
      </c>
      <c r="D588" t="s">
        <v>43</v>
      </c>
      <c r="E588" t="s">
        <v>44</v>
      </c>
      <c r="F588" t="s">
        <v>55</v>
      </c>
      <c r="G588" t="s">
        <v>45</v>
      </c>
      <c r="H588" t="s">
        <v>30</v>
      </c>
      <c r="I588" t="s">
        <v>1253</v>
      </c>
      <c r="J588" t="s">
        <v>123</v>
      </c>
      <c r="K588" s="2">
        <v>411.62</v>
      </c>
      <c r="L588">
        <v>6</v>
      </c>
      <c r="M588" t="s">
        <v>35</v>
      </c>
      <c r="N588">
        <v>2</v>
      </c>
      <c r="O588">
        <v>1</v>
      </c>
      <c r="P588">
        <v>0</v>
      </c>
      <c r="Q588" t="s">
        <v>49</v>
      </c>
      <c r="R588" t="s">
        <v>37</v>
      </c>
      <c r="S588">
        <v>2</v>
      </c>
      <c r="T588">
        <v>7</v>
      </c>
      <c r="U588" t="s">
        <v>49</v>
      </c>
      <c r="V588" t="s">
        <v>38</v>
      </c>
      <c r="W588" t="s">
        <v>51</v>
      </c>
      <c r="X588" s="3">
        <v>45880</v>
      </c>
      <c r="Y588" s="1" t="str">
        <f t="shared" si="18"/>
        <v>Aug</v>
      </c>
      <c r="Z588" s="1" t="str">
        <f t="shared" si="19"/>
        <v>2025</v>
      </c>
      <c r="AA588" t="b">
        <v>1</v>
      </c>
      <c r="AB588" t="b">
        <v>0</v>
      </c>
      <c r="AC588" t="s">
        <v>52</v>
      </c>
      <c r="AD588" t="s">
        <v>67</v>
      </c>
      <c r="AE588">
        <v>12</v>
      </c>
    </row>
    <row r="589" spans="1:31" x14ac:dyDescent="0.3">
      <c r="A589" t="s">
        <v>1254</v>
      </c>
      <c r="B589">
        <v>27</v>
      </c>
      <c r="C589" t="str" cm="1">
        <f t="array" ref="C589">_xlfn.IFS(B589&lt;=18,"0-18",B589&lt;=29,"19-29",B589&gt;=49,"30-49",B589&gt;=69,"50-69",TRUE,"70+")</f>
        <v>19-29</v>
      </c>
      <c r="D589" t="s">
        <v>29</v>
      </c>
      <c r="E589" t="s">
        <v>44</v>
      </c>
      <c r="F589" t="s">
        <v>55</v>
      </c>
      <c r="G589" t="s">
        <v>32</v>
      </c>
      <c r="H589" t="s">
        <v>44</v>
      </c>
      <c r="I589" t="s">
        <v>1255</v>
      </c>
      <c r="J589" t="s">
        <v>47</v>
      </c>
      <c r="K589" s="2">
        <v>388.01</v>
      </c>
      <c r="L589">
        <v>2</v>
      </c>
      <c r="M589" t="s">
        <v>78</v>
      </c>
      <c r="N589">
        <v>1</v>
      </c>
      <c r="O589">
        <v>5</v>
      </c>
      <c r="P589">
        <v>1</v>
      </c>
      <c r="Q589" t="s">
        <v>44</v>
      </c>
      <c r="R589" t="s">
        <v>85</v>
      </c>
      <c r="S589">
        <v>1</v>
      </c>
      <c r="T589">
        <v>2</v>
      </c>
      <c r="U589" t="s">
        <v>36</v>
      </c>
      <c r="V589" t="s">
        <v>38</v>
      </c>
      <c r="W589" t="s">
        <v>51</v>
      </c>
      <c r="X589" s="3">
        <v>45881</v>
      </c>
      <c r="Y589" s="1" t="str">
        <f t="shared" si="18"/>
        <v>Aug</v>
      </c>
      <c r="Z589" s="1" t="str">
        <f t="shared" si="19"/>
        <v>2025</v>
      </c>
      <c r="AA589" t="b">
        <v>0</v>
      </c>
      <c r="AB589" t="b">
        <v>1</v>
      </c>
      <c r="AC589" t="s">
        <v>52</v>
      </c>
      <c r="AD589" t="s">
        <v>53</v>
      </c>
      <c r="AE589">
        <v>10</v>
      </c>
    </row>
    <row r="590" spans="1:31" x14ac:dyDescent="0.3">
      <c r="A590" t="s">
        <v>1256</v>
      </c>
      <c r="B590">
        <v>41</v>
      </c>
      <c r="C590" t="str" cm="1">
        <f t="array" ref="C590">_xlfn.IFS(B590&lt;=18,"0-18",B590&lt;=29,"19-29",B590&gt;=49,"30-49",B590&gt;=69,"50-69",TRUE,"70+")</f>
        <v>70+</v>
      </c>
      <c r="D590" t="s">
        <v>43</v>
      </c>
      <c r="E590" t="s">
        <v>30</v>
      </c>
      <c r="F590" t="s">
        <v>69</v>
      </c>
      <c r="G590" t="s">
        <v>45</v>
      </c>
      <c r="H590" t="s">
        <v>44</v>
      </c>
      <c r="I590" t="s">
        <v>1257</v>
      </c>
      <c r="J590" t="s">
        <v>104</v>
      </c>
      <c r="K590" s="2">
        <v>50.78</v>
      </c>
      <c r="L590">
        <v>6</v>
      </c>
      <c r="M590" t="s">
        <v>78</v>
      </c>
      <c r="N590">
        <v>5</v>
      </c>
      <c r="O590">
        <v>1</v>
      </c>
      <c r="P590">
        <v>1</v>
      </c>
      <c r="Q590" t="s">
        <v>59</v>
      </c>
      <c r="R590" t="s">
        <v>37</v>
      </c>
      <c r="S590">
        <v>1</v>
      </c>
      <c r="T590">
        <v>8</v>
      </c>
      <c r="U590" t="s">
        <v>36</v>
      </c>
      <c r="V590" t="s">
        <v>38</v>
      </c>
      <c r="W590" t="s">
        <v>61</v>
      </c>
      <c r="X590" s="3">
        <v>45882</v>
      </c>
      <c r="Y590" s="1" t="str">
        <f t="shared" si="18"/>
        <v>Aug</v>
      </c>
      <c r="Z590" s="1" t="str">
        <f t="shared" si="19"/>
        <v>2025</v>
      </c>
      <c r="AA590" t="b">
        <v>0</v>
      </c>
      <c r="AB590" t="b">
        <v>1</v>
      </c>
      <c r="AC590" t="s">
        <v>40</v>
      </c>
      <c r="AD590" t="s">
        <v>53</v>
      </c>
      <c r="AE590">
        <v>9</v>
      </c>
    </row>
    <row r="591" spans="1:31" x14ac:dyDescent="0.3">
      <c r="A591" t="s">
        <v>1258</v>
      </c>
      <c r="B591">
        <v>33</v>
      </c>
      <c r="C591" t="str" cm="1">
        <f t="array" ref="C591">_xlfn.IFS(B591&lt;=18,"0-18",B591&lt;=29,"19-29",B591&gt;=49,"30-49",B591&gt;=69,"50-69",TRUE,"70+")</f>
        <v>70+</v>
      </c>
      <c r="D591" t="s">
        <v>43</v>
      </c>
      <c r="E591" t="s">
        <v>44</v>
      </c>
      <c r="F591" t="s">
        <v>76</v>
      </c>
      <c r="G591" t="s">
        <v>32</v>
      </c>
      <c r="H591" t="s">
        <v>30</v>
      </c>
      <c r="I591" t="s">
        <v>1259</v>
      </c>
      <c r="J591" t="s">
        <v>114</v>
      </c>
      <c r="K591" s="2">
        <v>159.82</v>
      </c>
      <c r="L591">
        <v>2</v>
      </c>
      <c r="M591" t="s">
        <v>48</v>
      </c>
      <c r="N591">
        <v>2</v>
      </c>
      <c r="O591">
        <v>1</v>
      </c>
      <c r="P591">
        <v>1</v>
      </c>
      <c r="Q591" t="s">
        <v>44</v>
      </c>
      <c r="R591" t="s">
        <v>85</v>
      </c>
      <c r="S591">
        <v>2</v>
      </c>
      <c r="T591">
        <v>8</v>
      </c>
      <c r="U591" t="s">
        <v>49</v>
      </c>
      <c r="V591" t="s">
        <v>38</v>
      </c>
      <c r="W591" t="s">
        <v>86</v>
      </c>
      <c r="X591" s="3">
        <v>45883</v>
      </c>
      <c r="Y591" s="1" t="str">
        <f t="shared" si="18"/>
        <v>Aug</v>
      </c>
      <c r="Z591" s="1" t="str">
        <f t="shared" si="19"/>
        <v>2025</v>
      </c>
      <c r="AA591" t="b">
        <v>1</v>
      </c>
      <c r="AB591" t="b">
        <v>1</v>
      </c>
      <c r="AC591" t="s">
        <v>74</v>
      </c>
      <c r="AD591" t="s">
        <v>41</v>
      </c>
      <c r="AE591">
        <v>10</v>
      </c>
    </row>
    <row r="592" spans="1:31" x14ac:dyDescent="0.3">
      <c r="A592" t="s">
        <v>1260</v>
      </c>
      <c r="B592">
        <v>46</v>
      </c>
      <c r="C592" t="str" cm="1">
        <f t="array" ref="C592">_xlfn.IFS(B592&lt;=18,"0-18",B592&lt;=29,"19-29",B592&gt;=49,"30-49",B592&gt;=69,"50-69",TRUE,"70+")</f>
        <v>70+</v>
      </c>
      <c r="D592" t="s">
        <v>43</v>
      </c>
      <c r="E592" t="s">
        <v>30</v>
      </c>
      <c r="F592" t="s">
        <v>76</v>
      </c>
      <c r="G592" t="s">
        <v>56</v>
      </c>
      <c r="H592" t="s">
        <v>30</v>
      </c>
      <c r="I592" t="s">
        <v>1261</v>
      </c>
      <c r="J592" t="s">
        <v>194</v>
      </c>
      <c r="K592" s="2">
        <v>79.430000000000007</v>
      </c>
      <c r="L592">
        <v>3</v>
      </c>
      <c r="M592" t="s">
        <v>48</v>
      </c>
      <c r="N592">
        <v>1</v>
      </c>
      <c r="O592">
        <v>5</v>
      </c>
      <c r="P592">
        <v>0</v>
      </c>
      <c r="Q592" t="s">
        <v>49</v>
      </c>
      <c r="R592" t="s">
        <v>37</v>
      </c>
      <c r="S592">
        <v>2</v>
      </c>
      <c r="T592">
        <v>7</v>
      </c>
      <c r="U592" t="s">
        <v>36</v>
      </c>
      <c r="V592" t="s">
        <v>60</v>
      </c>
      <c r="W592" t="s">
        <v>51</v>
      </c>
      <c r="X592" s="3">
        <v>45884</v>
      </c>
      <c r="Y592" s="1" t="str">
        <f t="shared" si="18"/>
        <v>Aug</v>
      </c>
      <c r="Z592" s="1" t="str">
        <f t="shared" si="19"/>
        <v>2025</v>
      </c>
      <c r="AA592" t="b">
        <v>0</v>
      </c>
      <c r="AB592" t="b">
        <v>0</v>
      </c>
      <c r="AC592" t="s">
        <v>52</v>
      </c>
      <c r="AD592" t="s">
        <v>41</v>
      </c>
      <c r="AE592">
        <v>6</v>
      </c>
    </row>
    <row r="593" spans="1:31" x14ac:dyDescent="0.3">
      <c r="A593" t="s">
        <v>1262</v>
      </c>
      <c r="B593">
        <v>42</v>
      </c>
      <c r="C593" t="str" cm="1">
        <f t="array" ref="C593">_xlfn.IFS(B593&lt;=18,"0-18",B593&lt;=29,"19-29",B593&gt;=49,"30-49",B593&gt;=69,"50-69",TRUE,"70+")</f>
        <v>70+</v>
      </c>
      <c r="D593" t="s">
        <v>29</v>
      </c>
      <c r="E593" t="s">
        <v>30</v>
      </c>
      <c r="F593" t="s">
        <v>31</v>
      </c>
      <c r="G593" t="s">
        <v>32</v>
      </c>
      <c r="H593" t="s">
        <v>30</v>
      </c>
      <c r="I593" t="s">
        <v>1263</v>
      </c>
      <c r="J593" t="s">
        <v>194</v>
      </c>
      <c r="K593" s="2">
        <v>131.36000000000001</v>
      </c>
      <c r="L593">
        <v>4</v>
      </c>
      <c r="M593" t="s">
        <v>48</v>
      </c>
      <c r="N593">
        <v>4</v>
      </c>
      <c r="O593">
        <v>4</v>
      </c>
      <c r="P593">
        <v>2</v>
      </c>
      <c r="Q593" t="s">
        <v>36</v>
      </c>
      <c r="R593" t="s">
        <v>37</v>
      </c>
      <c r="S593">
        <v>1</v>
      </c>
      <c r="T593">
        <v>6</v>
      </c>
      <c r="U593" t="s">
        <v>44</v>
      </c>
      <c r="V593" t="s">
        <v>60</v>
      </c>
      <c r="W593" t="s">
        <v>61</v>
      </c>
      <c r="X593" s="3">
        <v>45885</v>
      </c>
      <c r="Y593" s="1" t="str">
        <f t="shared" si="18"/>
        <v>Aug</v>
      </c>
      <c r="Z593" s="1" t="str">
        <f t="shared" si="19"/>
        <v>2025</v>
      </c>
      <c r="AA593" t="b">
        <v>0</v>
      </c>
      <c r="AB593" t="b">
        <v>0</v>
      </c>
      <c r="AC593" t="s">
        <v>52</v>
      </c>
      <c r="AD593" t="s">
        <v>67</v>
      </c>
      <c r="AE593">
        <v>3</v>
      </c>
    </row>
    <row r="594" spans="1:31" x14ac:dyDescent="0.3">
      <c r="A594" t="s">
        <v>1264</v>
      </c>
      <c r="B594">
        <v>27</v>
      </c>
      <c r="C594" t="str" cm="1">
        <f t="array" ref="C594">_xlfn.IFS(B594&lt;=18,"0-18",B594&lt;=29,"19-29",B594&gt;=49,"30-49",B594&gt;=69,"50-69",TRUE,"70+")</f>
        <v>19-29</v>
      </c>
      <c r="D594" t="s">
        <v>43</v>
      </c>
      <c r="E594" t="s">
        <v>30</v>
      </c>
      <c r="F594" t="s">
        <v>69</v>
      </c>
      <c r="G594" t="s">
        <v>45</v>
      </c>
      <c r="H594" t="s">
        <v>30</v>
      </c>
      <c r="I594" t="s">
        <v>1265</v>
      </c>
      <c r="J594" t="s">
        <v>188</v>
      </c>
      <c r="K594" s="2">
        <v>299.75</v>
      </c>
      <c r="L594">
        <v>12</v>
      </c>
      <c r="M594" t="s">
        <v>35</v>
      </c>
      <c r="N594">
        <v>2</v>
      </c>
      <c r="O594">
        <v>5</v>
      </c>
      <c r="P594">
        <v>0.3</v>
      </c>
      <c r="Q594" t="s">
        <v>59</v>
      </c>
      <c r="R594" t="s">
        <v>85</v>
      </c>
      <c r="S594">
        <v>0</v>
      </c>
      <c r="T594">
        <v>4</v>
      </c>
      <c r="U594" t="s">
        <v>59</v>
      </c>
      <c r="V594" t="s">
        <v>79</v>
      </c>
      <c r="W594" t="s">
        <v>39</v>
      </c>
      <c r="X594" s="3">
        <v>45886</v>
      </c>
      <c r="Y594" s="1" t="str">
        <f t="shared" si="18"/>
        <v>Aug</v>
      </c>
      <c r="Z594" s="1" t="str">
        <f t="shared" si="19"/>
        <v>2025</v>
      </c>
      <c r="AA594" t="b">
        <v>0</v>
      </c>
      <c r="AB594" t="b">
        <v>1</v>
      </c>
      <c r="AC594" t="s">
        <v>40</v>
      </c>
      <c r="AD594" t="s">
        <v>41</v>
      </c>
      <c r="AE594">
        <v>7</v>
      </c>
    </row>
    <row r="595" spans="1:31" x14ac:dyDescent="0.3">
      <c r="A595" t="s">
        <v>1266</v>
      </c>
      <c r="B595">
        <v>29</v>
      </c>
      <c r="C595" t="str" cm="1">
        <f t="array" ref="C595">_xlfn.IFS(B595&lt;=18,"0-18",B595&lt;=29,"19-29",B595&gt;=49,"30-49",B595&gt;=69,"50-69",TRUE,"70+")</f>
        <v>19-29</v>
      </c>
      <c r="D595" t="s">
        <v>43</v>
      </c>
      <c r="E595" t="s">
        <v>44</v>
      </c>
      <c r="F595" t="s">
        <v>76</v>
      </c>
      <c r="G595" t="s">
        <v>32</v>
      </c>
      <c r="H595" t="s">
        <v>30</v>
      </c>
      <c r="I595" t="s">
        <v>1267</v>
      </c>
      <c r="J595" t="s">
        <v>101</v>
      </c>
      <c r="K595" s="2">
        <v>319.38</v>
      </c>
      <c r="L595">
        <v>9</v>
      </c>
      <c r="M595" t="s">
        <v>48</v>
      </c>
      <c r="N595">
        <v>4</v>
      </c>
      <c r="O595">
        <v>1</v>
      </c>
      <c r="P595">
        <v>0</v>
      </c>
      <c r="Q595" t="s">
        <v>59</v>
      </c>
      <c r="R595" t="s">
        <v>50</v>
      </c>
      <c r="S595">
        <v>1</v>
      </c>
      <c r="T595">
        <v>6</v>
      </c>
      <c r="U595" t="s">
        <v>44</v>
      </c>
      <c r="V595" t="s">
        <v>38</v>
      </c>
      <c r="W595" t="s">
        <v>51</v>
      </c>
      <c r="X595" s="3">
        <v>45887</v>
      </c>
      <c r="Y595" s="1" t="str">
        <f t="shared" si="18"/>
        <v>Aug</v>
      </c>
      <c r="Z595" s="1" t="str">
        <f t="shared" si="19"/>
        <v>2025</v>
      </c>
      <c r="AA595" t="b">
        <v>1</v>
      </c>
      <c r="AB595" t="b">
        <v>1</v>
      </c>
      <c r="AC595" t="s">
        <v>40</v>
      </c>
      <c r="AD595" t="s">
        <v>41</v>
      </c>
      <c r="AE595">
        <v>8</v>
      </c>
    </row>
    <row r="596" spans="1:31" x14ac:dyDescent="0.3">
      <c r="A596" t="s">
        <v>1268</v>
      </c>
      <c r="B596">
        <v>38</v>
      </c>
      <c r="C596" t="str" cm="1">
        <f t="array" ref="C596">_xlfn.IFS(B596&lt;=18,"0-18",B596&lt;=29,"19-29",B596&gt;=49,"30-49",B596&gt;=69,"50-69",TRUE,"70+")</f>
        <v>70+</v>
      </c>
      <c r="D596" t="s">
        <v>43</v>
      </c>
      <c r="E596" t="s">
        <v>44</v>
      </c>
      <c r="F596" t="s">
        <v>55</v>
      </c>
      <c r="G596" t="s">
        <v>56</v>
      </c>
      <c r="H596" t="s">
        <v>30</v>
      </c>
      <c r="I596" t="s">
        <v>1269</v>
      </c>
      <c r="J596" t="s">
        <v>117</v>
      </c>
      <c r="K596" s="2">
        <v>476.48</v>
      </c>
      <c r="L596">
        <v>8</v>
      </c>
      <c r="M596" t="s">
        <v>78</v>
      </c>
      <c r="N596">
        <v>5</v>
      </c>
      <c r="O596">
        <v>2</v>
      </c>
      <c r="P596">
        <v>1</v>
      </c>
      <c r="Q596" t="s">
        <v>36</v>
      </c>
      <c r="R596" t="s">
        <v>37</v>
      </c>
      <c r="S596">
        <v>2</v>
      </c>
      <c r="T596">
        <v>10</v>
      </c>
      <c r="U596" t="s">
        <v>44</v>
      </c>
      <c r="V596" t="s">
        <v>79</v>
      </c>
      <c r="W596" t="s">
        <v>51</v>
      </c>
      <c r="X596" s="3">
        <v>45888</v>
      </c>
      <c r="Y596" s="1" t="str">
        <f t="shared" si="18"/>
        <v>Aug</v>
      </c>
      <c r="Z596" s="1" t="str">
        <f t="shared" si="19"/>
        <v>2025</v>
      </c>
      <c r="AA596" t="b">
        <v>0</v>
      </c>
      <c r="AB596" t="b">
        <v>1</v>
      </c>
      <c r="AC596" t="s">
        <v>62</v>
      </c>
      <c r="AD596" t="s">
        <v>67</v>
      </c>
      <c r="AE596">
        <v>3</v>
      </c>
    </row>
    <row r="597" spans="1:31" x14ac:dyDescent="0.3">
      <c r="A597" t="s">
        <v>1270</v>
      </c>
      <c r="B597">
        <v>21</v>
      </c>
      <c r="C597" t="str" cm="1">
        <f t="array" ref="C597">_xlfn.IFS(B597&lt;=18,"0-18",B597&lt;=29,"19-29",B597&gt;=49,"30-49",B597&gt;=69,"50-69",TRUE,"70+")</f>
        <v>19-29</v>
      </c>
      <c r="D597" t="s">
        <v>43</v>
      </c>
      <c r="E597" t="s">
        <v>30</v>
      </c>
      <c r="F597" t="s">
        <v>69</v>
      </c>
      <c r="G597" t="s">
        <v>32</v>
      </c>
      <c r="H597" t="s">
        <v>30</v>
      </c>
      <c r="I597" t="s">
        <v>1271</v>
      </c>
      <c r="J597" t="s">
        <v>34</v>
      </c>
      <c r="K597" s="2">
        <v>301.01</v>
      </c>
      <c r="L597">
        <v>9</v>
      </c>
      <c r="M597" t="s">
        <v>35</v>
      </c>
      <c r="N597">
        <v>2</v>
      </c>
      <c r="O597">
        <v>1</v>
      </c>
      <c r="P597">
        <v>2</v>
      </c>
      <c r="Q597" t="s">
        <v>44</v>
      </c>
      <c r="R597" t="s">
        <v>50</v>
      </c>
      <c r="S597">
        <v>2</v>
      </c>
      <c r="T597">
        <v>8</v>
      </c>
      <c r="U597" t="s">
        <v>49</v>
      </c>
      <c r="V597" t="s">
        <v>60</v>
      </c>
      <c r="W597" t="s">
        <v>66</v>
      </c>
      <c r="X597" s="3">
        <v>45889</v>
      </c>
      <c r="Y597" s="1" t="str">
        <f t="shared" si="18"/>
        <v>Aug</v>
      </c>
      <c r="Z597" s="1" t="str">
        <f t="shared" si="19"/>
        <v>2025</v>
      </c>
      <c r="AA597" t="b">
        <v>0</v>
      </c>
      <c r="AB597" t="b">
        <v>1</v>
      </c>
      <c r="AC597" t="s">
        <v>40</v>
      </c>
      <c r="AD597" t="s">
        <v>67</v>
      </c>
      <c r="AE597">
        <v>13</v>
      </c>
    </row>
    <row r="598" spans="1:31" x14ac:dyDescent="0.3">
      <c r="A598" t="s">
        <v>1272</v>
      </c>
      <c r="B598">
        <v>18</v>
      </c>
      <c r="C598" t="str" cm="1">
        <f t="array" ref="C598">_xlfn.IFS(B598&lt;=18,"0-18",B598&lt;=29,"19-29",B598&gt;=49,"30-49",B598&gt;=69,"50-69",TRUE,"70+")</f>
        <v>0-18</v>
      </c>
      <c r="D598" t="s">
        <v>43</v>
      </c>
      <c r="E598" t="s">
        <v>30</v>
      </c>
      <c r="F598" t="s">
        <v>55</v>
      </c>
      <c r="G598" t="s">
        <v>32</v>
      </c>
      <c r="H598" t="s">
        <v>30</v>
      </c>
      <c r="I598" t="s">
        <v>1273</v>
      </c>
      <c r="J598" t="s">
        <v>117</v>
      </c>
      <c r="K598" s="2">
        <v>378.71</v>
      </c>
      <c r="L598">
        <v>5</v>
      </c>
      <c r="M598" t="s">
        <v>78</v>
      </c>
      <c r="N598">
        <v>4</v>
      </c>
      <c r="O598">
        <v>1</v>
      </c>
      <c r="P598">
        <v>2</v>
      </c>
      <c r="Q598" t="s">
        <v>49</v>
      </c>
      <c r="R598" t="s">
        <v>37</v>
      </c>
      <c r="S598">
        <v>2</v>
      </c>
      <c r="T598">
        <v>5</v>
      </c>
      <c r="U598" t="s">
        <v>36</v>
      </c>
      <c r="V598" t="s">
        <v>79</v>
      </c>
      <c r="W598" t="s">
        <v>66</v>
      </c>
      <c r="X598" s="3">
        <v>45890</v>
      </c>
      <c r="Y598" s="1" t="str">
        <f t="shared" si="18"/>
        <v>Aug</v>
      </c>
      <c r="Z598" s="1" t="str">
        <f t="shared" si="19"/>
        <v>2025</v>
      </c>
      <c r="AA598" t="b">
        <v>1</v>
      </c>
      <c r="AB598" t="b">
        <v>1</v>
      </c>
      <c r="AC598" t="s">
        <v>74</v>
      </c>
      <c r="AD598" t="s">
        <v>67</v>
      </c>
      <c r="AE598">
        <v>14</v>
      </c>
    </row>
    <row r="599" spans="1:31" x14ac:dyDescent="0.3">
      <c r="A599" t="s">
        <v>1274</v>
      </c>
      <c r="B599">
        <v>44</v>
      </c>
      <c r="C599" t="str" cm="1">
        <f t="array" ref="C599">_xlfn.IFS(B599&lt;=18,"0-18",B599&lt;=29,"19-29",B599&gt;=49,"30-49",B599&gt;=69,"50-69",TRUE,"70+")</f>
        <v>70+</v>
      </c>
      <c r="D599" t="s">
        <v>190</v>
      </c>
      <c r="E599" t="s">
        <v>30</v>
      </c>
      <c r="F599" t="s">
        <v>55</v>
      </c>
      <c r="G599" t="s">
        <v>32</v>
      </c>
      <c r="H599" t="s">
        <v>30</v>
      </c>
      <c r="I599" t="s">
        <v>1275</v>
      </c>
      <c r="J599" t="s">
        <v>93</v>
      </c>
      <c r="K599" s="2">
        <v>314.32</v>
      </c>
      <c r="L599">
        <v>6</v>
      </c>
      <c r="M599" t="s">
        <v>78</v>
      </c>
      <c r="N599">
        <v>1</v>
      </c>
      <c r="O599">
        <v>4</v>
      </c>
      <c r="P599">
        <v>2</v>
      </c>
      <c r="Q599" t="s">
        <v>44</v>
      </c>
      <c r="R599" t="s">
        <v>85</v>
      </c>
      <c r="S599">
        <v>2</v>
      </c>
      <c r="T599">
        <v>5</v>
      </c>
      <c r="U599" t="s">
        <v>59</v>
      </c>
      <c r="V599" t="s">
        <v>60</v>
      </c>
      <c r="W599" t="s">
        <v>39</v>
      </c>
      <c r="X599" s="3">
        <v>45891</v>
      </c>
      <c r="Y599" s="1" t="str">
        <f t="shared" si="18"/>
        <v>Aug</v>
      </c>
      <c r="Z599" s="1" t="str">
        <f t="shared" si="19"/>
        <v>2025</v>
      </c>
      <c r="AA599" t="b">
        <v>1</v>
      </c>
      <c r="AB599" t="b">
        <v>0</v>
      </c>
      <c r="AC599" t="s">
        <v>62</v>
      </c>
      <c r="AD599" t="s">
        <v>53</v>
      </c>
      <c r="AE599">
        <v>7</v>
      </c>
    </row>
    <row r="600" spans="1:31" x14ac:dyDescent="0.3">
      <c r="A600" t="s">
        <v>1276</v>
      </c>
      <c r="B600">
        <v>22</v>
      </c>
      <c r="C600" t="str" cm="1">
        <f t="array" ref="C600">_xlfn.IFS(B600&lt;=18,"0-18",B600&lt;=29,"19-29",B600&gt;=49,"30-49",B600&gt;=69,"50-69",TRUE,"70+")</f>
        <v>19-29</v>
      </c>
      <c r="D600" t="s">
        <v>43</v>
      </c>
      <c r="E600" t="s">
        <v>30</v>
      </c>
      <c r="F600" t="s">
        <v>31</v>
      </c>
      <c r="G600" t="s">
        <v>45</v>
      </c>
      <c r="H600" t="s">
        <v>44</v>
      </c>
      <c r="I600" t="s">
        <v>254</v>
      </c>
      <c r="J600" t="s">
        <v>58</v>
      </c>
      <c r="K600" s="2">
        <v>210.9</v>
      </c>
      <c r="L600">
        <v>12</v>
      </c>
      <c r="M600" t="s">
        <v>48</v>
      </c>
      <c r="N600">
        <v>2</v>
      </c>
      <c r="O600">
        <v>1</v>
      </c>
      <c r="P600">
        <v>2</v>
      </c>
      <c r="Q600" t="s">
        <v>36</v>
      </c>
      <c r="R600" t="s">
        <v>37</v>
      </c>
      <c r="S600">
        <v>1</v>
      </c>
      <c r="T600">
        <v>1</v>
      </c>
      <c r="U600" t="s">
        <v>36</v>
      </c>
      <c r="V600" t="s">
        <v>38</v>
      </c>
      <c r="W600" t="s">
        <v>61</v>
      </c>
      <c r="X600" s="3">
        <v>45892</v>
      </c>
      <c r="Y600" s="1" t="str">
        <f t="shared" si="18"/>
        <v>Aug</v>
      </c>
      <c r="Z600" s="1" t="str">
        <f t="shared" si="19"/>
        <v>2025</v>
      </c>
      <c r="AA600" t="b">
        <v>0</v>
      </c>
      <c r="AB600" t="b">
        <v>0</v>
      </c>
      <c r="AC600" t="s">
        <v>62</v>
      </c>
      <c r="AD600" t="s">
        <v>53</v>
      </c>
      <c r="AE600">
        <v>12</v>
      </c>
    </row>
    <row r="601" spans="1:31" x14ac:dyDescent="0.3">
      <c r="A601" t="s">
        <v>1277</v>
      </c>
      <c r="B601">
        <v>18</v>
      </c>
      <c r="C601" t="str" cm="1">
        <f t="array" ref="C601">_xlfn.IFS(B601&lt;=18,"0-18",B601&lt;=29,"19-29",B601&gt;=49,"30-49",B601&gt;=69,"50-69",TRUE,"70+")</f>
        <v>0-18</v>
      </c>
      <c r="D601" t="s">
        <v>29</v>
      </c>
      <c r="E601" t="s">
        <v>30</v>
      </c>
      <c r="F601" t="s">
        <v>76</v>
      </c>
      <c r="G601" t="s">
        <v>45</v>
      </c>
      <c r="H601" t="s">
        <v>44</v>
      </c>
      <c r="I601" t="s">
        <v>1278</v>
      </c>
      <c r="J601" t="s">
        <v>47</v>
      </c>
      <c r="K601" s="2">
        <v>218.26</v>
      </c>
      <c r="L601">
        <v>4</v>
      </c>
      <c r="M601" t="s">
        <v>35</v>
      </c>
      <c r="N601">
        <v>3</v>
      </c>
      <c r="O601">
        <v>1</v>
      </c>
      <c r="P601">
        <v>2</v>
      </c>
      <c r="Q601" t="s">
        <v>59</v>
      </c>
      <c r="R601" t="s">
        <v>85</v>
      </c>
      <c r="S601">
        <v>0</v>
      </c>
      <c r="T601">
        <v>8</v>
      </c>
      <c r="U601" t="s">
        <v>44</v>
      </c>
      <c r="V601" t="s">
        <v>60</v>
      </c>
      <c r="W601" t="s">
        <v>61</v>
      </c>
      <c r="X601" s="3">
        <v>45893</v>
      </c>
      <c r="Y601" s="1" t="str">
        <f t="shared" si="18"/>
        <v>Aug</v>
      </c>
      <c r="Z601" s="1" t="str">
        <f t="shared" si="19"/>
        <v>2025</v>
      </c>
      <c r="AA601" t="b">
        <v>0</v>
      </c>
      <c r="AB601" t="b">
        <v>0</v>
      </c>
      <c r="AC601" t="s">
        <v>52</v>
      </c>
      <c r="AD601" t="s">
        <v>53</v>
      </c>
      <c r="AE601">
        <v>12</v>
      </c>
    </row>
    <row r="602" spans="1:31" x14ac:dyDescent="0.3">
      <c r="A602" t="s">
        <v>1279</v>
      </c>
      <c r="B602">
        <v>24</v>
      </c>
      <c r="C602" t="str" cm="1">
        <f t="array" ref="C602">_xlfn.IFS(B602&lt;=18,"0-18",B602&lt;=29,"19-29",B602&gt;=49,"30-49",B602&gt;=69,"50-69",TRUE,"70+")</f>
        <v>19-29</v>
      </c>
      <c r="D602" t="s">
        <v>29</v>
      </c>
      <c r="E602" t="s">
        <v>30</v>
      </c>
      <c r="F602" t="s">
        <v>69</v>
      </c>
      <c r="G602" t="s">
        <v>56</v>
      </c>
      <c r="H602" t="s">
        <v>30</v>
      </c>
      <c r="I602" t="s">
        <v>1280</v>
      </c>
      <c r="J602" t="s">
        <v>101</v>
      </c>
      <c r="K602" s="2">
        <v>424.18</v>
      </c>
      <c r="L602">
        <v>5</v>
      </c>
      <c r="M602" t="s">
        <v>35</v>
      </c>
      <c r="N602">
        <v>4</v>
      </c>
      <c r="O602">
        <v>4</v>
      </c>
      <c r="P602">
        <v>1</v>
      </c>
      <c r="Q602" t="s">
        <v>36</v>
      </c>
      <c r="R602" t="s">
        <v>50</v>
      </c>
      <c r="S602">
        <v>2</v>
      </c>
      <c r="T602">
        <v>4</v>
      </c>
      <c r="U602" t="s">
        <v>49</v>
      </c>
      <c r="V602" t="s">
        <v>60</v>
      </c>
      <c r="W602" t="s">
        <v>61</v>
      </c>
      <c r="X602" s="3">
        <v>45894</v>
      </c>
      <c r="Y602" s="1" t="str">
        <f t="shared" si="18"/>
        <v>Aug</v>
      </c>
      <c r="Z602" s="1" t="str">
        <f t="shared" si="19"/>
        <v>2025</v>
      </c>
      <c r="AA602" t="b">
        <v>0</v>
      </c>
      <c r="AB602" t="b">
        <v>1</v>
      </c>
      <c r="AC602" t="s">
        <v>40</v>
      </c>
      <c r="AD602" t="s">
        <v>67</v>
      </c>
      <c r="AE602">
        <v>5</v>
      </c>
    </row>
    <row r="603" spans="1:31" x14ac:dyDescent="0.3">
      <c r="A603" t="s">
        <v>1281</v>
      </c>
      <c r="B603">
        <v>28</v>
      </c>
      <c r="C603" t="str" cm="1">
        <f t="array" ref="C603">_xlfn.IFS(B603&lt;=18,"0-18",B603&lt;=29,"19-29",B603&gt;=49,"30-49",B603&gt;=69,"50-69",TRUE,"70+")</f>
        <v>19-29</v>
      </c>
      <c r="D603" t="s">
        <v>43</v>
      </c>
      <c r="E603" t="s">
        <v>44</v>
      </c>
      <c r="F603" t="s">
        <v>76</v>
      </c>
      <c r="G603" t="s">
        <v>45</v>
      </c>
      <c r="H603" t="s">
        <v>30</v>
      </c>
      <c r="I603" t="s">
        <v>92</v>
      </c>
      <c r="J603" t="s">
        <v>98</v>
      </c>
      <c r="K603" s="2">
        <v>430.75</v>
      </c>
      <c r="L603">
        <v>11</v>
      </c>
      <c r="M603" t="s">
        <v>78</v>
      </c>
      <c r="N603">
        <v>1</v>
      </c>
      <c r="O603">
        <v>3</v>
      </c>
      <c r="P603">
        <v>1</v>
      </c>
      <c r="Q603" t="s">
        <v>59</v>
      </c>
      <c r="R603" t="s">
        <v>37</v>
      </c>
      <c r="S603">
        <v>0</v>
      </c>
      <c r="T603">
        <v>8</v>
      </c>
      <c r="U603" t="s">
        <v>44</v>
      </c>
      <c r="V603" t="s">
        <v>38</v>
      </c>
      <c r="W603" t="s">
        <v>39</v>
      </c>
      <c r="X603" s="3">
        <v>45895</v>
      </c>
      <c r="Y603" s="1" t="str">
        <f t="shared" si="18"/>
        <v>Aug</v>
      </c>
      <c r="Z603" s="1" t="str">
        <f t="shared" si="19"/>
        <v>2025</v>
      </c>
      <c r="AA603" t="b">
        <v>1</v>
      </c>
      <c r="AB603" t="b">
        <v>0</v>
      </c>
      <c r="AC603" t="s">
        <v>74</v>
      </c>
      <c r="AD603" t="s">
        <v>41</v>
      </c>
      <c r="AE603">
        <v>6</v>
      </c>
    </row>
    <row r="604" spans="1:31" x14ac:dyDescent="0.3">
      <c r="A604" t="s">
        <v>1282</v>
      </c>
      <c r="B604">
        <v>24</v>
      </c>
      <c r="C604" t="str" cm="1">
        <f t="array" ref="C604">_xlfn.IFS(B604&lt;=18,"0-18",B604&lt;=29,"19-29",B604&gt;=49,"30-49",B604&gt;=69,"50-69",TRUE,"70+")</f>
        <v>19-29</v>
      </c>
      <c r="D604" t="s">
        <v>43</v>
      </c>
      <c r="E604" t="s">
        <v>44</v>
      </c>
      <c r="F604" t="s">
        <v>55</v>
      </c>
      <c r="G604" t="s">
        <v>32</v>
      </c>
      <c r="H604" t="s">
        <v>30</v>
      </c>
      <c r="I604" t="s">
        <v>1283</v>
      </c>
      <c r="J604" t="s">
        <v>93</v>
      </c>
      <c r="K604" s="2">
        <v>162.94999999999999</v>
      </c>
      <c r="L604">
        <v>11</v>
      </c>
      <c r="M604" t="s">
        <v>48</v>
      </c>
      <c r="N604">
        <v>1</v>
      </c>
      <c r="O604">
        <v>2</v>
      </c>
      <c r="P604">
        <v>2</v>
      </c>
      <c r="Q604" t="s">
        <v>44</v>
      </c>
      <c r="R604" t="s">
        <v>85</v>
      </c>
      <c r="S604">
        <v>1</v>
      </c>
      <c r="T604">
        <v>8</v>
      </c>
      <c r="U604" t="s">
        <v>59</v>
      </c>
      <c r="V604" t="s">
        <v>79</v>
      </c>
      <c r="W604" t="s">
        <v>86</v>
      </c>
      <c r="X604" s="3">
        <v>45896</v>
      </c>
      <c r="Y604" s="1" t="str">
        <f t="shared" si="18"/>
        <v>Aug</v>
      </c>
      <c r="Z604" s="1" t="str">
        <f t="shared" si="19"/>
        <v>2025</v>
      </c>
      <c r="AA604" t="b">
        <v>0</v>
      </c>
      <c r="AB604" t="b">
        <v>1</v>
      </c>
      <c r="AC604" t="s">
        <v>62</v>
      </c>
      <c r="AD604" t="s">
        <v>67</v>
      </c>
      <c r="AE604">
        <v>14</v>
      </c>
    </row>
    <row r="605" spans="1:31" x14ac:dyDescent="0.3">
      <c r="A605" t="s">
        <v>1284</v>
      </c>
      <c r="B605">
        <v>40</v>
      </c>
      <c r="C605" t="str" cm="1">
        <f t="array" ref="C605">_xlfn.IFS(B605&lt;=18,"0-18",B605&lt;=29,"19-29",B605&gt;=49,"30-49",B605&gt;=69,"50-69",TRUE,"70+")</f>
        <v>70+</v>
      </c>
      <c r="D605" t="s">
        <v>29</v>
      </c>
      <c r="E605" t="s">
        <v>30</v>
      </c>
      <c r="F605" t="s">
        <v>31</v>
      </c>
      <c r="G605" t="s">
        <v>56</v>
      </c>
      <c r="H605" t="s">
        <v>44</v>
      </c>
      <c r="I605" t="s">
        <v>1285</v>
      </c>
      <c r="J605" t="s">
        <v>142</v>
      </c>
      <c r="K605" s="2">
        <v>209.68</v>
      </c>
      <c r="L605">
        <v>2</v>
      </c>
      <c r="M605" t="s">
        <v>78</v>
      </c>
      <c r="N605">
        <v>3</v>
      </c>
      <c r="O605">
        <v>1</v>
      </c>
      <c r="P605">
        <v>1</v>
      </c>
      <c r="Q605" t="s">
        <v>36</v>
      </c>
      <c r="R605" t="s">
        <v>50</v>
      </c>
      <c r="S605">
        <v>0</v>
      </c>
      <c r="T605">
        <v>1</v>
      </c>
      <c r="U605" t="s">
        <v>49</v>
      </c>
      <c r="V605" t="s">
        <v>60</v>
      </c>
      <c r="W605" t="s">
        <v>66</v>
      </c>
      <c r="X605" s="3">
        <v>45897</v>
      </c>
      <c r="Y605" s="1" t="str">
        <f t="shared" si="18"/>
        <v>Aug</v>
      </c>
      <c r="Z605" s="1" t="str">
        <f t="shared" si="19"/>
        <v>2025</v>
      </c>
      <c r="AA605" t="b">
        <v>0</v>
      </c>
      <c r="AB605" t="b">
        <v>1</v>
      </c>
      <c r="AC605" t="s">
        <v>62</v>
      </c>
      <c r="AD605" t="s">
        <v>67</v>
      </c>
      <c r="AE605">
        <v>8</v>
      </c>
    </row>
    <row r="606" spans="1:31" x14ac:dyDescent="0.3">
      <c r="A606" t="s">
        <v>1286</v>
      </c>
      <c r="B606">
        <v>50</v>
      </c>
      <c r="C606" t="str" cm="1">
        <f t="array" ref="C606">_xlfn.IFS(B606&lt;=18,"0-18",B606&lt;=29,"19-29",B606&gt;=49,"30-49",B606&gt;=69,"50-69",TRUE,"70+")</f>
        <v>30-49</v>
      </c>
      <c r="D606" t="s">
        <v>43</v>
      </c>
      <c r="E606" t="s">
        <v>44</v>
      </c>
      <c r="F606" t="s">
        <v>69</v>
      </c>
      <c r="G606" t="s">
        <v>32</v>
      </c>
      <c r="H606" t="s">
        <v>30</v>
      </c>
      <c r="I606" t="s">
        <v>1287</v>
      </c>
      <c r="J606" t="s">
        <v>188</v>
      </c>
      <c r="K606" s="2">
        <v>97.97</v>
      </c>
      <c r="L606">
        <v>2</v>
      </c>
      <c r="M606" t="s">
        <v>48</v>
      </c>
      <c r="N606">
        <v>5</v>
      </c>
      <c r="O606">
        <v>5</v>
      </c>
      <c r="P606">
        <v>1</v>
      </c>
      <c r="Q606" t="s">
        <v>59</v>
      </c>
      <c r="R606" t="s">
        <v>37</v>
      </c>
      <c r="S606">
        <v>0</v>
      </c>
      <c r="T606">
        <v>10</v>
      </c>
      <c r="U606" t="s">
        <v>36</v>
      </c>
      <c r="V606" t="s">
        <v>79</v>
      </c>
      <c r="W606" t="s">
        <v>39</v>
      </c>
      <c r="X606" s="3">
        <v>45898</v>
      </c>
      <c r="Y606" s="1" t="str">
        <f t="shared" si="18"/>
        <v>Aug</v>
      </c>
      <c r="Z606" s="1" t="str">
        <f t="shared" si="19"/>
        <v>2025</v>
      </c>
      <c r="AA606" t="b">
        <v>1</v>
      </c>
      <c r="AB606" t="b">
        <v>0</v>
      </c>
      <c r="AC606" t="s">
        <v>74</v>
      </c>
      <c r="AD606" t="s">
        <v>41</v>
      </c>
      <c r="AE606">
        <v>1</v>
      </c>
    </row>
    <row r="607" spans="1:31" x14ac:dyDescent="0.3">
      <c r="A607" t="s">
        <v>1288</v>
      </c>
      <c r="B607">
        <v>49</v>
      </c>
      <c r="C607" t="str" cm="1">
        <f t="array" ref="C607">_xlfn.IFS(B607&lt;=18,"0-18",B607&lt;=29,"19-29",B607&gt;=49,"30-49",B607&gt;=69,"50-69",TRUE,"70+")</f>
        <v>30-49</v>
      </c>
      <c r="D607" t="s">
        <v>43</v>
      </c>
      <c r="E607" t="s">
        <v>30</v>
      </c>
      <c r="F607" t="s">
        <v>69</v>
      </c>
      <c r="G607" t="s">
        <v>56</v>
      </c>
      <c r="H607" t="s">
        <v>44</v>
      </c>
      <c r="I607" t="s">
        <v>1289</v>
      </c>
      <c r="J607" t="s">
        <v>82</v>
      </c>
      <c r="K607" s="2">
        <v>192.51</v>
      </c>
      <c r="L607">
        <v>9</v>
      </c>
      <c r="M607" t="s">
        <v>35</v>
      </c>
      <c r="N607">
        <v>2</v>
      </c>
      <c r="O607">
        <v>5</v>
      </c>
      <c r="P607">
        <v>2</v>
      </c>
      <c r="Q607" t="s">
        <v>49</v>
      </c>
      <c r="R607" t="s">
        <v>85</v>
      </c>
      <c r="S607">
        <v>0</v>
      </c>
      <c r="T607">
        <v>2</v>
      </c>
      <c r="U607" t="s">
        <v>49</v>
      </c>
      <c r="V607" t="s">
        <v>60</v>
      </c>
      <c r="W607" t="s">
        <v>39</v>
      </c>
      <c r="X607" s="3">
        <v>45899</v>
      </c>
      <c r="Y607" s="1" t="str">
        <f t="shared" si="18"/>
        <v>Aug</v>
      </c>
      <c r="Z607" s="1" t="str">
        <f t="shared" si="19"/>
        <v>2025</v>
      </c>
      <c r="AA607" t="b">
        <v>1</v>
      </c>
      <c r="AB607" t="b">
        <v>0</v>
      </c>
      <c r="AC607" t="s">
        <v>40</v>
      </c>
      <c r="AD607" t="s">
        <v>53</v>
      </c>
      <c r="AE607">
        <v>9</v>
      </c>
    </row>
    <row r="608" spans="1:31" x14ac:dyDescent="0.3">
      <c r="A608" t="s">
        <v>1290</v>
      </c>
      <c r="B608">
        <v>35</v>
      </c>
      <c r="C608" t="str" cm="1">
        <f t="array" ref="C608">_xlfn.IFS(B608&lt;=18,"0-18",B608&lt;=29,"19-29",B608&gt;=49,"30-49",B608&gt;=69,"50-69",TRUE,"70+")</f>
        <v>70+</v>
      </c>
      <c r="D608" t="s">
        <v>43</v>
      </c>
      <c r="E608" t="s">
        <v>30</v>
      </c>
      <c r="F608" t="s">
        <v>69</v>
      </c>
      <c r="G608" t="s">
        <v>56</v>
      </c>
      <c r="H608" t="s">
        <v>30</v>
      </c>
      <c r="I608" t="s">
        <v>1267</v>
      </c>
      <c r="J608" t="s">
        <v>117</v>
      </c>
      <c r="K608" s="2">
        <v>151.81</v>
      </c>
      <c r="L608">
        <v>8</v>
      </c>
      <c r="M608" t="s">
        <v>78</v>
      </c>
      <c r="N608">
        <v>3</v>
      </c>
      <c r="O608">
        <v>4</v>
      </c>
      <c r="P608">
        <v>0</v>
      </c>
      <c r="Q608" t="s">
        <v>49</v>
      </c>
      <c r="R608" t="s">
        <v>50</v>
      </c>
      <c r="S608">
        <v>1</v>
      </c>
      <c r="T608">
        <v>10</v>
      </c>
      <c r="U608" t="s">
        <v>36</v>
      </c>
      <c r="V608" t="s">
        <v>38</v>
      </c>
      <c r="W608" t="s">
        <v>61</v>
      </c>
      <c r="X608" s="3">
        <v>45900</v>
      </c>
      <c r="Y608" s="1" t="str">
        <f t="shared" si="18"/>
        <v>Aug</v>
      </c>
      <c r="Z608" s="1" t="str">
        <f t="shared" si="19"/>
        <v>2025</v>
      </c>
      <c r="AA608" t="b">
        <v>0</v>
      </c>
      <c r="AB608" t="b">
        <v>0</v>
      </c>
      <c r="AC608" t="s">
        <v>74</v>
      </c>
      <c r="AD608" t="s">
        <v>41</v>
      </c>
      <c r="AE608">
        <v>1</v>
      </c>
    </row>
    <row r="609" spans="1:31" x14ac:dyDescent="0.3">
      <c r="A609" t="s">
        <v>1291</v>
      </c>
      <c r="B609">
        <v>25</v>
      </c>
      <c r="C609" t="str" cm="1">
        <f t="array" ref="C609">_xlfn.IFS(B609&lt;=18,"0-18",B609&lt;=29,"19-29",B609&gt;=49,"30-49",B609&gt;=69,"50-69",TRUE,"70+")</f>
        <v>19-29</v>
      </c>
      <c r="D609" t="s">
        <v>29</v>
      </c>
      <c r="E609" t="s">
        <v>44</v>
      </c>
      <c r="F609" t="s">
        <v>31</v>
      </c>
      <c r="G609" t="s">
        <v>45</v>
      </c>
      <c r="H609" t="s">
        <v>30</v>
      </c>
      <c r="I609" t="s">
        <v>1292</v>
      </c>
      <c r="J609" t="s">
        <v>71</v>
      </c>
      <c r="K609" s="2">
        <v>239.28</v>
      </c>
      <c r="L609">
        <v>8</v>
      </c>
      <c r="M609" t="s">
        <v>78</v>
      </c>
      <c r="N609">
        <v>1</v>
      </c>
      <c r="O609">
        <v>4</v>
      </c>
      <c r="P609">
        <v>1</v>
      </c>
      <c r="Q609" t="s">
        <v>49</v>
      </c>
      <c r="R609" t="s">
        <v>37</v>
      </c>
      <c r="S609">
        <v>2</v>
      </c>
      <c r="T609">
        <v>5</v>
      </c>
      <c r="U609" t="s">
        <v>49</v>
      </c>
      <c r="V609" t="s">
        <v>38</v>
      </c>
      <c r="W609" t="s">
        <v>66</v>
      </c>
      <c r="X609" s="3">
        <v>45901</v>
      </c>
      <c r="Y609" s="1" t="str">
        <f t="shared" si="18"/>
        <v>Sep</v>
      </c>
      <c r="Z609" s="1" t="str">
        <f t="shared" si="19"/>
        <v>2025</v>
      </c>
      <c r="AA609" t="b">
        <v>0</v>
      </c>
      <c r="AB609" t="b">
        <v>1</v>
      </c>
      <c r="AC609" t="s">
        <v>62</v>
      </c>
      <c r="AD609" t="s">
        <v>41</v>
      </c>
      <c r="AE609">
        <v>10</v>
      </c>
    </row>
    <row r="610" spans="1:31" x14ac:dyDescent="0.3">
      <c r="A610" t="s">
        <v>1293</v>
      </c>
      <c r="B610">
        <v>40</v>
      </c>
      <c r="C610" t="str" cm="1">
        <f t="array" ref="C610">_xlfn.IFS(B610&lt;=18,"0-18",B610&lt;=29,"19-29",B610&gt;=49,"30-49",B610&gt;=69,"50-69",TRUE,"70+")</f>
        <v>70+</v>
      </c>
      <c r="D610" t="s">
        <v>29</v>
      </c>
      <c r="E610" t="s">
        <v>44</v>
      </c>
      <c r="F610" t="s">
        <v>69</v>
      </c>
      <c r="G610" t="s">
        <v>45</v>
      </c>
      <c r="H610" t="s">
        <v>44</v>
      </c>
      <c r="I610" t="s">
        <v>1294</v>
      </c>
      <c r="J610" t="s">
        <v>93</v>
      </c>
      <c r="K610" s="2">
        <v>306.17</v>
      </c>
      <c r="L610">
        <v>4</v>
      </c>
      <c r="M610" t="s">
        <v>48</v>
      </c>
      <c r="N610">
        <v>3</v>
      </c>
      <c r="O610">
        <v>5</v>
      </c>
      <c r="P610">
        <v>1</v>
      </c>
      <c r="Q610" t="s">
        <v>49</v>
      </c>
      <c r="R610" t="s">
        <v>37</v>
      </c>
      <c r="S610">
        <v>0</v>
      </c>
      <c r="T610">
        <v>6</v>
      </c>
      <c r="U610" t="s">
        <v>49</v>
      </c>
      <c r="V610" t="s">
        <v>38</v>
      </c>
      <c r="W610" t="s">
        <v>51</v>
      </c>
      <c r="X610" s="3">
        <v>45902</v>
      </c>
      <c r="Y610" s="1" t="str">
        <f t="shared" si="18"/>
        <v>Sep</v>
      </c>
      <c r="Z610" s="1" t="str">
        <f t="shared" si="19"/>
        <v>2025</v>
      </c>
      <c r="AA610" t="b">
        <v>0</v>
      </c>
      <c r="AB610" t="b">
        <v>1</v>
      </c>
      <c r="AC610" t="s">
        <v>52</v>
      </c>
      <c r="AD610" t="s">
        <v>67</v>
      </c>
      <c r="AE610">
        <v>8</v>
      </c>
    </row>
    <row r="611" spans="1:31" x14ac:dyDescent="0.3">
      <c r="A611" t="s">
        <v>1295</v>
      </c>
      <c r="B611">
        <v>40</v>
      </c>
      <c r="C611" t="str" cm="1">
        <f t="array" ref="C611">_xlfn.IFS(B611&lt;=18,"0-18",B611&lt;=29,"19-29",B611&gt;=49,"30-49",B611&gt;=69,"50-69",TRUE,"70+")</f>
        <v>70+</v>
      </c>
      <c r="D611" t="s">
        <v>29</v>
      </c>
      <c r="E611" t="s">
        <v>44</v>
      </c>
      <c r="F611" t="s">
        <v>69</v>
      </c>
      <c r="G611" t="s">
        <v>56</v>
      </c>
      <c r="H611" t="s">
        <v>44</v>
      </c>
      <c r="I611" t="s">
        <v>1296</v>
      </c>
      <c r="J611" t="s">
        <v>117</v>
      </c>
      <c r="K611" s="2">
        <v>370.38</v>
      </c>
      <c r="L611">
        <v>11</v>
      </c>
      <c r="M611" t="s">
        <v>48</v>
      </c>
      <c r="N611">
        <v>1</v>
      </c>
      <c r="O611">
        <v>2</v>
      </c>
      <c r="P611">
        <v>1</v>
      </c>
      <c r="Q611" t="s">
        <v>36</v>
      </c>
      <c r="R611" t="s">
        <v>50</v>
      </c>
      <c r="S611">
        <v>1</v>
      </c>
      <c r="T611">
        <v>1</v>
      </c>
      <c r="U611" t="s">
        <v>44</v>
      </c>
      <c r="V611" t="s">
        <v>79</v>
      </c>
      <c r="W611" t="s">
        <v>66</v>
      </c>
      <c r="X611" s="3">
        <v>45903</v>
      </c>
      <c r="Y611" s="1" t="str">
        <f t="shared" si="18"/>
        <v>Sep</v>
      </c>
      <c r="Z611" s="1" t="str">
        <f t="shared" si="19"/>
        <v>2025</v>
      </c>
      <c r="AA611" t="b">
        <v>1</v>
      </c>
      <c r="AB611" t="b">
        <v>1</v>
      </c>
      <c r="AC611" t="s">
        <v>52</v>
      </c>
      <c r="AD611" t="s">
        <v>41</v>
      </c>
      <c r="AE611">
        <v>9</v>
      </c>
    </row>
    <row r="612" spans="1:31" x14ac:dyDescent="0.3">
      <c r="A612" t="s">
        <v>1297</v>
      </c>
      <c r="B612">
        <v>50</v>
      </c>
      <c r="C612" t="str" cm="1">
        <f t="array" ref="C612">_xlfn.IFS(B612&lt;=18,"0-18",B612&lt;=29,"19-29",B612&gt;=49,"30-49",B612&gt;=69,"50-69",TRUE,"70+")</f>
        <v>30-49</v>
      </c>
      <c r="D612" t="s">
        <v>43</v>
      </c>
      <c r="E612" t="s">
        <v>30</v>
      </c>
      <c r="F612" t="s">
        <v>55</v>
      </c>
      <c r="G612" t="s">
        <v>32</v>
      </c>
      <c r="H612" t="s">
        <v>30</v>
      </c>
      <c r="I612" t="s">
        <v>1298</v>
      </c>
      <c r="J612" t="s">
        <v>135</v>
      </c>
      <c r="K612" s="2">
        <v>346.58</v>
      </c>
      <c r="L612">
        <v>6</v>
      </c>
      <c r="M612" t="s">
        <v>35</v>
      </c>
      <c r="N612">
        <v>5</v>
      </c>
      <c r="O612">
        <v>1</v>
      </c>
      <c r="P612">
        <v>1</v>
      </c>
      <c r="Q612" t="s">
        <v>44</v>
      </c>
      <c r="R612" t="s">
        <v>37</v>
      </c>
      <c r="S612">
        <v>0</v>
      </c>
      <c r="T612">
        <v>9</v>
      </c>
      <c r="U612" t="s">
        <v>59</v>
      </c>
      <c r="V612" t="s">
        <v>38</v>
      </c>
      <c r="W612" t="s">
        <v>66</v>
      </c>
      <c r="X612" s="3">
        <v>45904</v>
      </c>
      <c r="Y612" s="1" t="str">
        <f t="shared" si="18"/>
        <v>Sep</v>
      </c>
      <c r="Z612" s="1" t="str">
        <f t="shared" si="19"/>
        <v>2025</v>
      </c>
      <c r="AA612" t="b">
        <v>0</v>
      </c>
      <c r="AB612" t="b">
        <v>0</v>
      </c>
      <c r="AC612" t="s">
        <v>62</v>
      </c>
      <c r="AD612" t="s">
        <v>67</v>
      </c>
      <c r="AE612">
        <v>7</v>
      </c>
    </row>
    <row r="613" spans="1:31" x14ac:dyDescent="0.3">
      <c r="A613" t="s">
        <v>1299</v>
      </c>
      <c r="B613">
        <v>24</v>
      </c>
      <c r="C613" t="str" cm="1">
        <f t="array" ref="C613">_xlfn.IFS(B613&lt;=18,"0-18",B613&lt;=29,"19-29",B613&gt;=49,"30-49",B613&gt;=69,"50-69",TRUE,"70+")</f>
        <v>19-29</v>
      </c>
      <c r="D613" t="s">
        <v>43</v>
      </c>
      <c r="E613" t="s">
        <v>30</v>
      </c>
      <c r="F613" t="s">
        <v>55</v>
      </c>
      <c r="G613" t="s">
        <v>45</v>
      </c>
      <c r="H613" t="s">
        <v>30</v>
      </c>
      <c r="I613" t="s">
        <v>1300</v>
      </c>
      <c r="J613" t="s">
        <v>120</v>
      </c>
      <c r="K613" s="2">
        <v>292.64</v>
      </c>
      <c r="L613">
        <v>5</v>
      </c>
      <c r="M613" t="s">
        <v>48</v>
      </c>
      <c r="N613">
        <v>1</v>
      </c>
      <c r="O613">
        <v>1</v>
      </c>
      <c r="P613">
        <v>1</v>
      </c>
      <c r="Q613" t="s">
        <v>36</v>
      </c>
      <c r="R613" t="s">
        <v>37</v>
      </c>
      <c r="S613">
        <v>2</v>
      </c>
      <c r="T613">
        <v>10</v>
      </c>
      <c r="U613" t="s">
        <v>49</v>
      </c>
      <c r="V613" t="s">
        <v>38</v>
      </c>
      <c r="W613" t="s">
        <v>39</v>
      </c>
      <c r="X613" s="3">
        <v>45905</v>
      </c>
      <c r="Y613" s="1" t="str">
        <f t="shared" si="18"/>
        <v>Sep</v>
      </c>
      <c r="Z613" s="1" t="str">
        <f t="shared" si="19"/>
        <v>2025</v>
      </c>
      <c r="AA613" t="b">
        <v>1</v>
      </c>
      <c r="AB613" t="b">
        <v>0</v>
      </c>
      <c r="AC613" t="s">
        <v>52</v>
      </c>
      <c r="AD613" t="s">
        <v>53</v>
      </c>
      <c r="AE613">
        <v>1</v>
      </c>
    </row>
    <row r="614" spans="1:31" x14ac:dyDescent="0.3">
      <c r="A614" t="s">
        <v>1301</v>
      </c>
      <c r="B614">
        <v>30</v>
      </c>
      <c r="C614" t="str" cm="1">
        <f t="array" ref="C614">_xlfn.IFS(B614&lt;=18,"0-18",B614&lt;=29,"19-29",B614&gt;=49,"30-49",B614&gt;=69,"50-69",TRUE,"70+")</f>
        <v>70+</v>
      </c>
      <c r="D614" t="s">
        <v>29</v>
      </c>
      <c r="E614" t="s">
        <v>30</v>
      </c>
      <c r="F614" t="s">
        <v>31</v>
      </c>
      <c r="G614" t="s">
        <v>32</v>
      </c>
      <c r="H614" t="s">
        <v>44</v>
      </c>
      <c r="I614" t="s">
        <v>1302</v>
      </c>
      <c r="J614" t="s">
        <v>194</v>
      </c>
      <c r="K614" s="2">
        <v>102.91</v>
      </c>
      <c r="L614">
        <v>12</v>
      </c>
      <c r="M614" t="s">
        <v>35</v>
      </c>
      <c r="N614">
        <v>2</v>
      </c>
      <c r="O614">
        <v>1</v>
      </c>
      <c r="P614">
        <v>1</v>
      </c>
      <c r="Q614" t="s">
        <v>49</v>
      </c>
      <c r="R614" t="s">
        <v>85</v>
      </c>
      <c r="S614">
        <v>1</v>
      </c>
      <c r="T614">
        <v>10</v>
      </c>
      <c r="U614" t="s">
        <v>36</v>
      </c>
      <c r="V614" t="s">
        <v>79</v>
      </c>
      <c r="W614" t="s">
        <v>51</v>
      </c>
      <c r="X614" s="3">
        <v>45906</v>
      </c>
      <c r="Y614" s="1" t="str">
        <f t="shared" si="18"/>
        <v>Sep</v>
      </c>
      <c r="Z614" s="1" t="str">
        <f t="shared" si="19"/>
        <v>2025</v>
      </c>
      <c r="AA614" t="b">
        <v>1</v>
      </c>
      <c r="AB614" t="b">
        <v>0</v>
      </c>
      <c r="AC614" t="s">
        <v>62</v>
      </c>
      <c r="AD614" t="s">
        <v>67</v>
      </c>
      <c r="AE614">
        <v>13</v>
      </c>
    </row>
    <row r="615" spans="1:31" x14ac:dyDescent="0.3">
      <c r="A615" t="s">
        <v>1303</v>
      </c>
      <c r="B615">
        <v>32</v>
      </c>
      <c r="C615" t="str" cm="1">
        <f t="array" ref="C615">_xlfn.IFS(B615&lt;=18,"0-18",B615&lt;=29,"19-29",B615&gt;=49,"30-49",B615&gt;=69,"50-69",TRUE,"70+")</f>
        <v>70+</v>
      </c>
      <c r="D615" t="s">
        <v>29</v>
      </c>
      <c r="E615" t="s">
        <v>44</v>
      </c>
      <c r="F615" t="s">
        <v>69</v>
      </c>
      <c r="G615" t="s">
        <v>32</v>
      </c>
      <c r="H615" t="s">
        <v>30</v>
      </c>
      <c r="I615" t="s">
        <v>1304</v>
      </c>
      <c r="J615" t="s">
        <v>65</v>
      </c>
      <c r="K615" s="2">
        <v>283.77999999999997</v>
      </c>
      <c r="L615">
        <v>4</v>
      </c>
      <c r="M615" t="s">
        <v>35</v>
      </c>
      <c r="N615">
        <v>2</v>
      </c>
      <c r="O615">
        <v>4</v>
      </c>
      <c r="P615">
        <v>1.2</v>
      </c>
      <c r="Q615" t="s">
        <v>36</v>
      </c>
      <c r="R615" t="s">
        <v>37</v>
      </c>
      <c r="S615">
        <v>0</v>
      </c>
      <c r="T615">
        <v>6</v>
      </c>
      <c r="U615" t="s">
        <v>36</v>
      </c>
      <c r="V615" t="s">
        <v>60</v>
      </c>
      <c r="W615" t="s">
        <v>61</v>
      </c>
      <c r="X615" s="3">
        <v>45907</v>
      </c>
      <c r="Y615" s="1" t="str">
        <f t="shared" si="18"/>
        <v>Sep</v>
      </c>
      <c r="Z615" s="1" t="str">
        <f t="shared" si="19"/>
        <v>2025</v>
      </c>
      <c r="AA615" t="b">
        <v>1</v>
      </c>
      <c r="AB615" t="b">
        <v>0</v>
      </c>
      <c r="AC615" t="s">
        <v>40</v>
      </c>
      <c r="AD615" t="s">
        <v>67</v>
      </c>
      <c r="AE615">
        <v>10</v>
      </c>
    </row>
    <row r="616" spans="1:31" x14ac:dyDescent="0.3">
      <c r="A616" t="s">
        <v>1305</v>
      </c>
      <c r="B616">
        <v>48</v>
      </c>
      <c r="C616" t="str" cm="1">
        <f t="array" ref="C616">_xlfn.IFS(B616&lt;=18,"0-18",B616&lt;=29,"19-29",B616&gt;=49,"30-49",B616&gt;=69,"50-69",TRUE,"70+")</f>
        <v>70+</v>
      </c>
      <c r="D616" t="s">
        <v>29</v>
      </c>
      <c r="E616" t="s">
        <v>44</v>
      </c>
      <c r="F616" t="s">
        <v>69</v>
      </c>
      <c r="G616" t="s">
        <v>45</v>
      </c>
      <c r="H616" t="s">
        <v>30</v>
      </c>
      <c r="I616" t="s">
        <v>1306</v>
      </c>
      <c r="J616" t="s">
        <v>188</v>
      </c>
      <c r="K616" s="2">
        <v>51.44</v>
      </c>
      <c r="L616">
        <v>2</v>
      </c>
      <c r="M616" t="s">
        <v>48</v>
      </c>
      <c r="N616">
        <v>1</v>
      </c>
      <c r="O616">
        <v>3</v>
      </c>
      <c r="P616">
        <v>2</v>
      </c>
      <c r="Q616" t="s">
        <v>44</v>
      </c>
      <c r="R616" t="s">
        <v>50</v>
      </c>
      <c r="S616">
        <v>0</v>
      </c>
      <c r="T616">
        <v>1</v>
      </c>
      <c r="U616" t="s">
        <v>44</v>
      </c>
      <c r="V616" t="s">
        <v>38</v>
      </c>
      <c r="W616" t="s">
        <v>66</v>
      </c>
      <c r="X616" s="3">
        <v>45908</v>
      </c>
      <c r="Y616" s="1" t="str">
        <f t="shared" si="18"/>
        <v>Sep</v>
      </c>
      <c r="Z616" s="1" t="str">
        <f t="shared" si="19"/>
        <v>2025</v>
      </c>
      <c r="AA616" t="b">
        <v>1</v>
      </c>
      <c r="AB616" t="b">
        <v>0</v>
      </c>
      <c r="AC616" t="s">
        <v>74</v>
      </c>
      <c r="AD616" t="s">
        <v>41</v>
      </c>
      <c r="AE616">
        <v>5</v>
      </c>
    </row>
    <row r="617" spans="1:31" x14ac:dyDescent="0.3">
      <c r="A617" t="s">
        <v>1307</v>
      </c>
      <c r="B617">
        <v>44</v>
      </c>
      <c r="C617" t="str" cm="1">
        <f t="array" ref="C617">_xlfn.IFS(B617&lt;=18,"0-18",B617&lt;=29,"19-29",B617&gt;=49,"30-49",B617&gt;=69,"50-69",TRUE,"70+")</f>
        <v>70+</v>
      </c>
      <c r="D617" t="s">
        <v>29</v>
      </c>
      <c r="E617" t="s">
        <v>44</v>
      </c>
      <c r="F617" t="s">
        <v>31</v>
      </c>
      <c r="G617" t="s">
        <v>32</v>
      </c>
      <c r="H617" t="s">
        <v>44</v>
      </c>
      <c r="I617" t="s">
        <v>1308</v>
      </c>
      <c r="J617" t="s">
        <v>98</v>
      </c>
      <c r="K617" s="2">
        <v>405.7</v>
      </c>
      <c r="L617">
        <v>12</v>
      </c>
      <c r="M617" t="s">
        <v>78</v>
      </c>
      <c r="N617">
        <v>1</v>
      </c>
      <c r="O617">
        <v>3</v>
      </c>
      <c r="P617">
        <v>1</v>
      </c>
      <c r="Q617" t="s">
        <v>59</v>
      </c>
      <c r="R617" t="s">
        <v>85</v>
      </c>
      <c r="S617">
        <v>2</v>
      </c>
      <c r="T617">
        <v>10</v>
      </c>
      <c r="U617" t="s">
        <v>59</v>
      </c>
      <c r="V617" t="s">
        <v>38</v>
      </c>
      <c r="W617" t="s">
        <v>39</v>
      </c>
      <c r="X617" s="3">
        <v>45909</v>
      </c>
      <c r="Y617" s="1" t="str">
        <f t="shared" si="18"/>
        <v>Sep</v>
      </c>
      <c r="Z617" s="1" t="str">
        <f t="shared" si="19"/>
        <v>2025</v>
      </c>
      <c r="AA617" t="b">
        <v>1</v>
      </c>
      <c r="AB617" t="b">
        <v>1</v>
      </c>
      <c r="AC617" t="s">
        <v>52</v>
      </c>
      <c r="AD617" t="s">
        <v>53</v>
      </c>
      <c r="AE617">
        <v>14</v>
      </c>
    </row>
    <row r="618" spans="1:31" x14ac:dyDescent="0.3">
      <c r="A618" t="s">
        <v>1309</v>
      </c>
      <c r="B618">
        <v>19</v>
      </c>
      <c r="C618" t="str" cm="1">
        <f t="array" ref="C618">_xlfn.IFS(B618&lt;=18,"0-18",B618&lt;=29,"19-29",B618&gt;=49,"30-49",B618&gt;=69,"50-69",TRUE,"70+")</f>
        <v>19-29</v>
      </c>
      <c r="D618" t="s">
        <v>29</v>
      </c>
      <c r="E618" t="s">
        <v>44</v>
      </c>
      <c r="F618" t="s">
        <v>69</v>
      </c>
      <c r="G618" t="s">
        <v>56</v>
      </c>
      <c r="H618" t="s">
        <v>30</v>
      </c>
      <c r="I618" t="s">
        <v>1310</v>
      </c>
      <c r="J618" t="s">
        <v>158</v>
      </c>
      <c r="K618" s="2">
        <v>311.74</v>
      </c>
      <c r="L618">
        <v>11</v>
      </c>
      <c r="M618" t="s">
        <v>35</v>
      </c>
      <c r="N618">
        <v>1</v>
      </c>
      <c r="O618">
        <v>4</v>
      </c>
      <c r="P618">
        <v>2</v>
      </c>
      <c r="Q618" t="s">
        <v>59</v>
      </c>
      <c r="R618" t="s">
        <v>37</v>
      </c>
      <c r="S618">
        <v>2</v>
      </c>
      <c r="T618">
        <v>10</v>
      </c>
      <c r="U618" t="s">
        <v>49</v>
      </c>
      <c r="V618" t="s">
        <v>60</v>
      </c>
      <c r="W618" t="s">
        <v>51</v>
      </c>
      <c r="X618" s="3">
        <v>45910</v>
      </c>
      <c r="Y618" s="1" t="str">
        <f t="shared" si="18"/>
        <v>Sep</v>
      </c>
      <c r="Z618" s="1" t="str">
        <f t="shared" si="19"/>
        <v>2025</v>
      </c>
      <c r="AA618" t="b">
        <v>1</v>
      </c>
      <c r="AB618" t="b">
        <v>0</v>
      </c>
      <c r="AC618" t="s">
        <v>62</v>
      </c>
      <c r="AD618" t="s">
        <v>67</v>
      </c>
      <c r="AE618">
        <v>11</v>
      </c>
    </row>
    <row r="619" spans="1:31" x14ac:dyDescent="0.3">
      <c r="A619" t="s">
        <v>1311</v>
      </c>
      <c r="B619">
        <v>39</v>
      </c>
      <c r="C619" t="str" cm="1">
        <f t="array" ref="C619">_xlfn.IFS(B619&lt;=18,"0-18",B619&lt;=29,"19-29",B619&gt;=49,"30-49",B619&gt;=69,"50-69",TRUE,"70+")</f>
        <v>70+</v>
      </c>
      <c r="D619" t="s">
        <v>43</v>
      </c>
      <c r="E619" t="s">
        <v>30</v>
      </c>
      <c r="F619" t="s">
        <v>69</v>
      </c>
      <c r="G619" t="s">
        <v>32</v>
      </c>
      <c r="H619" t="s">
        <v>44</v>
      </c>
      <c r="I619" t="s">
        <v>1312</v>
      </c>
      <c r="J619" t="s">
        <v>183</v>
      </c>
      <c r="K619" s="2">
        <v>293.43</v>
      </c>
      <c r="L619">
        <v>9</v>
      </c>
      <c r="M619" t="s">
        <v>48</v>
      </c>
      <c r="N619">
        <v>4</v>
      </c>
      <c r="O619">
        <v>4</v>
      </c>
      <c r="P619">
        <v>1</v>
      </c>
      <c r="Q619" t="s">
        <v>49</v>
      </c>
      <c r="R619" t="s">
        <v>85</v>
      </c>
      <c r="S619">
        <v>0</v>
      </c>
      <c r="T619">
        <v>5</v>
      </c>
      <c r="U619" t="s">
        <v>36</v>
      </c>
      <c r="V619" t="s">
        <v>79</v>
      </c>
      <c r="W619" t="s">
        <v>86</v>
      </c>
      <c r="X619" s="3">
        <v>45911</v>
      </c>
      <c r="Y619" s="1" t="str">
        <f t="shared" si="18"/>
        <v>Sep</v>
      </c>
      <c r="Z619" s="1" t="str">
        <f t="shared" si="19"/>
        <v>2025</v>
      </c>
      <c r="AA619" t="b">
        <v>0</v>
      </c>
      <c r="AB619" t="b">
        <v>1</v>
      </c>
      <c r="AC619" t="s">
        <v>40</v>
      </c>
      <c r="AD619" t="s">
        <v>53</v>
      </c>
      <c r="AE619">
        <v>7</v>
      </c>
    </row>
    <row r="620" spans="1:31" x14ac:dyDescent="0.3">
      <c r="A620" t="s">
        <v>1313</v>
      </c>
      <c r="B620">
        <v>35</v>
      </c>
      <c r="C620" t="str" cm="1">
        <f t="array" ref="C620">_xlfn.IFS(B620&lt;=18,"0-18",B620&lt;=29,"19-29",B620&gt;=49,"30-49",B620&gt;=69,"50-69",TRUE,"70+")</f>
        <v>70+</v>
      </c>
      <c r="D620" t="s">
        <v>29</v>
      </c>
      <c r="E620" t="s">
        <v>44</v>
      </c>
      <c r="F620" t="s">
        <v>55</v>
      </c>
      <c r="G620" t="s">
        <v>32</v>
      </c>
      <c r="H620" t="s">
        <v>30</v>
      </c>
      <c r="I620" t="s">
        <v>1314</v>
      </c>
      <c r="J620" t="s">
        <v>123</v>
      </c>
      <c r="K620" s="2">
        <v>418.51</v>
      </c>
      <c r="L620">
        <v>6</v>
      </c>
      <c r="M620" t="s">
        <v>78</v>
      </c>
      <c r="N620">
        <v>4</v>
      </c>
      <c r="O620">
        <v>4</v>
      </c>
      <c r="P620">
        <v>2</v>
      </c>
      <c r="Q620" t="s">
        <v>59</v>
      </c>
      <c r="R620" t="s">
        <v>37</v>
      </c>
      <c r="S620">
        <v>2</v>
      </c>
      <c r="T620">
        <v>2</v>
      </c>
      <c r="U620" t="s">
        <v>44</v>
      </c>
      <c r="V620" t="s">
        <v>79</v>
      </c>
      <c r="W620" t="s">
        <v>39</v>
      </c>
      <c r="X620" s="3">
        <v>45912</v>
      </c>
      <c r="Y620" s="1" t="str">
        <f t="shared" si="18"/>
        <v>Sep</v>
      </c>
      <c r="Z620" s="1" t="str">
        <f t="shared" si="19"/>
        <v>2025</v>
      </c>
      <c r="AA620" t="b">
        <v>0</v>
      </c>
      <c r="AB620" t="b">
        <v>1</v>
      </c>
      <c r="AC620" t="s">
        <v>40</v>
      </c>
      <c r="AD620" t="s">
        <v>53</v>
      </c>
      <c r="AE620">
        <v>3</v>
      </c>
    </row>
    <row r="621" spans="1:31" x14ac:dyDescent="0.3">
      <c r="A621" t="s">
        <v>1315</v>
      </c>
      <c r="B621">
        <v>39</v>
      </c>
      <c r="C621" t="str" cm="1">
        <f t="array" ref="C621">_xlfn.IFS(B621&lt;=18,"0-18",B621&lt;=29,"19-29",B621&gt;=49,"30-49",B621&gt;=69,"50-69",TRUE,"70+")</f>
        <v>70+</v>
      </c>
      <c r="D621" t="s">
        <v>43</v>
      </c>
      <c r="E621" t="s">
        <v>30</v>
      </c>
      <c r="F621" t="s">
        <v>55</v>
      </c>
      <c r="G621" t="s">
        <v>56</v>
      </c>
      <c r="H621" t="s">
        <v>30</v>
      </c>
      <c r="I621" t="s">
        <v>1316</v>
      </c>
      <c r="J621" t="s">
        <v>104</v>
      </c>
      <c r="K621" s="2">
        <v>85.03</v>
      </c>
      <c r="L621">
        <v>9</v>
      </c>
      <c r="M621" t="s">
        <v>48</v>
      </c>
      <c r="N621">
        <v>5</v>
      </c>
      <c r="O621">
        <v>4</v>
      </c>
      <c r="P621">
        <v>1</v>
      </c>
      <c r="Q621" t="s">
        <v>49</v>
      </c>
      <c r="R621" t="s">
        <v>50</v>
      </c>
      <c r="S621">
        <v>0</v>
      </c>
      <c r="T621">
        <v>9</v>
      </c>
      <c r="U621" t="s">
        <v>44</v>
      </c>
      <c r="V621" t="s">
        <v>60</v>
      </c>
      <c r="W621" t="s">
        <v>39</v>
      </c>
      <c r="X621" s="3">
        <v>45913</v>
      </c>
      <c r="Y621" s="1" t="str">
        <f t="shared" si="18"/>
        <v>Sep</v>
      </c>
      <c r="Z621" s="1" t="str">
        <f t="shared" si="19"/>
        <v>2025</v>
      </c>
      <c r="AA621" t="b">
        <v>1</v>
      </c>
      <c r="AB621" t="b">
        <v>1</v>
      </c>
      <c r="AC621" t="s">
        <v>52</v>
      </c>
      <c r="AD621" t="s">
        <v>67</v>
      </c>
      <c r="AE621">
        <v>8</v>
      </c>
    </row>
    <row r="622" spans="1:31" x14ac:dyDescent="0.3">
      <c r="A622" t="s">
        <v>1317</v>
      </c>
      <c r="B622">
        <v>31</v>
      </c>
      <c r="C622" t="str" cm="1">
        <f t="array" ref="C622">_xlfn.IFS(B622&lt;=18,"0-18",B622&lt;=29,"19-29",B622&gt;=49,"30-49",B622&gt;=69,"50-69",TRUE,"70+")</f>
        <v>70+</v>
      </c>
      <c r="D622" t="s">
        <v>43</v>
      </c>
      <c r="E622" t="s">
        <v>30</v>
      </c>
      <c r="F622" t="s">
        <v>31</v>
      </c>
      <c r="G622" t="s">
        <v>56</v>
      </c>
      <c r="H622" t="s">
        <v>44</v>
      </c>
      <c r="I622" t="s">
        <v>1318</v>
      </c>
      <c r="J622" t="s">
        <v>93</v>
      </c>
      <c r="K622" s="2">
        <v>164.94</v>
      </c>
      <c r="L622">
        <v>4</v>
      </c>
      <c r="M622" t="s">
        <v>48</v>
      </c>
      <c r="N622">
        <v>4</v>
      </c>
      <c r="O622">
        <v>4</v>
      </c>
      <c r="P622">
        <v>2</v>
      </c>
      <c r="Q622" t="s">
        <v>44</v>
      </c>
      <c r="R622" t="s">
        <v>37</v>
      </c>
      <c r="S622">
        <v>2</v>
      </c>
      <c r="T622">
        <v>2</v>
      </c>
      <c r="U622" t="s">
        <v>59</v>
      </c>
      <c r="V622" t="s">
        <v>79</v>
      </c>
      <c r="W622" t="s">
        <v>51</v>
      </c>
      <c r="X622" s="3">
        <v>45914</v>
      </c>
      <c r="Y622" s="1" t="str">
        <f t="shared" si="18"/>
        <v>Sep</v>
      </c>
      <c r="Z622" s="1" t="str">
        <f t="shared" si="19"/>
        <v>2025</v>
      </c>
      <c r="AA622" t="b">
        <v>1</v>
      </c>
      <c r="AB622" t="b">
        <v>1</v>
      </c>
      <c r="AC622" t="s">
        <v>52</v>
      </c>
      <c r="AD622" t="s">
        <v>67</v>
      </c>
      <c r="AE622">
        <v>6</v>
      </c>
    </row>
    <row r="623" spans="1:31" x14ac:dyDescent="0.3">
      <c r="A623" t="s">
        <v>1319</v>
      </c>
      <c r="B623">
        <v>38</v>
      </c>
      <c r="C623" t="str" cm="1">
        <f t="array" ref="C623">_xlfn.IFS(B623&lt;=18,"0-18",B623&lt;=29,"19-29",B623&gt;=49,"30-49",B623&gt;=69,"50-69",TRUE,"70+")</f>
        <v>70+</v>
      </c>
      <c r="D623" t="s">
        <v>29</v>
      </c>
      <c r="E623" t="s">
        <v>44</v>
      </c>
      <c r="F623" t="s">
        <v>69</v>
      </c>
      <c r="G623" t="s">
        <v>32</v>
      </c>
      <c r="H623" t="s">
        <v>30</v>
      </c>
      <c r="I623" t="s">
        <v>1320</v>
      </c>
      <c r="J623" t="s">
        <v>158</v>
      </c>
      <c r="K623" s="2">
        <v>89.32</v>
      </c>
      <c r="L623">
        <v>11</v>
      </c>
      <c r="M623" t="s">
        <v>78</v>
      </c>
      <c r="N623">
        <v>1</v>
      </c>
      <c r="O623">
        <v>1</v>
      </c>
      <c r="P623">
        <v>0.3</v>
      </c>
      <c r="Q623" t="s">
        <v>59</v>
      </c>
      <c r="R623" t="s">
        <v>37</v>
      </c>
      <c r="S623">
        <v>1</v>
      </c>
      <c r="T623">
        <v>3</v>
      </c>
      <c r="U623" t="s">
        <v>44</v>
      </c>
      <c r="V623" t="s">
        <v>79</v>
      </c>
      <c r="W623" t="s">
        <v>66</v>
      </c>
      <c r="X623" s="3">
        <v>45915</v>
      </c>
      <c r="Y623" s="1" t="str">
        <f t="shared" si="18"/>
        <v>Sep</v>
      </c>
      <c r="Z623" s="1" t="str">
        <f t="shared" si="19"/>
        <v>2025</v>
      </c>
      <c r="AA623" t="b">
        <v>1</v>
      </c>
      <c r="AB623" t="b">
        <v>0</v>
      </c>
      <c r="AC623" t="s">
        <v>52</v>
      </c>
      <c r="AD623" t="s">
        <v>41</v>
      </c>
      <c r="AE623">
        <v>12</v>
      </c>
    </row>
    <row r="624" spans="1:31" x14ac:dyDescent="0.3">
      <c r="A624" t="s">
        <v>1321</v>
      </c>
      <c r="B624">
        <v>33</v>
      </c>
      <c r="C624" t="str" cm="1">
        <f t="array" ref="C624">_xlfn.IFS(B624&lt;=18,"0-18",B624&lt;=29,"19-29",B624&gt;=49,"30-49",B624&gt;=69,"50-69",TRUE,"70+")</f>
        <v>70+</v>
      </c>
      <c r="D624" t="s">
        <v>43</v>
      </c>
      <c r="E624" t="s">
        <v>30</v>
      </c>
      <c r="F624" t="s">
        <v>31</v>
      </c>
      <c r="G624" t="s">
        <v>45</v>
      </c>
      <c r="H624" t="s">
        <v>44</v>
      </c>
      <c r="I624" t="s">
        <v>1322</v>
      </c>
      <c r="J624" t="s">
        <v>183</v>
      </c>
      <c r="K624" s="2">
        <v>388.26</v>
      </c>
      <c r="L624">
        <v>2</v>
      </c>
      <c r="M624" t="s">
        <v>35</v>
      </c>
      <c r="N624">
        <v>3</v>
      </c>
      <c r="O624">
        <v>1</v>
      </c>
      <c r="P624">
        <v>1</v>
      </c>
      <c r="Q624" t="s">
        <v>44</v>
      </c>
      <c r="R624" t="s">
        <v>50</v>
      </c>
      <c r="S624">
        <v>0</v>
      </c>
      <c r="T624">
        <v>7</v>
      </c>
      <c r="U624" t="s">
        <v>36</v>
      </c>
      <c r="V624" t="s">
        <v>60</v>
      </c>
      <c r="W624" t="s">
        <v>39</v>
      </c>
      <c r="X624" s="3">
        <v>45916</v>
      </c>
      <c r="Y624" s="1" t="str">
        <f t="shared" si="18"/>
        <v>Sep</v>
      </c>
      <c r="Z624" s="1" t="str">
        <f t="shared" si="19"/>
        <v>2025</v>
      </c>
      <c r="AA624" t="b">
        <v>0</v>
      </c>
      <c r="AB624" t="b">
        <v>0</v>
      </c>
      <c r="AC624" t="s">
        <v>74</v>
      </c>
      <c r="AD624" t="s">
        <v>41</v>
      </c>
      <c r="AE624">
        <v>5</v>
      </c>
    </row>
    <row r="625" spans="1:31" x14ac:dyDescent="0.3">
      <c r="A625" t="s">
        <v>1323</v>
      </c>
      <c r="B625">
        <v>33</v>
      </c>
      <c r="C625" t="str" cm="1">
        <f t="array" ref="C625">_xlfn.IFS(B625&lt;=18,"0-18",B625&lt;=29,"19-29",B625&gt;=49,"30-49",B625&gt;=69,"50-69",TRUE,"70+")</f>
        <v>70+</v>
      </c>
      <c r="D625" t="s">
        <v>43</v>
      </c>
      <c r="E625" t="s">
        <v>30</v>
      </c>
      <c r="F625" t="s">
        <v>76</v>
      </c>
      <c r="G625" t="s">
        <v>56</v>
      </c>
      <c r="H625" t="s">
        <v>30</v>
      </c>
      <c r="I625" t="s">
        <v>1324</v>
      </c>
      <c r="J625" t="s">
        <v>246</v>
      </c>
      <c r="K625" s="2">
        <v>106.69</v>
      </c>
      <c r="L625">
        <v>5</v>
      </c>
      <c r="M625" t="s">
        <v>78</v>
      </c>
      <c r="N625">
        <v>3</v>
      </c>
      <c r="O625">
        <v>4</v>
      </c>
      <c r="P625">
        <v>1.3</v>
      </c>
      <c r="Q625" t="s">
        <v>49</v>
      </c>
      <c r="R625" t="s">
        <v>85</v>
      </c>
      <c r="S625">
        <v>2</v>
      </c>
      <c r="T625">
        <v>10</v>
      </c>
      <c r="U625" t="s">
        <v>36</v>
      </c>
      <c r="V625" t="s">
        <v>79</v>
      </c>
      <c r="W625" t="s">
        <v>51</v>
      </c>
      <c r="X625" s="3">
        <v>45917</v>
      </c>
      <c r="Y625" s="1" t="str">
        <f t="shared" si="18"/>
        <v>Sep</v>
      </c>
      <c r="Z625" s="1" t="str">
        <f t="shared" si="19"/>
        <v>2025</v>
      </c>
      <c r="AA625" t="b">
        <v>0</v>
      </c>
      <c r="AB625" t="b">
        <v>1</v>
      </c>
      <c r="AC625" t="s">
        <v>52</v>
      </c>
      <c r="AD625" t="s">
        <v>53</v>
      </c>
      <c r="AE625">
        <v>14</v>
      </c>
    </row>
    <row r="626" spans="1:31" x14ac:dyDescent="0.3">
      <c r="A626" t="s">
        <v>1325</v>
      </c>
      <c r="B626">
        <v>42</v>
      </c>
      <c r="C626" t="str" cm="1">
        <f t="array" ref="C626">_xlfn.IFS(B626&lt;=18,"0-18",B626&lt;=29,"19-29",B626&gt;=49,"30-49",B626&gt;=69,"50-69",TRUE,"70+")</f>
        <v>70+</v>
      </c>
      <c r="D626" t="s">
        <v>274</v>
      </c>
      <c r="E626" t="s">
        <v>30</v>
      </c>
      <c r="F626" t="s">
        <v>31</v>
      </c>
      <c r="G626" t="s">
        <v>32</v>
      </c>
      <c r="H626" t="s">
        <v>44</v>
      </c>
      <c r="I626" t="s">
        <v>1326</v>
      </c>
      <c r="J626" t="s">
        <v>114</v>
      </c>
      <c r="K626" s="2">
        <v>301.16000000000003</v>
      </c>
      <c r="L626">
        <v>10</v>
      </c>
      <c r="M626" t="s">
        <v>78</v>
      </c>
      <c r="N626">
        <v>4</v>
      </c>
      <c r="O626">
        <v>3</v>
      </c>
      <c r="P626">
        <v>2</v>
      </c>
      <c r="Q626" t="s">
        <v>36</v>
      </c>
      <c r="R626" t="s">
        <v>85</v>
      </c>
      <c r="S626">
        <v>2</v>
      </c>
      <c r="T626">
        <v>9</v>
      </c>
      <c r="U626" t="s">
        <v>49</v>
      </c>
      <c r="V626" t="s">
        <v>38</v>
      </c>
      <c r="W626" t="s">
        <v>86</v>
      </c>
      <c r="X626" s="3">
        <v>45918</v>
      </c>
      <c r="Y626" s="1" t="str">
        <f t="shared" si="18"/>
        <v>Sep</v>
      </c>
      <c r="Z626" s="1" t="str">
        <f t="shared" si="19"/>
        <v>2025</v>
      </c>
      <c r="AA626" t="b">
        <v>0</v>
      </c>
      <c r="AB626" t="b">
        <v>0</v>
      </c>
      <c r="AC626" t="s">
        <v>40</v>
      </c>
      <c r="AD626" t="s">
        <v>53</v>
      </c>
      <c r="AE626">
        <v>1</v>
      </c>
    </row>
    <row r="627" spans="1:31" x14ac:dyDescent="0.3">
      <c r="A627" t="s">
        <v>1327</v>
      </c>
      <c r="B627">
        <v>49</v>
      </c>
      <c r="C627" t="str" cm="1">
        <f t="array" ref="C627">_xlfn.IFS(B627&lt;=18,"0-18",B627&lt;=29,"19-29",B627&gt;=49,"30-49",B627&gt;=69,"50-69",TRUE,"70+")</f>
        <v>30-49</v>
      </c>
      <c r="D627" t="s">
        <v>43</v>
      </c>
      <c r="E627" t="s">
        <v>30</v>
      </c>
      <c r="F627" t="s">
        <v>76</v>
      </c>
      <c r="G627" t="s">
        <v>45</v>
      </c>
      <c r="H627" t="s">
        <v>44</v>
      </c>
      <c r="I627" t="s">
        <v>1328</v>
      </c>
      <c r="J627" t="s">
        <v>107</v>
      </c>
      <c r="K627" s="2">
        <v>61.71</v>
      </c>
      <c r="L627">
        <v>6</v>
      </c>
      <c r="M627" t="s">
        <v>35</v>
      </c>
      <c r="N627">
        <v>2</v>
      </c>
      <c r="O627">
        <v>5</v>
      </c>
      <c r="P627">
        <v>1</v>
      </c>
      <c r="Q627" t="s">
        <v>59</v>
      </c>
      <c r="R627" t="s">
        <v>85</v>
      </c>
      <c r="S627">
        <v>2</v>
      </c>
      <c r="T627">
        <v>7</v>
      </c>
      <c r="U627" t="s">
        <v>59</v>
      </c>
      <c r="V627" t="s">
        <v>38</v>
      </c>
      <c r="W627" t="s">
        <v>86</v>
      </c>
      <c r="X627" s="3">
        <v>45919</v>
      </c>
      <c r="Y627" s="1" t="str">
        <f t="shared" si="18"/>
        <v>Sep</v>
      </c>
      <c r="Z627" s="1" t="str">
        <f t="shared" si="19"/>
        <v>2025</v>
      </c>
      <c r="AA627" t="b">
        <v>0</v>
      </c>
      <c r="AB627" t="b">
        <v>0</v>
      </c>
      <c r="AC627" t="s">
        <v>62</v>
      </c>
      <c r="AD627" t="s">
        <v>41</v>
      </c>
      <c r="AE627">
        <v>12</v>
      </c>
    </row>
    <row r="628" spans="1:31" x14ac:dyDescent="0.3">
      <c r="A628" t="s">
        <v>1329</v>
      </c>
      <c r="B628">
        <v>46</v>
      </c>
      <c r="C628" t="str" cm="1">
        <f t="array" ref="C628">_xlfn.IFS(B628&lt;=18,"0-18",B628&lt;=29,"19-29",B628&gt;=49,"30-49",B628&gt;=69,"50-69",TRUE,"70+")</f>
        <v>70+</v>
      </c>
      <c r="D628" t="s">
        <v>190</v>
      </c>
      <c r="E628" t="s">
        <v>30</v>
      </c>
      <c r="F628" t="s">
        <v>76</v>
      </c>
      <c r="G628" t="s">
        <v>45</v>
      </c>
      <c r="H628" t="s">
        <v>44</v>
      </c>
      <c r="I628" t="s">
        <v>1330</v>
      </c>
      <c r="J628" t="s">
        <v>90</v>
      </c>
      <c r="K628" s="2">
        <v>83.33</v>
      </c>
      <c r="L628">
        <v>11</v>
      </c>
      <c r="M628" t="s">
        <v>48</v>
      </c>
      <c r="N628">
        <v>1</v>
      </c>
      <c r="O628">
        <v>5</v>
      </c>
      <c r="P628">
        <v>1</v>
      </c>
      <c r="Q628" t="s">
        <v>49</v>
      </c>
      <c r="R628" t="s">
        <v>85</v>
      </c>
      <c r="S628">
        <v>1</v>
      </c>
      <c r="T628">
        <v>6</v>
      </c>
      <c r="U628" t="s">
        <v>59</v>
      </c>
      <c r="V628" t="s">
        <v>79</v>
      </c>
      <c r="W628" t="s">
        <v>61</v>
      </c>
      <c r="X628" s="3">
        <v>45920</v>
      </c>
      <c r="Y628" s="1" t="str">
        <f t="shared" si="18"/>
        <v>Sep</v>
      </c>
      <c r="Z628" s="1" t="str">
        <f t="shared" si="19"/>
        <v>2025</v>
      </c>
      <c r="AA628" t="b">
        <v>1</v>
      </c>
      <c r="AB628" t="b">
        <v>1</v>
      </c>
      <c r="AC628" t="s">
        <v>74</v>
      </c>
      <c r="AD628" t="s">
        <v>67</v>
      </c>
      <c r="AE628">
        <v>1</v>
      </c>
    </row>
    <row r="629" spans="1:31" x14ac:dyDescent="0.3">
      <c r="A629" t="s">
        <v>1331</v>
      </c>
      <c r="B629">
        <v>42</v>
      </c>
      <c r="C629" t="str" cm="1">
        <f t="array" ref="C629">_xlfn.IFS(B629&lt;=18,"0-18",B629&lt;=29,"19-29",B629&gt;=49,"30-49",B629&gt;=69,"50-69",TRUE,"70+")</f>
        <v>70+</v>
      </c>
      <c r="D629" t="s">
        <v>43</v>
      </c>
      <c r="E629" t="s">
        <v>44</v>
      </c>
      <c r="F629" t="s">
        <v>55</v>
      </c>
      <c r="G629" t="s">
        <v>32</v>
      </c>
      <c r="H629" t="s">
        <v>30</v>
      </c>
      <c r="I629" t="s">
        <v>1332</v>
      </c>
      <c r="J629" t="s">
        <v>82</v>
      </c>
      <c r="K629" s="2">
        <v>411.81</v>
      </c>
      <c r="L629">
        <v>4</v>
      </c>
      <c r="M629" t="s">
        <v>35</v>
      </c>
      <c r="N629">
        <v>1</v>
      </c>
      <c r="O629">
        <v>3</v>
      </c>
      <c r="P629">
        <v>1</v>
      </c>
      <c r="Q629" t="s">
        <v>44</v>
      </c>
      <c r="R629" t="s">
        <v>37</v>
      </c>
      <c r="S629">
        <v>1</v>
      </c>
      <c r="T629">
        <v>1</v>
      </c>
      <c r="U629" t="s">
        <v>44</v>
      </c>
      <c r="V629" t="s">
        <v>60</v>
      </c>
      <c r="W629" t="s">
        <v>86</v>
      </c>
      <c r="X629" s="3">
        <v>45921</v>
      </c>
      <c r="Y629" s="1" t="str">
        <f t="shared" si="18"/>
        <v>Sep</v>
      </c>
      <c r="Z629" s="1" t="str">
        <f t="shared" si="19"/>
        <v>2025</v>
      </c>
      <c r="AA629" t="b">
        <v>1</v>
      </c>
      <c r="AB629" t="b">
        <v>1</v>
      </c>
      <c r="AC629" t="s">
        <v>74</v>
      </c>
      <c r="AD629" t="s">
        <v>53</v>
      </c>
      <c r="AE629">
        <v>1</v>
      </c>
    </row>
    <row r="630" spans="1:31" x14ac:dyDescent="0.3">
      <c r="A630" t="s">
        <v>1333</v>
      </c>
      <c r="B630">
        <v>44</v>
      </c>
      <c r="C630" t="str" cm="1">
        <f t="array" ref="C630">_xlfn.IFS(B630&lt;=18,"0-18",B630&lt;=29,"19-29",B630&gt;=49,"30-49",B630&gt;=69,"50-69",TRUE,"70+")</f>
        <v>70+</v>
      </c>
      <c r="D630" t="s">
        <v>29</v>
      </c>
      <c r="E630" t="s">
        <v>30</v>
      </c>
      <c r="F630" t="s">
        <v>31</v>
      </c>
      <c r="G630" t="s">
        <v>56</v>
      </c>
      <c r="H630" t="s">
        <v>44</v>
      </c>
      <c r="I630" t="s">
        <v>1334</v>
      </c>
      <c r="J630" t="s">
        <v>98</v>
      </c>
      <c r="K630" s="2">
        <v>114.93</v>
      </c>
      <c r="L630">
        <v>3</v>
      </c>
      <c r="M630" t="s">
        <v>48</v>
      </c>
      <c r="N630">
        <v>4</v>
      </c>
      <c r="O630">
        <v>3</v>
      </c>
      <c r="P630">
        <v>1</v>
      </c>
      <c r="Q630" t="s">
        <v>44</v>
      </c>
      <c r="R630" t="s">
        <v>37</v>
      </c>
      <c r="S630">
        <v>0</v>
      </c>
      <c r="T630">
        <v>4</v>
      </c>
      <c r="U630" t="s">
        <v>36</v>
      </c>
      <c r="V630" t="s">
        <v>79</v>
      </c>
      <c r="W630" t="s">
        <v>66</v>
      </c>
      <c r="X630" s="3">
        <v>45922</v>
      </c>
      <c r="Y630" s="1" t="str">
        <f t="shared" si="18"/>
        <v>Sep</v>
      </c>
      <c r="Z630" s="1" t="str">
        <f t="shared" si="19"/>
        <v>2025</v>
      </c>
      <c r="AA630" t="b">
        <v>1</v>
      </c>
      <c r="AB630" t="b">
        <v>1</v>
      </c>
      <c r="AC630" t="s">
        <v>62</v>
      </c>
      <c r="AD630" t="s">
        <v>53</v>
      </c>
      <c r="AE630">
        <v>4</v>
      </c>
    </row>
    <row r="631" spans="1:31" x14ac:dyDescent="0.3">
      <c r="A631" t="s">
        <v>1335</v>
      </c>
      <c r="B631">
        <v>33</v>
      </c>
      <c r="C631" t="str" cm="1">
        <f t="array" ref="C631">_xlfn.IFS(B631&lt;=18,"0-18",B631&lt;=29,"19-29",B631&gt;=49,"30-49",B631&gt;=69,"50-69",TRUE,"70+")</f>
        <v>70+</v>
      </c>
      <c r="D631" t="s">
        <v>29</v>
      </c>
      <c r="E631" t="s">
        <v>44</v>
      </c>
      <c r="F631" t="s">
        <v>76</v>
      </c>
      <c r="G631" t="s">
        <v>56</v>
      </c>
      <c r="H631" t="s">
        <v>30</v>
      </c>
      <c r="I631" t="s">
        <v>1336</v>
      </c>
      <c r="J631" t="s">
        <v>246</v>
      </c>
      <c r="K631" s="2">
        <v>438.42</v>
      </c>
      <c r="L631">
        <v>11</v>
      </c>
      <c r="M631" t="s">
        <v>78</v>
      </c>
      <c r="N631">
        <v>3</v>
      </c>
      <c r="O631">
        <v>2</v>
      </c>
      <c r="P631">
        <v>2</v>
      </c>
      <c r="Q631" t="s">
        <v>49</v>
      </c>
      <c r="R631" t="s">
        <v>85</v>
      </c>
      <c r="S631">
        <v>0</v>
      </c>
      <c r="T631">
        <v>4</v>
      </c>
      <c r="U631" t="s">
        <v>59</v>
      </c>
      <c r="V631" t="s">
        <v>38</v>
      </c>
      <c r="W631" t="s">
        <v>86</v>
      </c>
      <c r="X631" s="3">
        <v>45923</v>
      </c>
      <c r="Y631" s="1" t="str">
        <f t="shared" si="18"/>
        <v>Sep</v>
      </c>
      <c r="Z631" s="1" t="str">
        <f t="shared" si="19"/>
        <v>2025</v>
      </c>
      <c r="AA631" t="b">
        <v>1</v>
      </c>
      <c r="AB631" t="b">
        <v>0</v>
      </c>
      <c r="AC631" t="s">
        <v>74</v>
      </c>
      <c r="AD631" t="s">
        <v>67</v>
      </c>
      <c r="AE631">
        <v>4</v>
      </c>
    </row>
    <row r="632" spans="1:31" x14ac:dyDescent="0.3">
      <c r="A632" t="s">
        <v>1337</v>
      </c>
      <c r="B632">
        <v>36</v>
      </c>
      <c r="C632" t="str" cm="1">
        <f t="array" ref="C632">_xlfn.IFS(B632&lt;=18,"0-18",B632&lt;=29,"19-29",B632&gt;=49,"30-49",B632&gt;=69,"50-69",TRUE,"70+")</f>
        <v>70+</v>
      </c>
      <c r="D632" t="s">
        <v>43</v>
      </c>
      <c r="E632" t="s">
        <v>30</v>
      </c>
      <c r="F632" t="s">
        <v>69</v>
      </c>
      <c r="G632" t="s">
        <v>56</v>
      </c>
      <c r="H632" t="s">
        <v>30</v>
      </c>
      <c r="I632" t="s">
        <v>1338</v>
      </c>
      <c r="J632" t="s">
        <v>98</v>
      </c>
      <c r="K632" s="2">
        <v>189.97</v>
      </c>
      <c r="L632">
        <v>2</v>
      </c>
      <c r="M632" t="s">
        <v>48</v>
      </c>
      <c r="N632">
        <v>2</v>
      </c>
      <c r="O632">
        <v>3</v>
      </c>
      <c r="P632">
        <v>1</v>
      </c>
      <c r="Q632" t="s">
        <v>44</v>
      </c>
      <c r="R632" t="s">
        <v>37</v>
      </c>
      <c r="S632">
        <v>0</v>
      </c>
      <c r="T632">
        <v>3</v>
      </c>
      <c r="U632" t="s">
        <v>49</v>
      </c>
      <c r="V632" t="s">
        <v>60</v>
      </c>
      <c r="W632" t="s">
        <v>39</v>
      </c>
      <c r="X632" s="3">
        <v>45924</v>
      </c>
      <c r="Y632" s="1" t="str">
        <f t="shared" si="18"/>
        <v>Sep</v>
      </c>
      <c r="Z632" s="1" t="str">
        <f t="shared" si="19"/>
        <v>2025</v>
      </c>
      <c r="AA632" t="b">
        <v>1</v>
      </c>
      <c r="AB632" t="b">
        <v>0</v>
      </c>
      <c r="AC632" t="s">
        <v>40</v>
      </c>
      <c r="AD632" t="s">
        <v>53</v>
      </c>
      <c r="AE632">
        <v>8</v>
      </c>
    </row>
    <row r="633" spans="1:31" x14ac:dyDescent="0.3">
      <c r="A633" t="s">
        <v>1339</v>
      </c>
      <c r="B633">
        <v>35</v>
      </c>
      <c r="C633" t="str" cm="1">
        <f t="array" ref="C633">_xlfn.IFS(B633&lt;=18,"0-18",B633&lt;=29,"19-29",B633&gt;=49,"30-49",B633&gt;=69,"50-69",TRUE,"70+")</f>
        <v>70+</v>
      </c>
      <c r="D633" t="s">
        <v>43</v>
      </c>
      <c r="E633" t="s">
        <v>44</v>
      </c>
      <c r="F633" t="s">
        <v>76</v>
      </c>
      <c r="G633" t="s">
        <v>56</v>
      </c>
      <c r="H633" t="s">
        <v>30</v>
      </c>
      <c r="I633" t="s">
        <v>1340</v>
      </c>
      <c r="J633" t="s">
        <v>142</v>
      </c>
      <c r="K633" s="2">
        <v>227.03</v>
      </c>
      <c r="L633">
        <v>12</v>
      </c>
      <c r="M633" t="s">
        <v>78</v>
      </c>
      <c r="N633">
        <v>2</v>
      </c>
      <c r="O633">
        <v>2</v>
      </c>
      <c r="P633">
        <v>0</v>
      </c>
      <c r="Q633" t="s">
        <v>44</v>
      </c>
      <c r="R633" t="s">
        <v>85</v>
      </c>
      <c r="S633">
        <v>2</v>
      </c>
      <c r="T633">
        <v>10</v>
      </c>
      <c r="U633" t="s">
        <v>59</v>
      </c>
      <c r="V633" t="s">
        <v>79</v>
      </c>
      <c r="W633" t="s">
        <v>51</v>
      </c>
      <c r="X633" s="3">
        <v>45925</v>
      </c>
      <c r="Y633" s="1" t="str">
        <f t="shared" si="18"/>
        <v>Sep</v>
      </c>
      <c r="Z633" s="1" t="str">
        <f t="shared" si="19"/>
        <v>2025</v>
      </c>
      <c r="AA633" t="b">
        <v>1</v>
      </c>
      <c r="AB633" t="b">
        <v>1</v>
      </c>
      <c r="AC633" t="s">
        <v>74</v>
      </c>
      <c r="AD633" t="s">
        <v>53</v>
      </c>
      <c r="AE633">
        <v>2</v>
      </c>
    </row>
    <row r="634" spans="1:31" x14ac:dyDescent="0.3">
      <c r="A634" t="s">
        <v>1341</v>
      </c>
      <c r="B634">
        <v>26</v>
      </c>
      <c r="C634" t="str" cm="1">
        <f t="array" ref="C634">_xlfn.IFS(B634&lt;=18,"0-18",B634&lt;=29,"19-29",B634&gt;=49,"30-49",B634&gt;=69,"50-69",TRUE,"70+")</f>
        <v>19-29</v>
      </c>
      <c r="D634" t="s">
        <v>43</v>
      </c>
      <c r="E634" t="s">
        <v>44</v>
      </c>
      <c r="F634" t="s">
        <v>76</v>
      </c>
      <c r="G634" t="s">
        <v>32</v>
      </c>
      <c r="H634" t="s">
        <v>30</v>
      </c>
      <c r="I634" t="s">
        <v>1342</v>
      </c>
      <c r="J634" t="s">
        <v>65</v>
      </c>
      <c r="K634" s="2">
        <v>278.49</v>
      </c>
      <c r="L634">
        <v>4</v>
      </c>
      <c r="M634" t="s">
        <v>35</v>
      </c>
      <c r="N634">
        <v>5</v>
      </c>
      <c r="O634">
        <v>5</v>
      </c>
      <c r="P634">
        <v>0</v>
      </c>
      <c r="Q634" t="s">
        <v>59</v>
      </c>
      <c r="R634" t="s">
        <v>37</v>
      </c>
      <c r="S634">
        <v>1</v>
      </c>
      <c r="T634">
        <v>5</v>
      </c>
      <c r="U634" t="s">
        <v>59</v>
      </c>
      <c r="V634" t="s">
        <v>60</v>
      </c>
      <c r="W634" t="s">
        <v>39</v>
      </c>
      <c r="X634" s="3">
        <v>45926</v>
      </c>
      <c r="Y634" s="1" t="str">
        <f t="shared" si="18"/>
        <v>Sep</v>
      </c>
      <c r="Z634" s="1" t="str">
        <f t="shared" si="19"/>
        <v>2025</v>
      </c>
      <c r="AA634" t="b">
        <v>1</v>
      </c>
      <c r="AB634" t="b">
        <v>1</v>
      </c>
      <c r="AC634" t="s">
        <v>40</v>
      </c>
      <c r="AD634" t="s">
        <v>67</v>
      </c>
      <c r="AE634">
        <v>8</v>
      </c>
    </row>
    <row r="635" spans="1:31" x14ac:dyDescent="0.3">
      <c r="A635" t="s">
        <v>1343</v>
      </c>
      <c r="B635">
        <v>43</v>
      </c>
      <c r="C635" t="str" cm="1">
        <f t="array" ref="C635">_xlfn.IFS(B635&lt;=18,"0-18",B635&lt;=29,"19-29",B635&gt;=49,"30-49",B635&gt;=69,"50-69",TRUE,"70+")</f>
        <v>70+</v>
      </c>
      <c r="D635" t="s">
        <v>29</v>
      </c>
      <c r="E635" t="s">
        <v>44</v>
      </c>
      <c r="F635" t="s">
        <v>69</v>
      </c>
      <c r="G635" t="s">
        <v>32</v>
      </c>
      <c r="H635" t="s">
        <v>44</v>
      </c>
      <c r="I635" t="s">
        <v>1344</v>
      </c>
      <c r="J635" t="s">
        <v>101</v>
      </c>
      <c r="K635" s="2">
        <v>120.56</v>
      </c>
      <c r="L635">
        <v>5</v>
      </c>
      <c r="M635" t="s">
        <v>78</v>
      </c>
      <c r="N635">
        <v>4</v>
      </c>
      <c r="O635">
        <v>3</v>
      </c>
      <c r="P635">
        <v>2</v>
      </c>
      <c r="Q635" t="s">
        <v>36</v>
      </c>
      <c r="R635" t="s">
        <v>50</v>
      </c>
      <c r="S635">
        <v>2</v>
      </c>
      <c r="T635">
        <v>7</v>
      </c>
      <c r="U635" t="s">
        <v>59</v>
      </c>
      <c r="V635" t="s">
        <v>38</v>
      </c>
      <c r="W635" t="s">
        <v>61</v>
      </c>
      <c r="X635" s="3">
        <v>45927</v>
      </c>
      <c r="Y635" s="1" t="str">
        <f t="shared" si="18"/>
        <v>Sep</v>
      </c>
      <c r="Z635" s="1" t="str">
        <f t="shared" si="19"/>
        <v>2025</v>
      </c>
      <c r="AA635" t="b">
        <v>0</v>
      </c>
      <c r="AB635" t="b">
        <v>0</v>
      </c>
      <c r="AC635" t="s">
        <v>40</v>
      </c>
      <c r="AD635" t="s">
        <v>67</v>
      </c>
      <c r="AE635">
        <v>7</v>
      </c>
    </row>
    <row r="636" spans="1:31" x14ac:dyDescent="0.3">
      <c r="A636" t="s">
        <v>1345</v>
      </c>
      <c r="B636">
        <v>25</v>
      </c>
      <c r="C636" t="str" cm="1">
        <f t="array" ref="C636">_xlfn.IFS(B636&lt;=18,"0-18",B636&lt;=29,"19-29",B636&gt;=49,"30-49",B636&gt;=69,"50-69",TRUE,"70+")</f>
        <v>19-29</v>
      </c>
      <c r="D636" t="s">
        <v>43</v>
      </c>
      <c r="E636" t="s">
        <v>44</v>
      </c>
      <c r="F636" t="s">
        <v>76</v>
      </c>
      <c r="G636" t="s">
        <v>32</v>
      </c>
      <c r="H636" t="s">
        <v>30</v>
      </c>
      <c r="I636" t="s">
        <v>1346</v>
      </c>
      <c r="J636" t="s">
        <v>34</v>
      </c>
      <c r="K636" s="2">
        <v>320.94</v>
      </c>
      <c r="L636">
        <v>11</v>
      </c>
      <c r="M636" t="s">
        <v>78</v>
      </c>
      <c r="N636">
        <v>3</v>
      </c>
      <c r="O636">
        <v>3</v>
      </c>
      <c r="P636">
        <v>2</v>
      </c>
      <c r="Q636" t="s">
        <v>44</v>
      </c>
      <c r="R636" t="s">
        <v>50</v>
      </c>
      <c r="S636">
        <v>2</v>
      </c>
      <c r="T636">
        <v>10</v>
      </c>
      <c r="U636" t="s">
        <v>36</v>
      </c>
      <c r="V636" t="s">
        <v>60</v>
      </c>
      <c r="W636" t="s">
        <v>86</v>
      </c>
      <c r="X636" s="3">
        <v>45928</v>
      </c>
      <c r="Y636" s="1" t="str">
        <f t="shared" si="18"/>
        <v>Sep</v>
      </c>
      <c r="Z636" s="1" t="str">
        <f t="shared" si="19"/>
        <v>2025</v>
      </c>
      <c r="AA636" t="b">
        <v>0</v>
      </c>
      <c r="AB636" t="b">
        <v>0</v>
      </c>
      <c r="AC636" t="s">
        <v>62</v>
      </c>
      <c r="AD636" t="s">
        <v>41</v>
      </c>
      <c r="AE636">
        <v>10</v>
      </c>
    </row>
    <row r="637" spans="1:31" x14ac:dyDescent="0.3">
      <c r="A637" t="s">
        <v>1347</v>
      </c>
      <c r="B637">
        <v>37</v>
      </c>
      <c r="C637" t="str" cm="1">
        <f t="array" ref="C637">_xlfn.IFS(B637&lt;=18,"0-18",B637&lt;=29,"19-29",B637&gt;=49,"30-49",B637&gt;=69,"50-69",TRUE,"70+")</f>
        <v>70+</v>
      </c>
      <c r="D637" t="s">
        <v>29</v>
      </c>
      <c r="E637" t="s">
        <v>44</v>
      </c>
      <c r="F637" t="s">
        <v>76</v>
      </c>
      <c r="G637" t="s">
        <v>56</v>
      </c>
      <c r="H637" t="s">
        <v>30</v>
      </c>
      <c r="I637" t="s">
        <v>1348</v>
      </c>
      <c r="J637" t="s">
        <v>246</v>
      </c>
      <c r="K637" s="2">
        <v>217.72</v>
      </c>
      <c r="L637">
        <v>3</v>
      </c>
      <c r="M637" t="s">
        <v>48</v>
      </c>
      <c r="N637">
        <v>4</v>
      </c>
      <c r="O637">
        <v>4</v>
      </c>
      <c r="P637">
        <v>2</v>
      </c>
      <c r="Q637" t="s">
        <v>49</v>
      </c>
      <c r="R637" t="s">
        <v>50</v>
      </c>
      <c r="S637">
        <v>1</v>
      </c>
      <c r="T637">
        <v>4</v>
      </c>
      <c r="U637" t="s">
        <v>44</v>
      </c>
      <c r="V637" t="s">
        <v>38</v>
      </c>
      <c r="W637" t="s">
        <v>61</v>
      </c>
      <c r="X637" s="3">
        <v>45929</v>
      </c>
      <c r="Y637" s="1" t="str">
        <f t="shared" si="18"/>
        <v>Sep</v>
      </c>
      <c r="Z637" s="1" t="str">
        <f t="shared" si="19"/>
        <v>2025</v>
      </c>
      <c r="AA637" t="b">
        <v>0</v>
      </c>
      <c r="AB637" t="b">
        <v>1</v>
      </c>
      <c r="AC637" t="s">
        <v>52</v>
      </c>
      <c r="AD637" t="s">
        <v>41</v>
      </c>
      <c r="AE637">
        <v>14</v>
      </c>
    </row>
    <row r="638" spans="1:31" x14ac:dyDescent="0.3">
      <c r="A638" t="s">
        <v>1349</v>
      </c>
      <c r="B638">
        <v>25</v>
      </c>
      <c r="C638" t="str" cm="1">
        <f t="array" ref="C638">_xlfn.IFS(B638&lt;=18,"0-18",B638&lt;=29,"19-29",B638&gt;=49,"30-49",B638&gt;=69,"50-69",TRUE,"70+")</f>
        <v>19-29</v>
      </c>
      <c r="D638" t="s">
        <v>43</v>
      </c>
      <c r="E638" t="s">
        <v>44</v>
      </c>
      <c r="F638" t="s">
        <v>69</v>
      </c>
      <c r="G638" t="s">
        <v>32</v>
      </c>
      <c r="H638" t="s">
        <v>30</v>
      </c>
      <c r="I638" t="s">
        <v>1350</v>
      </c>
      <c r="J638" t="s">
        <v>65</v>
      </c>
      <c r="K638" s="2">
        <v>222.61</v>
      </c>
      <c r="L638">
        <v>3</v>
      </c>
      <c r="M638" t="s">
        <v>78</v>
      </c>
      <c r="N638">
        <v>1</v>
      </c>
      <c r="O638">
        <v>2</v>
      </c>
      <c r="P638">
        <v>1</v>
      </c>
      <c r="Q638" t="s">
        <v>49</v>
      </c>
      <c r="R638" t="s">
        <v>85</v>
      </c>
      <c r="S638">
        <v>1</v>
      </c>
      <c r="T638">
        <v>1</v>
      </c>
      <c r="U638" t="s">
        <v>36</v>
      </c>
      <c r="V638" t="s">
        <v>79</v>
      </c>
      <c r="W638" t="s">
        <v>51</v>
      </c>
      <c r="X638" s="3">
        <v>45930</v>
      </c>
      <c r="Y638" s="1" t="str">
        <f t="shared" si="18"/>
        <v>Sep</v>
      </c>
      <c r="Z638" s="1" t="str">
        <f t="shared" si="19"/>
        <v>2025</v>
      </c>
      <c r="AA638" t="b">
        <v>0</v>
      </c>
      <c r="AB638" t="b">
        <v>1</v>
      </c>
      <c r="AC638" t="s">
        <v>40</v>
      </c>
      <c r="AD638" t="s">
        <v>53</v>
      </c>
      <c r="AE638">
        <v>3</v>
      </c>
    </row>
    <row r="639" spans="1:31" x14ac:dyDescent="0.3">
      <c r="A639" t="s">
        <v>1351</v>
      </c>
      <c r="B639">
        <v>40</v>
      </c>
      <c r="C639" t="str" cm="1">
        <f t="array" ref="C639">_xlfn.IFS(B639&lt;=18,"0-18",B639&lt;=29,"19-29",B639&gt;=49,"30-49",B639&gt;=69,"50-69",TRUE,"70+")</f>
        <v>70+</v>
      </c>
      <c r="D639" t="s">
        <v>29</v>
      </c>
      <c r="E639" t="s">
        <v>30</v>
      </c>
      <c r="F639" t="s">
        <v>76</v>
      </c>
      <c r="G639" t="s">
        <v>45</v>
      </c>
      <c r="H639" t="s">
        <v>30</v>
      </c>
      <c r="I639" t="s">
        <v>1352</v>
      </c>
      <c r="J639" t="s">
        <v>188</v>
      </c>
      <c r="K639" s="2">
        <v>102.73</v>
      </c>
      <c r="L639">
        <v>3</v>
      </c>
      <c r="M639" t="s">
        <v>35</v>
      </c>
      <c r="N639">
        <v>4</v>
      </c>
      <c r="O639">
        <v>5</v>
      </c>
      <c r="P639">
        <v>0.3</v>
      </c>
      <c r="Q639" t="s">
        <v>36</v>
      </c>
      <c r="R639" t="s">
        <v>50</v>
      </c>
      <c r="S639">
        <v>2</v>
      </c>
      <c r="T639">
        <v>5</v>
      </c>
      <c r="U639" t="s">
        <v>36</v>
      </c>
      <c r="V639" t="s">
        <v>38</v>
      </c>
      <c r="W639" t="s">
        <v>61</v>
      </c>
      <c r="X639" s="3">
        <v>45931</v>
      </c>
      <c r="Y639" s="1" t="str">
        <f t="shared" si="18"/>
        <v>Oct</v>
      </c>
      <c r="Z639" s="1" t="str">
        <f t="shared" si="19"/>
        <v>2025</v>
      </c>
      <c r="AA639" t="b">
        <v>0</v>
      </c>
      <c r="AB639" t="b">
        <v>0</v>
      </c>
      <c r="AC639" t="s">
        <v>52</v>
      </c>
      <c r="AD639" t="s">
        <v>67</v>
      </c>
      <c r="AE639">
        <v>14</v>
      </c>
    </row>
    <row r="640" spans="1:31" x14ac:dyDescent="0.3">
      <c r="A640" t="s">
        <v>1353</v>
      </c>
      <c r="B640">
        <v>40</v>
      </c>
      <c r="C640" t="str" cm="1">
        <f t="array" ref="C640">_xlfn.IFS(B640&lt;=18,"0-18",B640&lt;=29,"19-29",B640&gt;=49,"30-49",B640&gt;=69,"50-69",TRUE,"70+")</f>
        <v>70+</v>
      </c>
      <c r="D640" t="s">
        <v>29</v>
      </c>
      <c r="E640" t="s">
        <v>30</v>
      </c>
      <c r="F640" t="s">
        <v>31</v>
      </c>
      <c r="G640" t="s">
        <v>32</v>
      </c>
      <c r="H640" t="s">
        <v>44</v>
      </c>
      <c r="I640" t="s">
        <v>1354</v>
      </c>
      <c r="J640" t="s">
        <v>90</v>
      </c>
      <c r="K640" s="2">
        <v>426.87</v>
      </c>
      <c r="L640">
        <v>2</v>
      </c>
      <c r="M640" t="s">
        <v>48</v>
      </c>
      <c r="N640">
        <v>4</v>
      </c>
      <c r="O640">
        <v>2</v>
      </c>
      <c r="P640">
        <v>2</v>
      </c>
      <c r="Q640" t="s">
        <v>36</v>
      </c>
      <c r="R640" t="s">
        <v>50</v>
      </c>
      <c r="S640">
        <v>0</v>
      </c>
      <c r="T640">
        <v>4</v>
      </c>
      <c r="U640" t="s">
        <v>49</v>
      </c>
      <c r="V640" t="s">
        <v>60</v>
      </c>
      <c r="W640" t="s">
        <v>61</v>
      </c>
      <c r="X640" s="3">
        <v>45932</v>
      </c>
      <c r="Y640" s="1" t="str">
        <f t="shared" si="18"/>
        <v>Oct</v>
      </c>
      <c r="Z640" s="1" t="str">
        <f t="shared" si="19"/>
        <v>2025</v>
      </c>
      <c r="AA640" t="b">
        <v>0</v>
      </c>
      <c r="AB640" t="b">
        <v>0</v>
      </c>
      <c r="AC640" t="s">
        <v>52</v>
      </c>
      <c r="AD640" t="s">
        <v>41</v>
      </c>
      <c r="AE640">
        <v>3</v>
      </c>
    </row>
    <row r="641" spans="1:31" x14ac:dyDescent="0.3">
      <c r="A641" t="s">
        <v>1355</v>
      </c>
      <c r="B641">
        <v>20</v>
      </c>
      <c r="C641" t="str" cm="1">
        <f t="array" ref="C641">_xlfn.IFS(B641&lt;=18,"0-18",B641&lt;=29,"19-29",B641&gt;=49,"30-49",B641&gt;=69,"50-69",TRUE,"70+")</f>
        <v>19-29</v>
      </c>
      <c r="D641" t="s">
        <v>29</v>
      </c>
      <c r="E641" t="s">
        <v>30</v>
      </c>
      <c r="F641" t="s">
        <v>69</v>
      </c>
      <c r="G641" t="s">
        <v>45</v>
      </c>
      <c r="H641" t="s">
        <v>30</v>
      </c>
      <c r="I641" t="s">
        <v>1356</v>
      </c>
      <c r="J641" t="s">
        <v>246</v>
      </c>
      <c r="K641" s="2">
        <v>473.28</v>
      </c>
      <c r="L641">
        <v>5</v>
      </c>
      <c r="M641" t="s">
        <v>78</v>
      </c>
      <c r="N641">
        <v>5</v>
      </c>
      <c r="O641">
        <v>5</v>
      </c>
      <c r="P641">
        <v>1</v>
      </c>
      <c r="Q641" t="s">
        <v>49</v>
      </c>
      <c r="R641" t="s">
        <v>85</v>
      </c>
      <c r="S641">
        <v>1</v>
      </c>
      <c r="T641">
        <v>9</v>
      </c>
      <c r="U641" t="s">
        <v>36</v>
      </c>
      <c r="V641" t="s">
        <v>60</v>
      </c>
      <c r="W641" t="s">
        <v>86</v>
      </c>
      <c r="X641" s="3">
        <v>45933</v>
      </c>
      <c r="Y641" s="1" t="str">
        <f t="shared" si="18"/>
        <v>Oct</v>
      </c>
      <c r="Z641" s="1" t="str">
        <f t="shared" si="19"/>
        <v>2025</v>
      </c>
      <c r="AA641" t="b">
        <v>0</v>
      </c>
      <c r="AB641" t="b">
        <v>0</v>
      </c>
      <c r="AC641" t="s">
        <v>40</v>
      </c>
      <c r="AD641" t="s">
        <v>53</v>
      </c>
      <c r="AE641">
        <v>13</v>
      </c>
    </row>
    <row r="642" spans="1:31" x14ac:dyDescent="0.3">
      <c r="A642" t="s">
        <v>1357</v>
      </c>
      <c r="B642">
        <v>39</v>
      </c>
      <c r="C642" t="str" cm="1">
        <f t="array" ref="C642">_xlfn.IFS(B642&lt;=18,"0-18",B642&lt;=29,"19-29",B642&gt;=49,"30-49",B642&gt;=69,"50-69",TRUE,"70+")</f>
        <v>70+</v>
      </c>
      <c r="D642" t="s">
        <v>43</v>
      </c>
      <c r="E642" t="s">
        <v>44</v>
      </c>
      <c r="F642" t="s">
        <v>69</v>
      </c>
      <c r="G642" t="s">
        <v>32</v>
      </c>
      <c r="H642" t="s">
        <v>44</v>
      </c>
      <c r="I642" t="s">
        <v>1358</v>
      </c>
      <c r="J642" t="s">
        <v>246</v>
      </c>
      <c r="K642" s="2">
        <v>446.03</v>
      </c>
      <c r="L642">
        <v>9</v>
      </c>
      <c r="M642" t="s">
        <v>48</v>
      </c>
      <c r="N642">
        <v>2</v>
      </c>
      <c r="O642">
        <v>1</v>
      </c>
      <c r="P642">
        <v>2</v>
      </c>
      <c r="Q642" t="s">
        <v>59</v>
      </c>
      <c r="R642" t="s">
        <v>37</v>
      </c>
      <c r="S642">
        <v>2</v>
      </c>
      <c r="T642">
        <v>7</v>
      </c>
      <c r="U642" t="s">
        <v>36</v>
      </c>
      <c r="V642" t="s">
        <v>38</v>
      </c>
      <c r="W642" t="s">
        <v>66</v>
      </c>
      <c r="X642" s="3">
        <v>45934</v>
      </c>
      <c r="Y642" s="1" t="str">
        <f t="shared" si="18"/>
        <v>Oct</v>
      </c>
      <c r="Z642" s="1" t="str">
        <f t="shared" si="19"/>
        <v>2025</v>
      </c>
      <c r="AA642" t="b">
        <v>1</v>
      </c>
      <c r="AB642" t="b">
        <v>1</v>
      </c>
      <c r="AC642" t="s">
        <v>40</v>
      </c>
      <c r="AD642" t="s">
        <v>67</v>
      </c>
      <c r="AE642">
        <v>12</v>
      </c>
    </row>
    <row r="643" spans="1:31" x14ac:dyDescent="0.3">
      <c r="A643" t="s">
        <v>1359</v>
      </c>
      <c r="B643">
        <v>19</v>
      </c>
      <c r="C643" t="str" cm="1">
        <f t="array" ref="C643">_xlfn.IFS(B643&lt;=18,"0-18",B643&lt;=29,"19-29",B643&gt;=49,"30-49",B643&gt;=69,"50-69",TRUE,"70+")</f>
        <v>19-29</v>
      </c>
      <c r="D643" t="s">
        <v>29</v>
      </c>
      <c r="E643" t="s">
        <v>44</v>
      </c>
      <c r="F643" t="s">
        <v>55</v>
      </c>
      <c r="G643" t="s">
        <v>32</v>
      </c>
      <c r="H643" t="s">
        <v>44</v>
      </c>
      <c r="I643" t="s">
        <v>1360</v>
      </c>
      <c r="J643" t="s">
        <v>135</v>
      </c>
      <c r="K643" s="2">
        <v>287.95</v>
      </c>
      <c r="L643">
        <v>3</v>
      </c>
      <c r="M643" t="s">
        <v>35</v>
      </c>
      <c r="N643">
        <v>2</v>
      </c>
      <c r="O643">
        <v>3</v>
      </c>
      <c r="P643">
        <v>2</v>
      </c>
      <c r="Q643" t="s">
        <v>36</v>
      </c>
      <c r="R643" t="s">
        <v>85</v>
      </c>
      <c r="S643">
        <v>2</v>
      </c>
      <c r="T643">
        <v>7</v>
      </c>
      <c r="U643" t="s">
        <v>44</v>
      </c>
      <c r="V643" t="s">
        <v>38</v>
      </c>
      <c r="W643" t="s">
        <v>51</v>
      </c>
      <c r="X643" s="3">
        <v>45935</v>
      </c>
      <c r="Y643" s="1" t="str">
        <f t="shared" ref="Y643:Y706" si="20">TEXT(X643,"mmm")</f>
        <v>Oct</v>
      </c>
      <c r="Z643" s="1" t="str">
        <f t="shared" ref="Z643:Z706" si="21">TEXT(X643,"yyyy")</f>
        <v>2025</v>
      </c>
      <c r="AA643" t="b">
        <v>1</v>
      </c>
      <c r="AB643" t="b">
        <v>1</v>
      </c>
      <c r="AC643" t="s">
        <v>74</v>
      </c>
      <c r="AD643" t="s">
        <v>53</v>
      </c>
      <c r="AE643">
        <v>11</v>
      </c>
    </row>
    <row r="644" spans="1:31" x14ac:dyDescent="0.3">
      <c r="A644" t="s">
        <v>1361</v>
      </c>
      <c r="B644">
        <v>31</v>
      </c>
      <c r="C644" t="str" cm="1">
        <f t="array" ref="C644">_xlfn.IFS(B644&lt;=18,"0-18",B644&lt;=29,"19-29",B644&gt;=49,"30-49",B644&gt;=69,"50-69",TRUE,"70+")</f>
        <v>70+</v>
      </c>
      <c r="D644" t="s">
        <v>29</v>
      </c>
      <c r="E644" t="s">
        <v>30</v>
      </c>
      <c r="F644" t="s">
        <v>69</v>
      </c>
      <c r="G644" t="s">
        <v>56</v>
      </c>
      <c r="H644" t="s">
        <v>44</v>
      </c>
      <c r="I644" t="s">
        <v>1362</v>
      </c>
      <c r="J644" t="s">
        <v>98</v>
      </c>
      <c r="K644" s="2">
        <v>132.52000000000001</v>
      </c>
      <c r="L644">
        <v>6</v>
      </c>
      <c r="M644" t="s">
        <v>35</v>
      </c>
      <c r="N644">
        <v>1</v>
      </c>
      <c r="O644">
        <v>2</v>
      </c>
      <c r="P644">
        <v>0</v>
      </c>
      <c r="Q644" t="s">
        <v>49</v>
      </c>
      <c r="R644" t="s">
        <v>37</v>
      </c>
      <c r="S644">
        <v>2</v>
      </c>
      <c r="T644">
        <v>10</v>
      </c>
      <c r="U644" t="s">
        <v>59</v>
      </c>
      <c r="V644" t="s">
        <v>60</v>
      </c>
      <c r="W644" t="s">
        <v>61</v>
      </c>
      <c r="X644" s="3">
        <v>45936</v>
      </c>
      <c r="Y644" s="1" t="str">
        <f t="shared" si="20"/>
        <v>Oct</v>
      </c>
      <c r="Z644" s="1" t="str">
        <f t="shared" si="21"/>
        <v>2025</v>
      </c>
      <c r="AA644" t="b">
        <v>1</v>
      </c>
      <c r="AB644" t="b">
        <v>1</v>
      </c>
      <c r="AC644" t="s">
        <v>62</v>
      </c>
      <c r="AD644" t="s">
        <v>67</v>
      </c>
      <c r="AE644">
        <v>12</v>
      </c>
    </row>
    <row r="645" spans="1:31" x14ac:dyDescent="0.3">
      <c r="A645" t="s">
        <v>1363</v>
      </c>
      <c r="B645">
        <v>36</v>
      </c>
      <c r="C645" t="str" cm="1">
        <f t="array" ref="C645">_xlfn.IFS(B645&lt;=18,"0-18",B645&lt;=29,"19-29",B645&gt;=49,"30-49",B645&gt;=69,"50-69",TRUE,"70+")</f>
        <v>70+</v>
      </c>
      <c r="D645" t="s">
        <v>29</v>
      </c>
      <c r="E645" t="s">
        <v>30</v>
      </c>
      <c r="F645" t="s">
        <v>31</v>
      </c>
      <c r="G645" t="s">
        <v>32</v>
      </c>
      <c r="H645" t="s">
        <v>30</v>
      </c>
      <c r="I645" t="s">
        <v>1364</v>
      </c>
      <c r="J645" t="s">
        <v>90</v>
      </c>
      <c r="K645" s="2">
        <v>379.2</v>
      </c>
      <c r="L645">
        <v>7</v>
      </c>
      <c r="M645" t="s">
        <v>78</v>
      </c>
      <c r="N645">
        <v>5</v>
      </c>
      <c r="O645">
        <v>1</v>
      </c>
      <c r="P645">
        <v>0</v>
      </c>
      <c r="Q645" t="s">
        <v>49</v>
      </c>
      <c r="R645" t="s">
        <v>85</v>
      </c>
      <c r="S645">
        <v>2</v>
      </c>
      <c r="T645">
        <v>2</v>
      </c>
      <c r="U645" t="s">
        <v>44</v>
      </c>
      <c r="V645" t="s">
        <v>60</v>
      </c>
      <c r="W645" t="s">
        <v>61</v>
      </c>
      <c r="X645" s="3">
        <v>45937</v>
      </c>
      <c r="Y645" s="1" t="str">
        <f t="shared" si="20"/>
        <v>Oct</v>
      </c>
      <c r="Z645" s="1" t="str">
        <f t="shared" si="21"/>
        <v>2025</v>
      </c>
      <c r="AA645" t="b">
        <v>1</v>
      </c>
      <c r="AB645" t="b">
        <v>1</v>
      </c>
      <c r="AC645" t="s">
        <v>40</v>
      </c>
      <c r="AD645" t="s">
        <v>41</v>
      </c>
      <c r="AE645">
        <v>7</v>
      </c>
    </row>
    <row r="646" spans="1:31" x14ac:dyDescent="0.3">
      <c r="A646" t="s">
        <v>1365</v>
      </c>
      <c r="B646">
        <v>31</v>
      </c>
      <c r="C646" t="str" cm="1">
        <f t="array" ref="C646">_xlfn.IFS(B646&lt;=18,"0-18",B646&lt;=29,"19-29",B646&gt;=49,"30-49",B646&gt;=69,"50-69",TRUE,"70+")</f>
        <v>70+</v>
      </c>
      <c r="D646" t="s">
        <v>148</v>
      </c>
      <c r="E646" t="s">
        <v>30</v>
      </c>
      <c r="F646" t="s">
        <v>31</v>
      </c>
      <c r="G646" t="s">
        <v>45</v>
      </c>
      <c r="H646" t="s">
        <v>44</v>
      </c>
      <c r="I646" t="s">
        <v>1366</v>
      </c>
      <c r="J646" t="s">
        <v>158</v>
      </c>
      <c r="K646" s="2">
        <v>447.53</v>
      </c>
      <c r="L646">
        <v>4</v>
      </c>
      <c r="M646" t="s">
        <v>78</v>
      </c>
      <c r="N646">
        <v>2</v>
      </c>
      <c r="O646">
        <v>1</v>
      </c>
      <c r="P646">
        <v>2</v>
      </c>
      <c r="Q646" t="s">
        <v>44</v>
      </c>
      <c r="R646" t="s">
        <v>37</v>
      </c>
      <c r="S646">
        <v>1</v>
      </c>
      <c r="T646">
        <v>6</v>
      </c>
      <c r="U646" t="s">
        <v>36</v>
      </c>
      <c r="V646" t="s">
        <v>60</v>
      </c>
      <c r="W646" t="s">
        <v>51</v>
      </c>
      <c r="X646" s="3">
        <v>45938</v>
      </c>
      <c r="Y646" s="1" t="str">
        <f t="shared" si="20"/>
        <v>Oct</v>
      </c>
      <c r="Z646" s="1" t="str">
        <f t="shared" si="21"/>
        <v>2025</v>
      </c>
      <c r="AA646" t="b">
        <v>1</v>
      </c>
      <c r="AB646" t="b">
        <v>1</v>
      </c>
      <c r="AC646" t="s">
        <v>52</v>
      </c>
      <c r="AD646" t="s">
        <v>41</v>
      </c>
      <c r="AE646">
        <v>3</v>
      </c>
    </row>
    <row r="647" spans="1:31" x14ac:dyDescent="0.3">
      <c r="A647" t="s">
        <v>1367</v>
      </c>
      <c r="B647">
        <v>45</v>
      </c>
      <c r="C647" t="str" cm="1">
        <f t="array" ref="C647">_xlfn.IFS(B647&lt;=18,"0-18",B647&lt;=29,"19-29",B647&gt;=49,"30-49",B647&gt;=69,"50-69",TRUE,"70+")</f>
        <v>70+</v>
      </c>
      <c r="D647" t="s">
        <v>29</v>
      </c>
      <c r="E647" t="s">
        <v>44</v>
      </c>
      <c r="F647" t="s">
        <v>76</v>
      </c>
      <c r="G647" t="s">
        <v>32</v>
      </c>
      <c r="H647" t="s">
        <v>30</v>
      </c>
      <c r="I647" t="s">
        <v>1368</v>
      </c>
      <c r="J647" t="s">
        <v>58</v>
      </c>
      <c r="K647" s="2">
        <v>138.44</v>
      </c>
      <c r="L647">
        <v>4</v>
      </c>
      <c r="M647" t="s">
        <v>35</v>
      </c>
      <c r="N647">
        <v>5</v>
      </c>
      <c r="O647">
        <v>1</v>
      </c>
      <c r="P647">
        <v>1</v>
      </c>
      <c r="Q647" t="s">
        <v>36</v>
      </c>
      <c r="R647" t="s">
        <v>85</v>
      </c>
      <c r="S647">
        <v>1</v>
      </c>
      <c r="T647">
        <v>2</v>
      </c>
      <c r="U647" t="s">
        <v>36</v>
      </c>
      <c r="V647" t="s">
        <v>60</v>
      </c>
      <c r="W647" t="s">
        <v>86</v>
      </c>
      <c r="X647" s="3">
        <v>45939</v>
      </c>
      <c r="Y647" s="1" t="str">
        <f t="shared" si="20"/>
        <v>Oct</v>
      </c>
      <c r="Z647" s="1" t="str">
        <f t="shared" si="21"/>
        <v>2025</v>
      </c>
      <c r="AA647" t="b">
        <v>0</v>
      </c>
      <c r="AB647" t="b">
        <v>1</v>
      </c>
      <c r="AC647" t="s">
        <v>52</v>
      </c>
      <c r="AD647" t="s">
        <v>67</v>
      </c>
      <c r="AE647">
        <v>1</v>
      </c>
    </row>
    <row r="648" spans="1:31" x14ac:dyDescent="0.3">
      <c r="A648" t="s">
        <v>1369</v>
      </c>
      <c r="B648">
        <v>45</v>
      </c>
      <c r="C648" t="str" cm="1">
        <f t="array" ref="C648">_xlfn.IFS(B648&lt;=18,"0-18",B648&lt;=29,"19-29",B648&gt;=49,"30-49",B648&gt;=69,"50-69",TRUE,"70+")</f>
        <v>70+</v>
      </c>
      <c r="D648" t="s">
        <v>274</v>
      </c>
      <c r="E648" t="s">
        <v>30</v>
      </c>
      <c r="F648" t="s">
        <v>55</v>
      </c>
      <c r="G648" t="s">
        <v>45</v>
      </c>
      <c r="H648" t="s">
        <v>30</v>
      </c>
      <c r="I648" t="s">
        <v>1370</v>
      </c>
      <c r="J648" t="s">
        <v>65</v>
      </c>
      <c r="K648" s="2">
        <v>440.62</v>
      </c>
      <c r="L648">
        <v>8</v>
      </c>
      <c r="M648" t="s">
        <v>35</v>
      </c>
      <c r="N648">
        <v>2</v>
      </c>
      <c r="O648">
        <v>2</v>
      </c>
      <c r="P648">
        <v>2</v>
      </c>
      <c r="Q648" t="s">
        <v>36</v>
      </c>
      <c r="R648" t="s">
        <v>85</v>
      </c>
      <c r="S648">
        <v>1</v>
      </c>
      <c r="T648">
        <v>3</v>
      </c>
      <c r="U648" t="s">
        <v>49</v>
      </c>
      <c r="V648" t="s">
        <v>38</v>
      </c>
      <c r="W648" t="s">
        <v>61</v>
      </c>
      <c r="X648" s="3">
        <v>45940</v>
      </c>
      <c r="Y648" s="1" t="str">
        <f t="shared" si="20"/>
        <v>Oct</v>
      </c>
      <c r="Z648" s="1" t="str">
        <f t="shared" si="21"/>
        <v>2025</v>
      </c>
      <c r="AA648" t="b">
        <v>1</v>
      </c>
      <c r="AB648" t="b">
        <v>1</v>
      </c>
      <c r="AC648" t="s">
        <v>40</v>
      </c>
      <c r="AD648" t="s">
        <v>67</v>
      </c>
      <c r="AE648">
        <v>6</v>
      </c>
    </row>
    <row r="649" spans="1:31" x14ac:dyDescent="0.3">
      <c r="A649" t="s">
        <v>1371</v>
      </c>
      <c r="B649">
        <v>23</v>
      </c>
      <c r="C649" t="str" cm="1">
        <f t="array" ref="C649">_xlfn.IFS(B649&lt;=18,"0-18",B649&lt;=29,"19-29",B649&gt;=49,"30-49",B649&gt;=69,"50-69",TRUE,"70+")</f>
        <v>19-29</v>
      </c>
      <c r="D649" t="s">
        <v>29</v>
      </c>
      <c r="E649" t="s">
        <v>44</v>
      </c>
      <c r="F649" t="s">
        <v>76</v>
      </c>
      <c r="G649" t="s">
        <v>56</v>
      </c>
      <c r="H649" t="s">
        <v>44</v>
      </c>
      <c r="I649" t="s">
        <v>1372</v>
      </c>
      <c r="J649" t="s">
        <v>90</v>
      </c>
      <c r="K649" s="2">
        <v>145.97999999999999</v>
      </c>
      <c r="L649">
        <v>4</v>
      </c>
      <c r="M649" t="s">
        <v>48</v>
      </c>
      <c r="N649">
        <v>1</v>
      </c>
      <c r="O649">
        <v>2</v>
      </c>
      <c r="P649">
        <v>1</v>
      </c>
      <c r="Q649" t="s">
        <v>59</v>
      </c>
      <c r="R649" t="s">
        <v>85</v>
      </c>
      <c r="S649">
        <v>2</v>
      </c>
      <c r="T649">
        <v>5</v>
      </c>
      <c r="U649" t="s">
        <v>44</v>
      </c>
      <c r="V649" t="s">
        <v>79</v>
      </c>
      <c r="W649" t="s">
        <v>66</v>
      </c>
      <c r="X649" s="3">
        <v>45941</v>
      </c>
      <c r="Y649" s="1" t="str">
        <f t="shared" si="20"/>
        <v>Oct</v>
      </c>
      <c r="Z649" s="1" t="str">
        <f t="shared" si="21"/>
        <v>2025</v>
      </c>
      <c r="AA649" t="b">
        <v>0</v>
      </c>
      <c r="AB649" t="b">
        <v>0</v>
      </c>
      <c r="AC649" t="s">
        <v>40</v>
      </c>
      <c r="AD649" t="s">
        <v>41</v>
      </c>
      <c r="AE649">
        <v>1</v>
      </c>
    </row>
    <row r="650" spans="1:31" x14ac:dyDescent="0.3">
      <c r="A650" t="s">
        <v>1373</v>
      </c>
      <c r="B650">
        <v>28</v>
      </c>
      <c r="C650" t="str" cm="1">
        <f t="array" ref="C650">_xlfn.IFS(B650&lt;=18,"0-18",B650&lt;=29,"19-29",B650&gt;=49,"30-49",B650&gt;=69,"50-69",TRUE,"70+")</f>
        <v>19-29</v>
      </c>
      <c r="D650" t="s">
        <v>43</v>
      </c>
      <c r="E650" t="s">
        <v>30</v>
      </c>
      <c r="F650" t="s">
        <v>31</v>
      </c>
      <c r="G650" t="s">
        <v>45</v>
      </c>
      <c r="H650" t="s">
        <v>44</v>
      </c>
      <c r="I650" t="s">
        <v>1374</v>
      </c>
      <c r="J650" t="s">
        <v>120</v>
      </c>
      <c r="K650" s="2">
        <v>405.66</v>
      </c>
      <c r="L650">
        <v>11</v>
      </c>
      <c r="M650" t="s">
        <v>78</v>
      </c>
      <c r="N650">
        <v>5</v>
      </c>
      <c r="O650">
        <v>2</v>
      </c>
      <c r="P650">
        <v>1</v>
      </c>
      <c r="Q650" t="s">
        <v>49</v>
      </c>
      <c r="R650" t="s">
        <v>37</v>
      </c>
      <c r="S650">
        <v>1</v>
      </c>
      <c r="T650">
        <v>3</v>
      </c>
      <c r="U650" t="s">
        <v>44</v>
      </c>
      <c r="V650" t="s">
        <v>38</v>
      </c>
      <c r="W650" t="s">
        <v>86</v>
      </c>
      <c r="X650" s="3">
        <v>45942</v>
      </c>
      <c r="Y650" s="1" t="str">
        <f t="shared" si="20"/>
        <v>Oct</v>
      </c>
      <c r="Z650" s="1" t="str">
        <f t="shared" si="21"/>
        <v>2025</v>
      </c>
      <c r="AA650" t="b">
        <v>1</v>
      </c>
      <c r="AB650" t="b">
        <v>0</v>
      </c>
      <c r="AC650" t="s">
        <v>62</v>
      </c>
      <c r="AD650" t="s">
        <v>67</v>
      </c>
      <c r="AE650">
        <v>11</v>
      </c>
    </row>
    <row r="651" spans="1:31" x14ac:dyDescent="0.3">
      <c r="A651" t="s">
        <v>1375</v>
      </c>
      <c r="B651">
        <v>26</v>
      </c>
      <c r="C651" t="str" cm="1">
        <f t="array" ref="C651">_xlfn.IFS(B651&lt;=18,"0-18",B651&lt;=29,"19-29",B651&gt;=49,"30-49",B651&gt;=69,"50-69",TRUE,"70+")</f>
        <v>19-29</v>
      </c>
      <c r="D651" t="s">
        <v>29</v>
      </c>
      <c r="E651" t="s">
        <v>44</v>
      </c>
      <c r="F651" t="s">
        <v>55</v>
      </c>
      <c r="G651" t="s">
        <v>45</v>
      </c>
      <c r="H651" t="s">
        <v>30</v>
      </c>
      <c r="I651" t="s">
        <v>1376</v>
      </c>
      <c r="J651" t="s">
        <v>183</v>
      </c>
      <c r="K651" s="2">
        <v>419.98</v>
      </c>
      <c r="L651">
        <v>7</v>
      </c>
      <c r="M651" t="s">
        <v>48</v>
      </c>
      <c r="N651">
        <v>4</v>
      </c>
      <c r="O651">
        <v>4</v>
      </c>
      <c r="P651">
        <v>0</v>
      </c>
      <c r="Q651" t="s">
        <v>36</v>
      </c>
      <c r="R651" t="s">
        <v>85</v>
      </c>
      <c r="S651">
        <v>0</v>
      </c>
      <c r="T651">
        <v>10</v>
      </c>
      <c r="U651" t="s">
        <v>49</v>
      </c>
      <c r="V651" t="s">
        <v>79</v>
      </c>
      <c r="W651" t="s">
        <v>51</v>
      </c>
      <c r="X651" s="3">
        <v>45943</v>
      </c>
      <c r="Y651" s="1" t="str">
        <f t="shared" si="20"/>
        <v>Oct</v>
      </c>
      <c r="Z651" s="1" t="str">
        <f t="shared" si="21"/>
        <v>2025</v>
      </c>
      <c r="AA651" t="b">
        <v>1</v>
      </c>
      <c r="AB651" t="b">
        <v>1</v>
      </c>
      <c r="AC651" t="s">
        <v>62</v>
      </c>
      <c r="AD651" t="s">
        <v>41</v>
      </c>
      <c r="AE651">
        <v>14</v>
      </c>
    </row>
    <row r="652" spans="1:31" x14ac:dyDescent="0.3">
      <c r="A652" t="s">
        <v>1377</v>
      </c>
      <c r="B652">
        <v>50</v>
      </c>
      <c r="C652" t="str" cm="1">
        <f t="array" ref="C652">_xlfn.IFS(B652&lt;=18,"0-18",B652&lt;=29,"19-29",B652&gt;=49,"30-49",B652&gt;=69,"50-69",TRUE,"70+")</f>
        <v>30-49</v>
      </c>
      <c r="D652" t="s">
        <v>29</v>
      </c>
      <c r="E652" t="s">
        <v>30</v>
      </c>
      <c r="F652" t="s">
        <v>76</v>
      </c>
      <c r="G652" t="s">
        <v>56</v>
      </c>
      <c r="H652" t="s">
        <v>44</v>
      </c>
      <c r="I652" t="s">
        <v>1378</v>
      </c>
      <c r="J652" t="s">
        <v>135</v>
      </c>
      <c r="K652" s="2">
        <v>260.14</v>
      </c>
      <c r="L652">
        <v>5</v>
      </c>
      <c r="M652" t="s">
        <v>78</v>
      </c>
      <c r="N652">
        <v>3</v>
      </c>
      <c r="O652">
        <v>2</v>
      </c>
      <c r="P652">
        <v>1</v>
      </c>
      <c r="Q652" t="s">
        <v>36</v>
      </c>
      <c r="R652" t="s">
        <v>37</v>
      </c>
      <c r="S652">
        <v>1</v>
      </c>
      <c r="T652">
        <v>7</v>
      </c>
      <c r="U652" t="s">
        <v>59</v>
      </c>
      <c r="V652" t="s">
        <v>60</v>
      </c>
      <c r="W652" t="s">
        <v>66</v>
      </c>
      <c r="X652" s="3">
        <v>45944</v>
      </c>
      <c r="Y652" s="1" t="str">
        <f t="shared" si="20"/>
        <v>Oct</v>
      </c>
      <c r="Z652" s="1" t="str">
        <f t="shared" si="21"/>
        <v>2025</v>
      </c>
      <c r="AA652" t="b">
        <v>1</v>
      </c>
      <c r="AB652" t="b">
        <v>1</v>
      </c>
      <c r="AC652" t="s">
        <v>40</v>
      </c>
      <c r="AD652" t="s">
        <v>53</v>
      </c>
      <c r="AE652">
        <v>7</v>
      </c>
    </row>
    <row r="653" spans="1:31" x14ac:dyDescent="0.3">
      <c r="A653" t="s">
        <v>1379</v>
      </c>
      <c r="B653">
        <v>36</v>
      </c>
      <c r="C653" t="str" cm="1">
        <f t="array" ref="C653">_xlfn.IFS(B653&lt;=18,"0-18",B653&lt;=29,"19-29",B653&gt;=49,"30-49",B653&gt;=69,"50-69",TRUE,"70+")</f>
        <v>70+</v>
      </c>
      <c r="D653" t="s">
        <v>29</v>
      </c>
      <c r="E653" t="s">
        <v>30</v>
      </c>
      <c r="F653" t="s">
        <v>69</v>
      </c>
      <c r="G653" t="s">
        <v>32</v>
      </c>
      <c r="H653" t="s">
        <v>44</v>
      </c>
      <c r="I653" t="s">
        <v>1380</v>
      </c>
      <c r="J653" t="s">
        <v>135</v>
      </c>
      <c r="K653" s="2">
        <v>368.91</v>
      </c>
      <c r="L653">
        <v>10</v>
      </c>
      <c r="M653" t="s">
        <v>48</v>
      </c>
      <c r="N653">
        <v>1</v>
      </c>
      <c r="O653">
        <v>3</v>
      </c>
      <c r="P653">
        <v>2</v>
      </c>
      <c r="Q653" t="s">
        <v>44</v>
      </c>
      <c r="R653" t="s">
        <v>50</v>
      </c>
      <c r="S653">
        <v>2</v>
      </c>
      <c r="T653">
        <v>10</v>
      </c>
      <c r="U653" t="s">
        <v>44</v>
      </c>
      <c r="V653" t="s">
        <v>79</v>
      </c>
      <c r="W653" t="s">
        <v>61</v>
      </c>
      <c r="X653" s="3">
        <v>45945</v>
      </c>
      <c r="Y653" s="1" t="str">
        <f t="shared" si="20"/>
        <v>Oct</v>
      </c>
      <c r="Z653" s="1" t="str">
        <f t="shared" si="21"/>
        <v>2025</v>
      </c>
      <c r="AA653" t="b">
        <v>0</v>
      </c>
      <c r="AB653" t="b">
        <v>0</v>
      </c>
      <c r="AC653" t="s">
        <v>40</v>
      </c>
      <c r="AD653" t="s">
        <v>41</v>
      </c>
      <c r="AE653">
        <v>7</v>
      </c>
    </row>
    <row r="654" spans="1:31" x14ac:dyDescent="0.3">
      <c r="A654" t="s">
        <v>1381</v>
      </c>
      <c r="B654">
        <v>32</v>
      </c>
      <c r="C654" t="str" cm="1">
        <f t="array" ref="C654">_xlfn.IFS(B654&lt;=18,"0-18",B654&lt;=29,"19-29",B654&gt;=49,"30-49",B654&gt;=69,"50-69",TRUE,"70+")</f>
        <v>70+</v>
      </c>
      <c r="D654" t="s">
        <v>43</v>
      </c>
      <c r="E654" t="s">
        <v>30</v>
      </c>
      <c r="F654" t="s">
        <v>69</v>
      </c>
      <c r="G654" t="s">
        <v>56</v>
      </c>
      <c r="H654" t="s">
        <v>30</v>
      </c>
      <c r="I654" t="s">
        <v>1382</v>
      </c>
      <c r="J654" t="s">
        <v>65</v>
      </c>
      <c r="K654" s="2">
        <v>100.32</v>
      </c>
      <c r="L654">
        <v>2</v>
      </c>
      <c r="M654" t="s">
        <v>48</v>
      </c>
      <c r="N654">
        <v>5</v>
      </c>
      <c r="O654">
        <v>1</v>
      </c>
      <c r="P654">
        <v>1</v>
      </c>
      <c r="Q654" t="s">
        <v>59</v>
      </c>
      <c r="R654" t="s">
        <v>85</v>
      </c>
      <c r="S654">
        <v>0</v>
      </c>
      <c r="T654">
        <v>1</v>
      </c>
      <c r="U654" t="s">
        <v>49</v>
      </c>
      <c r="V654" t="s">
        <v>38</v>
      </c>
      <c r="W654" t="s">
        <v>39</v>
      </c>
      <c r="X654" s="3">
        <v>45946</v>
      </c>
      <c r="Y654" s="1" t="str">
        <f t="shared" si="20"/>
        <v>Oct</v>
      </c>
      <c r="Z654" s="1" t="str">
        <f t="shared" si="21"/>
        <v>2025</v>
      </c>
      <c r="AA654" t="b">
        <v>0</v>
      </c>
      <c r="AB654" t="b">
        <v>1</v>
      </c>
      <c r="AC654" t="s">
        <v>74</v>
      </c>
      <c r="AD654" t="s">
        <v>67</v>
      </c>
      <c r="AE654">
        <v>8</v>
      </c>
    </row>
    <row r="655" spans="1:31" x14ac:dyDescent="0.3">
      <c r="A655" t="s">
        <v>1383</v>
      </c>
      <c r="B655">
        <v>34</v>
      </c>
      <c r="C655" t="str" cm="1">
        <f t="array" ref="C655">_xlfn.IFS(B655&lt;=18,"0-18",B655&lt;=29,"19-29",B655&gt;=49,"30-49",B655&gt;=69,"50-69",TRUE,"70+")</f>
        <v>70+</v>
      </c>
      <c r="D655" t="s">
        <v>43</v>
      </c>
      <c r="E655" t="s">
        <v>44</v>
      </c>
      <c r="F655" t="s">
        <v>31</v>
      </c>
      <c r="G655" t="s">
        <v>56</v>
      </c>
      <c r="H655" t="s">
        <v>30</v>
      </c>
      <c r="I655" t="s">
        <v>1384</v>
      </c>
      <c r="J655" t="s">
        <v>47</v>
      </c>
      <c r="K655" s="2">
        <v>107.82</v>
      </c>
      <c r="L655">
        <v>7</v>
      </c>
      <c r="M655" t="s">
        <v>35</v>
      </c>
      <c r="N655">
        <v>5</v>
      </c>
      <c r="O655">
        <v>3</v>
      </c>
      <c r="P655">
        <v>2</v>
      </c>
      <c r="Q655" t="s">
        <v>44</v>
      </c>
      <c r="R655" t="s">
        <v>85</v>
      </c>
      <c r="S655">
        <v>2</v>
      </c>
      <c r="T655">
        <v>10</v>
      </c>
      <c r="U655" t="s">
        <v>59</v>
      </c>
      <c r="V655" t="s">
        <v>60</v>
      </c>
      <c r="W655" t="s">
        <v>39</v>
      </c>
      <c r="X655" s="3">
        <v>45947</v>
      </c>
      <c r="Y655" s="1" t="str">
        <f t="shared" si="20"/>
        <v>Oct</v>
      </c>
      <c r="Z655" s="1" t="str">
        <f t="shared" si="21"/>
        <v>2025</v>
      </c>
      <c r="AA655" t="b">
        <v>0</v>
      </c>
      <c r="AB655" t="b">
        <v>1</v>
      </c>
      <c r="AC655" t="s">
        <v>52</v>
      </c>
      <c r="AD655" t="s">
        <v>41</v>
      </c>
      <c r="AE655">
        <v>2</v>
      </c>
    </row>
    <row r="656" spans="1:31" x14ac:dyDescent="0.3">
      <c r="A656" t="s">
        <v>1385</v>
      </c>
      <c r="B656">
        <v>50</v>
      </c>
      <c r="C656" t="str" cm="1">
        <f t="array" ref="C656">_xlfn.IFS(B656&lt;=18,"0-18",B656&lt;=29,"19-29",B656&gt;=49,"30-49",B656&gt;=69,"50-69",TRUE,"70+")</f>
        <v>30-49</v>
      </c>
      <c r="D656" t="s">
        <v>43</v>
      </c>
      <c r="E656" t="s">
        <v>30</v>
      </c>
      <c r="F656" t="s">
        <v>31</v>
      </c>
      <c r="G656" t="s">
        <v>45</v>
      </c>
      <c r="H656" t="s">
        <v>30</v>
      </c>
      <c r="I656" t="s">
        <v>1386</v>
      </c>
      <c r="J656" t="s">
        <v>123</v>
      </c>
      <c r="K656" s="2">
        <v>83.88</v>
      </c>
      <c r="L656">
        <v>11</v>
      </c>
      <c r="M656" t="s">
        <v>78</v>
      </c>
      <c r="N656">
        <v>4</v>
      </c>
      <c r="O656">
        <v>2</v>
      </c>
      <c r="P656">
        <v>1</v>
      </c>
      <c r="Q656" t="s">
        <v>49</v>
      </c>
      <c r="R656" t="s">
        <v>50</v>
      </c>
      <c r="S656">
        <v>0</v>
      </c>
      <c r="T656">
        <v>6</v>
      </c>
      <c r="U656" t="s">
        <v>59</v>
      </c>
      <c r="V656" t="s">
        <v>79</v>
      </c>
      <c r="W656" t="s">
        <v>66</v>
      </c>
      <c r="X656" s="3">
        <v>45948</v>
      </c>
      <c r="Y656" s="1" t="str">
        <f t="shared" si="20"/>
        <v>Oct</v>
      </c>
      <c r="Z656" s="1" t="str">
        <f t="shared" si="21"/>
        <v>2025</v>
      </c>
      <c r="AA656" t="b">
        <v>1</v>
      </c>
      <c r="AB656" t="b">
        <v>1</v>
      </c>
      <c r="AC656" t="s">
        <v>74</v>
      </c>
      <c r="AD656" t="s">
        <v>67</v>
      </c>
      <c r="AE656">
        <v>4</v>
      </c>
    </row>
    <row r="657" spans="1:31" x14ac:dyDescent="0.3">
      <c r="A657" t="s">
        <v>1387</v>
      </c>
      <c r="B657">
        <v>24</v>
      </c>
      <c r="C657" t="str" cm="1">
        <f t="array" ref="C657">_xlfn.IFS(B657&lt;=18,"0-18",B657&lt;=29,"19-29",B657&gt;=49,"30-49",B657&gt;=69,"50-69",TRUE,"70+")</f>
        <v>19-29</v>
      </c>
      <c r="D657" t="s">
        <v>29</v>
      </c>
      <c r="E657" t="s">
        <v>30</v>
      </c>
      <c r="F657" t="s">
        <v>69</v>
      </c>
      <c r="G657" t="s">
        <v>32</v>
      </c>
      <c r="H657" t="s">
        <v>30</v>
      </c>
      <c r="I657" t="s">
        <v>1388</v>
      </c>
      <c r="J657" t="s">
        <v>194</v>
      </c>
      <c r="K657" s="2">
        <v>81.25</v>
      </c>
      <c r="L657">
        <v>9</v>
      </c>
      <c r="M657" t="s">
        <v>78</v>
      </c>
      <c r="N657">
        <v>1</v>
      </c>
      <c r="O657">
        <v>2</v>
      </c>
      <c r="P657">
        <v>1</v>
      </c>
      <c r="Q657" t="s">
        <v>59</v>
      </c>
      <c r="R657" t="s">
        <v>85</v>
      </c>
      <c r="S657">
        <v>2</v>
      </c>
      <c r="T657">
        <v>8</v>
      </c>
      <c r="U657" t="s">
        <v>49</v>
      </c>
      <c r="V657" t="s">
        <v>79</v>
      </c>
      <c r="W657" t="s">
        <v>86</v>
      </c>
      <c r="X657" s="3">
        <v>45949</v>
      </c>
      <c r="Y657" s="1" t="str">
        <f t="shared" si="20"/>
        <v>Oct</v>
      </c>
      <c r="Z657" s="1" t="str">
        <f t="shared" si="21"/>
        <v>2025</v>
      </c>
      <c r="AA657" t="b">
        <v>1</v>
      </c>
      <c r="AB657" t="b">
        <v>1</v>
      </c>
      <c r="AC657" t="s">
        <v>74</v>
      </c>
      <c r="AD657" t="s">
        <v>41</v>
      </c>
      <c r="AE657">
        <v>10</v>
      </c>
    </row>
    <row r="658" spans="1:31" x14ac:dyDescent="0.3">
      <c r="A658" t="s">
        <v>1389</v>
      </c>
      <c r="B658">
        <v>49</v>
      </c>
      <c r="C658" t="str" cm="1">
        <f t="array" ref="C658">_xlfn.IFS(B658&lt;=18,"0-18",B658&lt;=29,"19-29",B658&gt;=49,"30-49",B658&gt;=69,"50-69",TRUE,"70+")</f>
        <v>30-49</v>
      </c>
      <c r="D658" t="s">
        <v>43</v>
      </c>
      <c r="E658" t="s">
        <v>30</v>
      </c>
      <c r="F658" t="s">
        <v>69</v>
      </c>
      <c r="G658" t="s">
        <v>56</v>
      </c>
      <c r="H658" t="s">
        <v>44</v>
      </c>
      <c r="I658" t="s">
        <v>1390</v>
      </c>
      <c r="J658" t="s">
        <v>65</v>
      </c>
      <c r="K658" s="2">
        <v>125.8</v>
      </c>
      <c r="L658">
        <v>12</v>
      </c>
      <c r="M658" t="s">
        <v>48</v>
      </c>
      <c r="N658">
        <v>4</v>
      </c>
      <c r="O658">
        <v>4</v>
      </c>
      <c r="P658">
        <v>2</v>
      </c>
      <c r="Q658" t="s">
        <v>36</v>
      </c>
      <c r="R658" t="s">
        <v>37</v>
      </c>
      <c r="S658">
        <v>0</v>
      </c>
      <c r="T658">
        <v>8</v>
      </c>
      <c r="U658" t="s">
        <v>44</v>
      </c>
      <c r="V658" t="s">
        <v>79</v>
      </c>
      <c r="W658" t="s">
        <v>51</v>
      </c>
      <c r="X658" s="3">
        <v>45950</v>
      </c>
      <c r="Y658" s="1" t="str">
        <f t="shared" si="20"/>
        <v>Oct</v>
      </c>
      <c r="Z658" s="1" t="str">
        <f t="shared" si="21"/>
        <v>2025</v>
      </c>
      <c r="AA658" t="b">
        <v>0</v>
      </c>
      <c r="AB658" t="b">
        <v>1</v>
      </c>
      <c r="AC658" t="s">
        <v>74</v>
      </c>
      <c r="AD658" t="s">
        <v>41</v>
      </c>
      <c r="AE658">
        <v>1</v>
      </c>
    </row>
    <row r="659" spans="1:31" x14ac:dyDescent="0.3">
      <c r="A659" t="s">
        <v>1391</v>
      </c>
      <c r="B659">
        <v>18</v>
      </c>
      <c r="C659" t="str" cm="1">
        <f t="array" ref="C659">_xlfn.IFS(B659&lt;=18,"0-18",B659&lt;=29,"19-29",B659&gt;=49,"30-49",B659&gt;=69,"50-69",TRUE,"70+")</f>
        <v>0-18</v>
      </c>
      <c r="D659" t="s">
        <v>29</v>
      </c>
      <c r="E659" t="s">
        <v>30</v>
      </c>
      <c r="F659" t="s">
        <v>55</v>
      </c>
      <c r="G659" t="s">
        <v>32</v>
      </c>
      <c r="H659" t="s">
        <v>30</v>
      </c>
      <c r="I659" t="s">
        <v>1392</v>
      </c>
      <c r="J659" t="s">
        <v>142</v>
      </c>
      <c r="K659" s="2">
        <v>197.9</v>
      </c>
      <c r="L659">
        <v>11</v>
      </c>
      <c r="M659" t="s">
        <v>35</v>
      </c>
      <c r="N659">
        <v>2</v>
      </c>
      <c r="O659">
        <v>4</v>
      </c>
      <c r="P659">
        <v>2</v>
      </c>
      <c r="Q659" t="s">
        <v>49</v>
      </c>
      <c r="R659" t="s">
        <v>50</v>
      </c>
      <c r="S659">
        <v>1</v>
      </c>
      <c r="T659">
        <v>4</v>
      </c>
      <c r="U659" t="s">
        <v>59</v>
      </c>
      <c r="V659" t="s">
        <v>79</v>
      </c>
      <c r="W659" t="s">
        <v>61</v>
      </c>
      <c r="X659" s="3">
        <v>45951</v>
      </c>
      <c r="Y659" s="1" t="str">
        <f t="shared" si="20"/>
        <v>Oct</v>
      </c>
      <c r="Z659" s="1" t="str">
        <f t="shared" si="21"/>
        <v>2025</v>
      </c>
      <c r="AA659" t="b">
        <v>1</v>
      </c>
      <c r="AB659" t="b">
        <v>1</v>
      </c>
      <c r="AC659" t="s">
        <v>52</v>
      </c>
      <c r="AD659" t="s">
        <v>53</v>
      </c>
      <c r="AE659">
        <v>5</v>
      </c>
    </row>
    <row r="660" spans="1:31" x14ac:dyDescent="0.3">
      <c r="A660" t="s">
        <v>1393</v>
      </c>
      <c r="B660">
        <v>44</v>
      </c>
      <c r="C660" t="str" cm="1">
        <f t="array" ref="C660">_xlfn.IFS(B660&lt;=18,"0-18",B660&lt;=29,"19-29",B660&gt;=49,"30-49",B660&gt;=69,"50-69",TRUE,"70+")</f>
        <v>70+</v>
      </c>
      <c r="D660" t="s">
        <v>43</v>
      </c>
      <c r="E660" t="s">
        <v>44</v>
      </c>
      <c r="F660" t="s">
        <v>76</v>
      </c>
      <c r="G660" t="s">
        <v>45</v>
      </c>
      <c r="H660" t="s">
        <v>30</v>
      </c>
      <c r="I660" t="s">
        <v>1394</v>
      </c>
      <c r="J660" t="s">
        <v>194</v>
      </c>
      <c r="K660" s="2">
        <v>299.08999999999997</v>
      </c>
      <c r="L660">
        <v>8</v>
      </c>
      <c r="M660" t="s">
        <v>48</v>
      </c>
      <c r="N660">
        <v>1</v>
      </c>
      <c r="O660">
        <v>1</v>
      </c>
      <c r="P660">
        <v>2</v>
      </c>
      <c r="Q660" t="s">
        <v>44</v>
      </c>
      <c r="R660" t="s">
        <v>85</v>
      </c>
      <c r="S660">
        <v>2</v>
      </c>
      <c r="T660">
        <v>7</v>
      </c>
      <c r="U660" t="s">
        <v>44</v>
      </c>
      <c r="V660" t="s">
        <v>38</v>
      </c>
      <c r="W660" t="s">
        <v>61</v>
      </c>
      <c r="X660" s="3">
        <v>45952</v>
      </c>
      <c r="Y660" s="1" t="str">
        <f t="shared" si="20"/>
        <v>Oct</v>
      </c>
      <c r="Z660" s="1" t="str">
        <f t="shared" si="21"/>
        <v>2025</v>
      </c>
      <c r="AA660" t="b">
        <v>0</v>
      </c>
      <c r="AB660" t="b">
        <v>0</v>
      </c>
      <c r="AC660" t="s">
        <v>62</v>
      </c>
      <c r="AD660" t="s">
        <v>53</v>
      </c>
      <c r="AE660">
        <v>14</v>
      </c>
    </row>
    <row r="661" spans="1:31" x14ac:dyDescent="0.3">
      <c r="A661" t="s">
        <v>1395</v>
      </c>
      <c r="B661">
        <v>41</v>
      </c>
      <c r="C661" t="str" cm="1">
        <f t="array" ref="C661">_xlfn.IFS(B661&lt;=18,"0-18",B661&lt;=29,"19-29",B661&gt;=49,"30-49",B661&gt;=69,"50-69",TRUE,"70+")</f>
        <v>70+</v>
      </c>
      <c r="D661" t="s">
        <v>43</v>
      </c>
      <c r="E661" t="s">
        <v>44</v>
      </c>
      <c r="F661" t="s">
        <v>31</v>
      </c>
      <c r="G661" t="s">
        <v>45</v>
      </c>
      <c r="H661" t="s">
        <v>30</v>
      </c>
      <c r="I661" t="s">
        <v>1396</v>
      </c>
      <c r="J661" t="s">
        <v>194</v>
      </c>
      <c r="K661" s="2">
        <v>79.3</v>
      </c>
      <c r="L661">
        <v>10</v>
      </c>
      <c r="M661" t="s">
        <v>78</v>
      </c>
      <c r="N661">
        <v>3</v>
      </c>
      <c r="O661">
        <v>2</v>
      </c>
      <c r="P661">
        <v>1</v>
      </c>
      <c r="Q661" t="s">
        <v>59</v>
      </c>
      <c r="R661" t="s">
        <v>37</v>
      </c>
      <c r="S661">
        <v>2</v>
      </c>
      <c r="T661">
        <v>4</v>
      </c>
      <c r="U661" t="s">
        <v>44</v>
      </c>
      <c r="V661" t="s">
        <v>60</v>
      </c>
      <c r="W661" t="s">
        <v>61</v>
      </c>
      <c r="X661" s="3">
        <v>45953</v>
      </c>
      <c r="Y661" s="1" t="str">
        <f t="shared" si="20"/>
        <v>Oct</v>
      </c>
      <c r="Z661" s="1" t="str">
        <f t="shared" si="21"/>
        <v>2025</v>
      </c>
      <c r="AA661" t="b">
        <v>0</v>
      </c>
      <c r="AB661" t="b">
        <v>0</v>
      </c>
      <c r="AC661" t="s">
        <v>74</v>
      </c>
      <c r="AD661" t="s">
        <v>41</v>
      </c>
      <c r="AE661">
        <v>2</v>
      </c>
    </row>
    <row r="662" spans="1:31" x14ac:dyDescent="0.3">
      <c r="A662" t="s">
        <v>1397</v>
      </c>
      <c r="B662">
        <v>33</v>
      </c>
      <c r="C662" t="str" cm="1">
        <f t="array" ref="C662">_xlfn.IFS(B662&lt;=18,"0-18",B662&lt;=29,"19-29",B662&gt;=49,"30-49",B662&gt;=69,"50-69",TRUE,"70+")</f>
        <v>70+</v>
      </c>
      <c r="D662" t="s">
        <v>43</v>
      </c>
      <c r="E662" t="s">
        <v>44</v>
      </c>
      <c r="F662" t="s">
        <v>76</v>
      </c>
      <c r="G662" t="s">
        <v>45</v>
      </c>
      <c r="H662" t="s">
        <v>44</v>
      </c>
      <c r="I662" t="s">
        <v>1398</v>
      </c>
      <c r="J662" t="s">
        <v>82</v>
      </c>
      <c r="K662" s="2">
        <v>55.73</v>
      </c>
      <c r="L662">
        <v>12</v>
      </c>
      <c r="M662" t="s">
        <v>48</v>
      </c>
      <c r="N662">
        <v>4</v>
      </c>
      <c r="O662">
        <v>3</v>
      </c>
      <c r="P662">
        <v>0.3</v>
      </c>
      <c r="Q662" t="s">
        <v>49</v>
      </c>
      <c r="R662" t="s">
        <v>50</v>
      </c>
      <c r="S662">
        <v>1</v>
      </c>
      <c r="T662">
        <v>3</v>
      </c>
      <c r="U662" t="s">
        <v>44</v>
      </c>
      <c r="V662" t="s">
        <v>38</v>
      </c>
      <c r="W662" t="s">
        <v>51</v>
      </c>
      <c r="X662" s="3">
        <v>45954</v>
      </c>
      <c r="Y662" s="1" t="str">
        <f t="shared" si="20"/>
        <v>Oct</v>
      </c>
      <c r="Z662" s="1" t="str">
        <f t="shared" si="21"/>
        <v>2025</v>
      </c>
      <c r="AA662" t="b">
        <v>0</v>
      </c>
      <c r="AB662" t="b">
        <v>1</v>
      </c>
      <c r="AC662" t="s">
        <v>40</v>
      </c>
      <c r="AD662" t="s">
        <v>67</v>
      </c>
      <c r="AE662">
        <v>3</v>
      </c>
    </row>
    <row r="663" spans="1:31" x14ac:dyDescent="0.3">
      <c r="A663" t="s">
        <v>1399</v>
      </c>
      <c r="B663">
        <v>46</v>
      </c>
      <c r="C663" t="str" cm="1">
        <f t="array" ref="C663">_xlfn.IFS(B663&lt;=18,"0-18",B663&lt;=29,"19-29",B663&gt;=49,"30-49",B663&gt;=69,"50-69",TRUE,"70+")</f>
        <v>70+</v>
      </c>
      <c r="D663" t="s">
        <v>43</v>
      </c>
      <c r="E663" t="s">
        <v>44</v>
      </c>
      <c r="F663" t="s">
        <v>55</v>
      </c>
      <c r="G663" t="s">
        <v>32</v>
      </c>
      <c r="H663" t="s">
        <v>44</v>
      </c>
      <c r="I663" t="s">
        <v>1400</v>
      </c>
      <c r="J663" t="s">
        <v>120</v>
      </c>
      <c r="K663" s="2">
        <v>256.44</v>
      </c>
      <c r="L663">
        <v>8</v>
      </c>
      <c r="M663" t="s">
        <v>48</v>
      </c>
      <c r="N663">
        <v>4</v>
      </c>
      <c r="O663">
        <v>1</v>
      </c>
      <c r="P663">
        <v>2</v>
      </c>
      <c r="Q663" t="s">
        <v>44</v>
      </c>
      <c r="R663" t="s">
        <v>37</v>
      </c>
      <c r="S663">
        <v>1</v>
      </c>
      <c r="T663">
        <v>6</v>
      </c>
      <c r="U663" t="s">
        <v>49</v>
      </c>
      <c r="V663" t="s">
        <v>38</v>
      </c>
      <c r="W663" t="s">
        <v>66</v>
      </c>
      <c r="X663" s="3">
        <v>45955</v>
      </c>
      <c r="Y663" s="1" t="str">
        <f t="shared" si="20"/>
        <v>Oct</v>
      </c>
      <c r="Z663" s="1" t="str">
        <f t="shared" si="21"/>
        <v>2025</v>
      </c>
      <c r="AA663" t="b">
        <v>0</v>
      </c>
      <c r="AB663" t="b">
        <v>0</v>
      </c>
      <c r="AC663" t="s">
        <v>52</v>
      </c>
      <c r="AD663" t="s">
        <v>67</v>
      </c>
      <c r="AE663">
        <v>3</v>
      </c>
    </row>
    <row r="664" spans="1:31" x14ac:dyDescent="0.3">
      <c r="A664" t="s">
        <v>1401</v>
      </c>
      <c r="B664">
        <v>23</v>
      </c>
      <c r="C664" t="str" cm="1">
        <f t="array" ref="C664">_xlfn.IFS(B664&lt;=18,"0-18",B664&lt;=29,"19-29",B664&gt;=49,"30-49",B664&gt;=69,"50-69",TRUE,"70+")</f>
        <v>19-29</v>
      </c>
      <c r="D664" t="s">
        <v>29</v>
      </c>
      <c r="E664" t="s">
        <v>44</v>
      </c>
      <c r="F664" t="s">
        <v>31</v>
      </c>
      <c r="G664" t="s">
        <v>32</v>
      </c>
      <c r="H664" t="s">
        <v>44</v>
      </c>
      <c r="I664" t="s">
        <v>1402</v>
      </c>
      <c r="J664" t="s">
        <v>126</v>
      </c>
      <c r="K664" s="2">
        <v>337.21</v>
      </c>
      <c r="L664">
        <v>12</v>
      </c>
      <c r="M664" t="s">
        <v>78</v>
      </c>
      <c r="N664">
        <v>1</v>
      </c>
      <c r="O664">
        <v>5</v>
      </c>
      <c r="P664">
        <v>1</v>
      </c>
      <c r="Q664" t="s">
        <v>59</v>
      </c>
      <c r="R664" t="s">
        <v>37</v>
      </c>
      <c r="S664">
        <v>0</v>
      </c>
      <c r="T664">
        <v>9</v>
      </c>
      <c r="U664" t="s">
        <v>36</v>
      </c>
      <c r="V664" t="s">
        <v>60</v>
      </c>
      <c r="W664" t="s">
        <v>61</v>
      </c>
      <c r="X664" s="3">
        <v>45956</v>
      </c>
      <c r="Y664" s="1" t="str">
        <f t="shared" si="20"/>
        <v>Oct</v>
      </c>
      <c r="Z664" s="1" t="str">
        <f t="shared" si="21"/>
        <v>2025</v>
      </c>
      <c r="AA664" t="b">
        <v>1</v>
      </c>
      <c r="AB664" t="b">
        <v>1</v>
      </c>
      <c r="AC664" t="s">
        <v>74</v>
      </c>
      <c r="AD664" t="s">
        <v>67</v>
      </c>
      <c r="AE664">
        <v>11</v>
      </c>
    </row>
    <row r="665" spans="1:31" x14ac:dyDescent="0.3">
      <c r="A665" t="s">
        <v>1403</v>
      </c>
      <c r="B665">
        <v>35</v>
      </c>
      <c r="C665" t="str" cm="1">
        <f t="array" ref="C665">_xlfn.IFS(B665&lt;=18,"0-18",B665&lt;=29,"19-29",B665&gt;=49,"30-49",B665&gt;=69,"50-69",TRUE,"70+")</f>
        <v>70+</v>
      </c>
      <c r="D665" t="s">
        <v>29</v>
      </c>
      <c r="E665" t="s">
        <v>44</v>
      </c>
      <c r="F665" t="s">
        <v>55</v>
      </c>
      <c r="G665" t="s">
        <v>56</v>
      </c>
      <c r="H665" t="s">
        <v>30</v>
      </c>
      <c r="I665" t="s">
        <v>1404</v>
      </c>
      <c r="J665" t="s">
        <v>120</v>
      </c>
      <c r="K665" s="2">
        <v>494.97</v>
      </c>
      <c r="L665">
        <v>12</v>
      </c>
      <c r="M665" t="s">
        <v>48</v>
      </c>
      <c r="N665">
        <v>5</v>
      </c>
      <c r="O665">
        <v>4</v>
      </c>
      <c r="P665">
        <v>2</v>
      </c>
      <c r="Q665" t="s">
        <v>59</v>
      </c>
      <c r="R665" t="s">
        <v>50</v>
      </c>
      <c r="S665">
        <v>1</v>
      </c>
      <c r="T665">
        <v>5</v>
      </c>
      <c r="U665" t="s">
        <v>59</v>
      </c>
      <c r="V665" t="s">
        <v>38</v>
      </c>
      <c r="W665" t="s">
        <v>61</v>
      </c>
      <c r="X665" s="3">
        <v>45957</v>
      </c>
      <c r="Y665" s="1" t="str">
        <f t="shared" si="20"/>
        <v>Oct</v>
      </c>
      <c r="Z665" s="1" t="str">
        <f t="shared" si="21"/>
        <v>2025</v>
      </c>
      <c r="AA665" t="b">
        <v>0</v>
      </c>
      <c r="AB665" t="b">
        <v>0</v>
      </c>
      <c r="AC665" t="s">
        <v>74</v>
      </c>
      <c r="AD665" t="s">
        <v>41</v>
      </c>
      <c r="AE665">
        <v>7</v>
      </c>
    </row>
    <row r="666" spans="1:31" x14ac:dyDescent="0.3">
      <c r="A666" t="s">
        <v>1405</v>
      </c>
      <c r="B666">
        <v>31</v>
      </c>
      <c r="C666" t="str" cm="1">
        <f t="array" ref="C666">_xlfn.IFS(B666&lt;=18,"0-18",B666&lt;=29,"19-29",B666&gt;=49,"30-49",B666&gt;=69,"50-69",TRUE,"70+")</f>
        <v>70+</v>
      </c>
      <c r="D666" t="s">
        <v>29</v>
      </c>
      <c r="E666" t="s">
        <v>30</v>
      </c>
      <c r="F666" t="s">
        <v>69</v>
      </c>
      <c r="G666" t="s">
        <v>45</v>
      </c>
      <c r="H666" t="s">
        <v>44</v>
      </c>
      <c r="I666" t="s">
        <v>1406</v>
      </c>
      <c r="J666" t="s">
        <v>135</v>
      </c>
      <c r="K666" s="2">
        <v>238.58</v>
      </c>
      <c r="L666">
        <v>6</v>
      </c>
      <c r="M666" t="s">
        <v>78</v>
      </c>
      <c r="N666">
        <v>3</v>
      </c>
      <c r="O666">
        <v>2</v>
      </c>
      <c r="P666">
        <v>2</v>
      </c>
      <c r="Q666" t="s">
        <v>49</v>
      </c>
      <c r="R666" t="s">
        <v>85</v>
      </c>
      <c r="S666">
        <v>2</v>
      </c>
      <c r="T666">
        <v>9</v>
      </c>
      <c r="U666" t="s">
        <v>49</v>
      </c>
      <c r="V666" t="s">
        <v>38</v>
      </c>
      <c r="W666" t="s">
        <v>51</v>
      </c>
      <c r="X666" s="3">
        <v>45958</v>
      </c>
      <c r="Y666" s="1" t="str">
        <f t="shared" si="20"/>
        <v>Oct</v>
      </c>
      <c r="Z666" s="1" t="str">
        <f t="shared" si="21"/>
        <v>2025</v>
      </c>
      <c r="AA666" t="b">
        <v>1</v>
      </c>
      <c r="AB666" t="b">
        <v>1</v>
      </c>
      <c r="AC666" t="s">
        <v>52</v>
      </c>
      <c r="AD666" t="s">
        <v>53</v>
      </c>
      <c r="AE666">
        <v>8</v>
      </c>
    </row>
    <row r="667" spans="1:31" x14ac:dyDescent="0.3">
      <c r="A667" t="s">
        <v>1407</v>
      </c>
      <c r="B667">
        <v>20</v>
      </c>
      <c r="C667" t="str" cm="1">
        <f t="array" ref="C667">_xlfn.IFS(B667&lt;=18,"0-18",B667&lt;=29,"19-29",B667&gt;=49,"30-49",B667&gt;=69,"50-69",TRUE,"70+")</f>
        <v>19-29</v>
      </c>
      <c r="D667" t="s">
        <v>29</v>
      </c>
      <c r="E667" t="s">
        <v>44</v>
      </c>
      <c r="F667" t="s">
        <v>55</v>
      </c>
      <c r="G667" t="s">
        <v>32</v>
      </c>
      <c r="H667" t="s">
        <v>44</v>
      </c>
      <c r="I667" t="s">
        <v>1408</v>
      </c>
      <c r="J667" t="s">
        <v>90</v>
      </c>
      <c r="K667" s="2">
        <v>131.9</v>
      </c>
      <c r="L667">
        <v>8</v>
      </c>
      <c r="M667" t="s">
        <v>35</v>
      </c>
      <c r="N667">
        <v>3</v>
      </c>
      <c r="O667">
        <v>5</v>
      </c>
      <c r="P667">
        <v>0</v>
      </c>
      <c r="Q667" t="s">
        <v>36</v>
      </c>
      <c r="R667" t="s">
        <v>50</v>
      </c>
      <c r="S667">
        <v>2</v>
      </c>
      <c r="T667">
        <v>4</v>
      </c>
      <c r="U667" t="s">
        <v>49</v>
      </c>
      <c r="V667" t="s">
        <v>38</v>
      </c>
      <c r="W667" t="s">
        <v>39</v>
      </c>
      <c r="X667" s="3">
        <v>45959</v>
      </c>
      <c r="Y667" s="1" t="str">
        <f t="shared" si="20"/>
        <v>Oct</v>
      </c>
      <c r="Z667" s="1" t="str">
        <f t="shared" si="21"/>
        <v>2025</v>
      </c>
      <c r="AA667" t="b">
        <v>1</v>
      </c>
      <c r="AB667" t="b">
        <v>1</v>
      </c>
      <c r="AC667" t="s">
        <v>74</v>
      </c>
      <c r="AD667" t="s">
        <v>41</v>
      </c>
      <c r="AE667">
        <v>4</v>
      </c>
    </row>
    <row r="668" spans="1:31" x14ac:dyDescent="0.3">
      <c r="A668" t="s">
        <v>1409</v>
      </c>
      <c r="B668">
        <v>49</v>
      </c>
      <c r="C668" t="str" cm="1">
        <f t="array" ref="C668">_xlfn.IFS(B668&lt;=18,"0-18",B668&lt;=29,"19-29",B668&gt;=49,"30-49",B668&gt;=69,"50-69",TRUE,"70+")</f>
        <v>30-49</v>
      </c>
      <c r="D668" t="s">
        <v>29</v>
      </c>
      <c r="E668" t="s">
        <v>30</v>
      </c>
      <c r="F668" t="s">
        <v>31</v>
      </c>
      <c r="G668" t="s">
        <v>32</v>
      </c>
      <c r="H668" t="s">
        <v>44</v>
      </c>
      <c r="I668" t="s">
        <v>1410</v>
      </c>
      <c r="J668" t="s">
        <v>47</v>
      </c>
      <c r="K668" s="2">
        <v>403.03</v>
      </c>
      <c r="L668">
        <v>12</v>
      </c>
      <c r="M668" t="s">
        <v>35</v>
      </c>
      <c r="N668">
        <v>1</v>
      </c>
      <c r="O668">
        <v>5</v>
      </c>
      <c r="P668">
        <v>1</v>
      </c>
      <c r="Q668" t="s">
        <v>49</v>
      </c>
      <c r="R668" t="s">
        <v>37</v>
      </c>
      <c r="S668">
        <v>0</v>
      </c>
      <c r="T668">
        <v>1</v>
      </c>
      <c r="U668" t="s">
        <v>44</v>
      </c>
      <c r="V668" t="s">
        <v>38</v>
      </c>
      <c r="W668" t="s">
        <v>66</v>
      </c>
      <c r="X668" s="3">
        <v>45960</v>
      </c>
      <c r="Y668" s="1" t="str">
        <f t="shared" si="20"/>
        <v>Oct</v>
      </c>
      <c r="Z668" s="1" t="str">
        <f t="shared" si="21"/>
        <v>2025</v>
      </c>
      <c r="AA668" t="b">
        <v>1</v>
      </c>
      <c r="AB668" t="b">
        <v>1</v>
      </c>
      <c r="AC668" t="s">
        <v>52</v>
      </c>
      <c r="AD668" t="s">
        <v>53</v>
      </c>
      <c r="AE668">
        <v>2</v>
      </c>
    </row>
    <row r="669" spans="1:31" x14ac:dyDescent="0.3">
      <c r="A669" t="s">
        <v>1411</v>
      </c>
      <c r="B669">
        <v>26</v>
      </c>
      <c r="C669" t="str" cm="1">
        <f t="array" ref="C669">_xlfn.IFS(B669&lt;=18,"0-18",B669&lt;=29,"19-29",B669&gt;=49,"30-49",B669&gt;=69,"50-69",TRUE,"70+")</f>
        <v>19-29</v>
      </c>
      <c r="D669" t="s">
        <v>29</v>
      </c>
      <c r="E669" t="s">
        <v>44</v>
      </c>
      <c r="F669" t="s">
        <v>69</v>
      </c>
      <c r="G669" t="s">
        <v>32</v>
      </c>
      <c r="H669" t="s">
        <v>44</v>
      </c>
      <c r="I669" t="s">
        <v>1412</v>
      </c>
      <c r="J669" t="s">
        <v>142</v>
      </c>
      <c r="K669" s="2">
        <v>338.6</v>
      </c>
      <c r="L669">
        <v>10</v>
      </c>
      <c r="M669" t="s">
        <v>48</v>
      </c>
      <c r="N669">
        <v>1</v>
      </c>
      <c r="O669">
        <v>3</v>
      </c>
      <c r="P669">
        <v>2</v>
      </c>
      <c r="Q669" t="s">
        <v>49</v>
      </c>
      <c r="R669" t="s">
        <v>37</v>
      </c>
      <c r="S669">
        <v>1</v>
      </c>
      <c r="T669">
        <v>3</v>
      </c>
      <c r="U669" t="s">
        <v>49</v>
      </c>
      <c r="V669" t="s">
        <v>79</v>
      </c>
      <c r="W669" t="s">
        <v>66</v>
      </c>
      <c r="X669" s="3">
        <v>45961</v>
      </c>
      <c r="Y669" s="1" t="str">
        <f t="shared" si="20"/>
        <v>Oct</v>
      </c>
      <c r="Z669" s="1" t="str">
        <f t="shared" si="21"/>
        <v>2025</v>
      </c>
      <c r="AA669" t="b">
        <v>0</v>
      </c>
      <c r="AB669" t="b">
        <v>0</v>
      </c>
      <c r="AC669" t="s">
        <v>74</v>
      </c>
      <c r="AD669" t="s">
        <v>41</v>
      </c>
      <c r="AE669">
        <v>9</v>
      </c>
    </row>
    <row r="670" spans="1:31" x14ac:dyDescent="0.3">
      <c r="A670" t="s">
        <v>1413</v>
      </c>
      <c r="B670">
        <v>36</v>
      </c>
      <c r="C670" t="str" cm="1">
        <f t="array" ref="C670">_xlfn.IFS(B670&lt;=18,"0-18",B670&lt;=29,"19-29",B670&gt;=49,"30-49",B670&gt;=69,"50-69",TRUE,"70+")</f>
        <v>70+</v>
      </c>
      <c r="D670" t="s">
        <v>43</v>
      </c>
      <c r="E670" t="s">
        <v>30</v>
      </c>
      <c r="F670" t="s">
        <v>69</v>
      </c>
      <c r="G670" t="s">
        <v>45</v>
      </c>
      <c r="H670" t="s">
        <v>44</v>
      </c>
      <c r="I670" t="s">
        <v>1414</v>
      </c>
      <c r="J670" t="s">
        <v>71</v>
      </c>
      <c r="K670" s="2">
        <v>365.38</v>
      </c>
      <c r="L670">
        <v>11</v>
      </c>
      <c r="M670" t="s">
        <v>78</v>
      </c>
      <c r="N670">
        <v>1</v>
      </c>
      <c r="O670">
        <v>4</v>
      </c>
      <c r="P670">
        <v>0</v>
      </c>
      <c r="Q670" t="s">
        <v>44</v>
      </c>
      <c r="R670" t="s">
        <v>37</v>
      </c>
      <c r="S670">
        <v>0</v>
      </c>
      <c r="T670">
        <v>9</v>
      </c>
      <c r="U670" t="s">
        <v>49</v>
      </c>
      <c r="V670" t="s">
        <v>79</v>
      </c>
      <c r="W670" t="s">
        <v>86</v>
      </c>
      <c r="X670" s="3">
        <v>45962</v>
      </c>
      <c r="Y670" s="1" t="str">
        <f t="shared" si="20"/>
        <v>Nov</v>
      </c>
      <c r="Z670" s="1" t="str">
        <f t="shared" si="21"/>
        <v>2025</v>
      </c>
      <c r="AA670" t="b">
        <v>0</v>
      </c>
      <c r="AB670" t="b">
        <v>0</v>
      </c>
      <c r="AC670" t="s">
        <v>52</v>
      </c>
      <c r="AD670" t="s">
        <v>67</v>
      </c>
      <c r="AE670">
        <v>14</v>
      </c>
    </row>
    <row r="671" spans="1:31" x14ac:dyDescent="0.3">
      <c r="A671" t="s">
        <v>1415</v>
      </c>
      <c r="B671">
        <v>21</v>
      </c>
      <c r="C671" t="str" cm="1">
        <f t="array" ref="C671">_xlfn.IFS(B671&lt;=18,"0-18",B671&lt;=29,"19-29",B671&gt;=49,"30-49",B671&gt;=69,"50-69",TRUE,"70+")</f>
        <v>19-29</v>
      </c>
      <c r="D671" t="s">
        <v>43</v>
      </c>
      <c r="E671" t="s">
        <v>30</v>
      </c>
      <c r="F671" t="s">
        <v>31</v>
      </c>
      <c r="G671" t="s">
        <v>45</v>
      </c>
      <c r="H671" t="s">
        <v>44</v>
      </c>
      <c r="I671" t="s">
        <v>1416</v>
      </c>
      <c r="J671" t="s">
        <v>90</v>
      </c>
      <c r="K671" s="2">
        <v>433.99</v>
      </c>
      <c r="L671">
        <v>11</v>
      </c>
      <c r="M671" t="s">
        <v>35</v>
      </c>
      <c r="N671">
        <v>3</v>
      </c>
      <c r="O671">
        <v>2</v>
      </c>
      <c r="P671">
        <v>1</v>
      </c>
      <c r="Q671" t="s">
        <v>44</v>
      </c>
      <c r="R671" t="s">
        <v>50</v>
      </c>
      <c r="S671">
        <v>0</v>
      </c>
      <c r="T671">
        <v>2</v>
      </c>
      <c r="U671" t="s">
        <v>36</v>
      </c>
      <c r="V671" t="s">
        <v>79</v>
      </c>
      <c r="W671" t="s">
        <v>39</v>
      </c>
      <c r="X671" s="3">
        <v>45963</v>
      </c>
      <c r="Y671" s="1" t="str">
        <f t="shared" si="20"/>
        <v>Nov</v>
      </c>
      <c r="Z671" s="1" t="str">
        <f t="shared" si="21"/>
        <v>2025</v>
      </c>
      <c r="AA671" t="b">
        <v>0</v>
      </c>
      <c r="AB671" t="b">
        <v>0</v>
      </c>
      <c r="AC671" t="s">
        <v>40</v>
      </c>
      <c r="AD671" t="s">
        <v>41</v>
      </c>
      <c r="AE671">
        <v>8</v>
      </c>
    </row>
    <row r="672" spans="1:31" x14ac:dyDescent="0.3">
      <c r="A672" t="s">
        <v>1417</v>
      </c>
      <c r="B672">
        <v>35</v>
      </c>
      <c r="C672" t="str" cm="1">
        <f t="array" ref="C672">_xlfn.IFS(B672&lt;=18,"0-18",B672&lt;=29,"19-29",B672&gt;=49,"30-49",B672&gt;=69,"50-69",TRUE,"70+")</f>
        <v>70+</v>
      </c>
      <c r="D672" t="s">
        <v>29</v>
      </c>
      <c r="E672" t="s">
        <v>30</v>
      </c>
      <c r="F672" t="s">
        <v>69</v>
      </c>
      <c r="G672" t="s">
        <v>45</v>
      </c>
      <c r="H672" t="s">
        <v>30</v>
      </c>
      <c r="I672" t="s">
        <v>1418</v>
      </c>
      <c r="J672" t="s">
        <v>104</v>
      </c>
      <c r="K672" s="2">
        <v>495.95</v>
      </c>
      <c r="L672">
        <v>5</v>
      </c>
      <c r="M672" t="s">
        <v>48</v>
      </c>
      <c r="N672">
        <v>4</v>
      </c>
      <c r="O672">
        <v>2</v>
      </c>
      <c r="P672">
        <v>0</v>
      </c>
      <c r="Q672" t="s">
        <v>44</v>
      </c>
      <c r="R672" t="s">
        <v>85</v>
      </c>
      <c r="S672">
        <v>1</v>
      </c>
      <c r="T672">
        <v>7</v>
      </c>
      <c r="U672" t="s">
        <v>36</v>
      </c>
      <c r="V672" t="s">
        <v>60</v>
      </c>
      <c r="W672" t="s">
        <v>66</v>
      </c>
      <c r="X672" s="3">
        <v>45964</v>
      </c>
      <c r="Y672" s="1" t="str">
        <f t="shared" si="20"/>
        <v>Nov</v>
      </c>
      <c r="Z672" s="1" t="str">
        <f t="shared" si="21"/>
        <v>2025</v>
      </c>
      <c r="AA672" t="b">
        <v>0</v>
      </c>
      <c r="AB672" t="b">
        <v>0</v>
      </c>
      <c r="AC672" t="s">
        <v>74</v>
      </c>
      <c r="AD672" t="s">
        <v>41</v>
      </c>
      <c r="AE672">
        <v>6</v>
      </c>
    </row>
    <row r="673" spans="1:31" x14ac:dyDescent="0.3">
      <c r="A673" t="s">
        <v>1419</v>
      </c>
      <c r="B673">
        <v>41</v>
      </c>
      <c r="C673" t="str" cm="1">
        <f t="array" ref="C673">_xlfn.IFS(B673&lt;=18,"0-18",B673&lt;=29,"19-29",B673&gt;=49,"30-49",B673&gt;=69,"50-69",TRUE,"70+")</f>
        <v>70+</v>
      </c>
      <c r="D673" t="s">
        <v>43</v>
      </c>
      <c r="E673" t="s">
        <v>44</v>
      </c>
      <c r="F673" t="s">
        <v>31</v>
      </c>
      <c r="G673" t="s">
        <v>45</v>
      </c>
      <c r="H673" t="s">
        <v>30</v>
      </c>
      <c r="I673" t="s">
        <v>1420</v>
      </c>
      <c r="J673" t="s">
        <v>123</v>
      </c>
      <c r="K673" s="2">
        <v>356.22</v>
      </c>
      <c r="L673">
        <v>7</v>
      </c>
      <c r="M673" t="s">
        <v>48</v>
      </c>
      <c r="N673">
        <v>2</v>
      </c>
      <c r="O673">
        <v>5</v>
      </c>
      <c r="P673">
        <v>0</v>
      </c>
      <c r="Q673" t="s">
        <v>49</v>
      </c>
      <c r="R673" t="s">
        <v>85</v>
      </c>
      <c r="S673">
        <v>1</v>
      </c>
      <c r="T673">
        <v>7</v>
      </c>
      <c r="U673" t="s">
        <v>44</v>
      </c>
      <c r="V673" t="s">
        <v>60</v>
      </c>
      <c r="W673" t="s">
        <v>39</v>
      </c>
      <c r="X673" s="3">
        <v>45965</v>
      </c>
      <c r="Y673" s="1" t="str">
        <f t="shared" si="20"/>
        <v>Nov</v>
      </c>
      <c r="Z673" s="1" t="str">
        <f t="shared" si="21"/>
        <v>2025</v>
      </c>
      <c r="AA673" t="b">
        <v>0</v>
      </c>
      <c r="AB673" t="b">
        <v>1</v>
      </c>
      <c r="AC673" t="s">
        <v>74</v>
      </c>
      <c r="AD673" t="s">
        <v>67</v>
      </c>
      <c r="AE673">
        <v>6</v>
      </c>
    </row>
    <row r="674" spans="1:31" x14ac:dyDescent="0.3">
      <c r="A674" t="s">
        <v>1421</v>
      </c>
      <c r="B674">
        <v>22</v>
      </c>
      <c r="C674" t="str" cm="1">
        <f t="array" ref="C674">_xlfn.IFS(B674&lt;=18,"0-18",B674&lt;=29,"19-29",B674&gt;=49,"30-49",B674&gt;=69,"50-69",TRUE,"70+")</f>
        <v>19-29</v>
      </c>
      <c r="D674" t="s">
        <v>352</v>
      </c>
      <c r="E674" t="s">
        <v>44</v>
      </c>
      <c r="F674" t="s">
        <v>55</v>
      </c>
      <c r="G674" t="s">
        <v>45</v>
      </c>
      <c r="H674" t="s">
        <v>30</v>
      </c>
      <c r="I674" t="s">
        <v>1422</v>
      </c>
      <c r="J674" t="s">
        <v>142</v>
      </c>
      <c r="K674" s="2">
        <v>156.4</v>
      </c>
      <c r="L674">
        <v>7</v>
      </c>
      <c r="M674" t="s">
        <v>48</v>
      </c>
      <c r="N674">
        <v>4</v>
      </c>
      <c r="O674">
        <v>5</v>
      </c>
      <c r="P674">
        <v>2</v>
      </c>
      <c r="Q674" t="s">
        <v>59</v>
      </c>
      <c r="R674" t="s">
        <v>37</v>
      </c>
      <c r="S674">
        <v>1</v>
      </c>
      <c r="T674">
        <v>7</v>
      </c>
      <c r="U674" t="s">
        <v>59</v>
      </c>
      <c r="V674" t="s">
        <v>79</v>
      </c>
      <c r="W674" t="s">
        <v>39</v>
      </c>
      <c r="X674" s="3">
        <v>45966</v>
      </c>
      <c r="Y674" s="1" t="str">
        <f t="shared" si="20"/>
        <v>Nov</v>
      </c>
      <c r="Z674" s="1" t="str">
        <f t="shared" si="21"/>
        <v>2025</v>
      </c>
      <c r="AA674" t="b">
        <v>0</v>
      </c>
      <c r="AB674" t="b">
        <v>1</v>
      </c>
      <c r="AC674" t="s">
        <v>40</v>
      </c>
      <c r="AD674" t="s">
        <v>53</v>
      </c>
      <c r="AE674">
        <v>4</v>
      </c>
    </row>
    <row r="675" spans="1:31" x14ac:dyDescent="0.3">
      <c r="A675" t="s">
        <v>1423</v>
      </c>
      <c r="B675">
        <v>42</v>
      </c>
      <c r="C675" t="str" cm="1">
        <f t="array" ref="C675">_xlfn.IFS(B675&lt;=18,"0-18",B675&lt;=29,"19-29",B675&gt;=49,"30-49",B675&gt;=69,"50-69",TRUE,"70+")</f>
        <v>70+</v>
      </c>
      <c r="D675" t="s">
        <v>43</v>
      </c>
      <c r="E675" t="s">
        <v>30</v>
      </c>
      <c r="F675" t="s">
        <v>55</v>
      </c>
      <c r="G675" t="s">
        <v>56</v>
      </c>
      <c r="H675" t="s">
        <v>30</v>
      </c>
      <c r="I675" t="s">
        <v>1424</v>
      </c>
      <c r="J675" t="s">
        <v>90</v>
      </c>
      <c r="K675" s="2">
        <v>454.36</v>
      </c>
      <c r="L675">
        <v>3</v>
      </c>
      <c r="M675" t="s">
        <v>48</v>
      </c>
      <c r="N675">
        <v>4</v>
      </c>
      <c r="O675">
        <v>5</v>
      </c>
      <c r="P675">
        <v>1</v>
      </c>
      <c r="Q675" t="s">
        <v>59</v>
      </c>
      <c r="R675" t="s">
        <v>85</v>
      </c>
      <c r="S675">
        <v>1</v>
      </c>
      <c r="T675">
        <v>8</v>
      </c>
      <c r="U675" t="s">
        <v>49</v>
      </c>
      <c r="V675" t="s">
        <v>38</v>
      </c>
      <c r="W675" t="s">
        <v>86</v>
      </c>
      <c r="X675" s="3">
        <v>45967</v>
      </c>
      <c r="Y675" s="1" t="str">
        <f t="shared" si="20"/>
        <v>Nov</v>
      </c>
      <c r="Z675" s="1" t="str">
        <f t="shared" si="21"/>
        <v>2025</v>
      </c>
      <c r="AA675" t="b">
        <v>1</v>
      </c>
      <c r="AB675" t="b">
        <v>0</v>
      </c>
      <c r="AC675" t="s">
        <v>74</v>
      </c>
      <c r="AD675" t="s">
        <v>41</v>
      </c>
      <c r="AE675">
        <v>12</v>
      </c>
    </row>
    <row r="676" spans="1:31" x14ac:dyDescent="0.3">
      <c r="A676" t="s">
        <v>1425</v>
      </c>
      <c r="B676">
        <v>50</v>
      </c>
      <c r="C676" t="str" cm="1">
        <f t="array" ref="C676">_xlfn.IFS(B676&lt;=18,"0-18",B676&lt;=29,"19-29",B676&gt;=49,"30-49",B676&gt;=69,"50-69",TRUE,"70+")</f>
        <v>30-49</v>
      </c>
      <c r="D676" t="s">
        <v>43</v>
      </c>
      <c r="E676" t="s">
        <v>44</v>
      </c>
      <c r="F676" t="s">
        <v>55</v>
      </c>
      <c r="G676" t="s">
        <v>32</v>
      </c>
      <c r="H676" t="s">
        <v>44</v>
      </c>
      <c r="I676" t="s">
        <v>1426</v>
      </c>
      <c r="J676" t="s">
        <v>120</v>
      </c>
      <c r="K676" s="2">
        <v>486.07</v>
      </c>
      <c r="L676">
        <v>11</v>
      </c>
      <c r="M676" t="s">
        <v>35</v>
      </c>
      <c r="N676">
        <v>5</v>
      </c>
      <c r="O676">
        <v>1</v>
      </c>
      <c r="P676">
        <v>0</v>
      </c>
      <c r="Q676" t="s">
        <v>49</v>
      </c>
      <c r="R676" t="s">
        <v>37</v>
      </c>
      <c r="S676">
        <v>2</v>
      </c>
      <c r="T676">
        <v>6</v>
      </c>
      <c r="U676" t="s">
        <v>36</v>
      </c>
      <c r="V676" t="s">
        <v>38</v>
      </c>
      <c r="W676" t="s">
        <v>39</v>
      </c>
      <c r="X676" s="3">
        <v>45968</v>
      </c>
      <c r="Y676" s="1" t="str">
        <f t="shared" si="20"/>
        <v>Nov</v>
      </c>
      <c r="Z676" s="1" t="str">
        <f t="shared" si="21"/>
        <v>2025</v>
      </c>
      <c r="AA676" t="b">
        <v>0</v>
      </c>
      <c r="AB676" t="b">
        <v>0</v>
      </c>
      <c r="AC676" t="s">
        <v>74</v>
      </c>
      <c r="AD676" t="s">
        <v>53</v>
      </c>
      <c r="AE676">
        <v>12</v>
      </c>
    </row>
    <row r="677" spans="1:31" x14ac:dyDescent="0.3">
      <c r="A677" t="s">
        <v>1427</v>
      </c>
      <c r="B677">
        <v>30</v>
      </c>
      <c r="C677" t="str" cm="1">
        <f t="array" ref="C677">_xlfn.IFS(B677&lt;=18,"0-18",B677&lt;=29,"19-29",B677&gt;=49,"30-49",B677&gt;=69,"50-69",TRUE,"70+")</f>
        <v>70+</v>
      </c>
      <c r="D677" t="s">
        <v>29</v>
      </c>
      <c r="E677" t="s">
        <v>44</v>
      </c>
      <c r="F677" t="s">
        <v>76</v>
      </c>
      <c r="G677" t="s">
        <v>45</v>
      </c>
      <c r="H677" t="s">
        <v>30</v>
      </c>
      <c r="I677" t="s">
        <v>332</v>
      </c>
      <c r="J677" t="s">
        <v>114</v>
      </c>
      <c r="K677" s="2">
        <v>427.86</v>
      </c>
      <c r="L677">
        <v>11</v>
      </c>
      <c r="M677" t="s">
        <v>35</v>
      </c>
      <c r="N677">
        <v>4</v>
      </c>
      <c r="O677">
        <v>3</v>
      </c>
      <c r="P677">
        <v>1</v>
      </c>
      <c r="Q677" t="s">
        <v>49</v>
      </c>
      <c r="R677" t="s">
        <v>50</v>
      </c>
      <c r="S677">
        <v>0</v>
      </c>
      <c r="T677">
        <v>6</v>
      </c>
      <c r="U677" t="s">
        <v>49</v>
      </c>
      <c r="V677" t="s">
        <v>79</v>
      </c>
      <c r="W677" t="s">
        <v>61</v>
      </c>
      <c r="X677" s="3">
        <v>45969</v>
      </c>
      <c r="Y677" s="1" t="str">
        <f t="shared" si="20"/>
        <v>Nov</v>
      </c>
      <c r="Z677" s="1" t="str">
        <f t="shared" si="21"/>
        <v>2025</v>
      </c>
      <c r="AA677" t="b">
        <v>1</v>
      </c>
      <c r="AB677" t="b">
        <v>1</v>
      </c>
      <c r="AC677" t="s">
        <v>40</v>
      </c>
      <c r="AD677" t="s">
        <v>67</v>
      </c>
      <c r="AE677">
        <v>8</v>
      </c>
    </row>
    <row r="678" spans="1:31" x14ac:dyDescent="0.3">
      <c r="A678" t="s">
        <v>1428</v>
      </c>
      <c r="B678">
        <v>49</v>
      </c>
      <c r="C678" t="str" cm="1">
        <f t="array" ref="C678">_xlfn.IFS(B678&lt;=18,"0-18",B678&lt;=29,"19-29",B678&gt;=49,"30-49",B678&gt;=69,"50-69",TRUE,"70+")</f>
        <v>30-49</v>
      </c>
      <c r="D678" t="s">
        <v>29</v>
      </c>
      <c r="E678" t="s">
        <v>44</v>
      </c>
      <c r="F678" t="s">
        <v>76</v>
      </c>
      <c r="G678" t="s">
        <v>56</v>
      </c>
      <c r="H678" t="s">
        <v>44</v>
      </c>
      <c r="I678" t="s">
        <v>1429</v>
      </c>
      <c r="J678" t="s">
        <v>188</v>
      </c>
      <c r="K678" s="2">
        <v>235.13</v>
      </c>
      <c r="L678">
        <v>10</v>
      </c>
      <c r="M678" t="s">
        <v>78</v>
      </c>
      <c r="N678">
        <v>5</v>
      </c>
      <c r="O678">
        <v>4</v>
      </c>
      <c r="P678">
        <v>1</v>
      </c>
      <c r="Q678" t="s">
        <v>49</v>
      </c>
      <c r="R678" t="s">
        <v>85</v>
      </c>
      <c r="S678">
        <v>2</v>
      </c>
      <c r="T678">
        <v>3</v>
      </c>
      <c r="U678" t="s">
        <v>36</v>
      </c>
      <c r="V678" t="s">
        <v>60</v>
      </c>
      <c r="W678" t="s">
        <v>66</v>
      </c>
      <c r="X678" s="3">
        <v>45970</v>
      </c>
      <c r="Y678" s="1" t="str">
        <f t="shared" si="20"/>
        <v>Nov</v>
      </c>
      <c r="Z678" s="1" t="str">
        <f t="shared" si="21"/>
        <v>2025</v>
      </c>
      <c r="AA678" t="b">
        <v>1</v>
      </c>
      <c r="AB678" t="b">
        <v>0</v>
      </c>
      <c r="AC678" t="s">
        <v>74</v>
      </c>
      <c r="AD678" t="s">
        <v>41</v>
      </c>
      <c r="AE678">
        <v>6</v>
      </c>
    </row>
    <row r="679" spans="1:31" x14ac:dyDescent="0.3">
      <c r="A679" t="s">
        <v>1430</v>
      </c>
      <c r="B679">
        <v>40</v>
      </c>
      <c r="C679" t="str" cm="1">
        <f t="array" ref="C679">_xlfn.IFS(B679&lt;=18,"0-18",B679&lt;=29,"19-29",B679&gt;=49,"30-49",B679&gt;=69,"50-69",TRUE,"70+")</f>
        <v>70+</v>
      </c>
      <c r="D679" t="s">
        <v>29</v>
      </c>
      <c r="E679" t="s">
        <v>30</v>
      </c>
      <c r="F679" t="s">
        <v>76</v>
      </c>
      <c r="G679" t="s">
        <v>32</v>
      </c>
      <c r="H679" t="s">
        <v>30</v>
      </c>
      <c r="I679" t="s">
        <v>1431</v>
      </c>
      <c r="J679" t="s">
        <v>158</v>
      </c>
      <c r="K679" s="2">
        <v>361.27</v>
      </c>
      <c r="L679">
        <v>4</v>
      </c>
      <c r="M679" t="s">
        <v>78</v>
      </c>
      <c r="N679">
        <v>3</v>
      </c>
      <c r="O679">
        <v>3</v>
      </c>
      <c r="P679">
        <v>1</v>
      </c>
      <c r="Q679" t="s">
        <v>36</v>
      </c>
      <c r="R679" t="s">
        <v>50</v>
      </c>
      <c r="S679">
        <v>0</v>
      </c>
      <c r="T679">
        <v>5</v>
      </c>
      <c r="U679" t="s">
        <v>44</v>
      </c>
      <c r="V679" t="s">
        <v>38</v>
      </c>
      <c r="W679" t="s">
        <v>39</v>
      </c>
      <c r="X679" s="3">
        <v>45971</v>
      </c>
      <c r="Y679" s="1" t="str">
        <f t="shared" si="20"/>
        <v>Nov</v>
      </c>
      <c r="Z679" s="1" t="str">
        <f t="shared" si="21"/>
        <v>2025</v>
      </c>
      <c r="AA679" t="b">
        <v>1</v>
      </c>
      <c r="AB679" t="b">
        <v>0</v>
      </c>
      <c r="AC679" t="s">
        <v>40</v>
      </c>
      <c r="AD679" t="s">
        <v>53</v>
      </c>
      <c r="AE679">
        <v>2</v>
      </c>
    </row>
    <row r="680" spans="1:31" x14ac:dyDescent="0.3">
      <c r="A680" t="s">
        <v>1432</v>
      </c>
      <c r="B680">
        <v>38</v>
      </c>
      <c r="C680" t="str" cm="1">
        <f t="array" ref="C680">_xlfn.IFS(B680&lt;=18,"0-18",B680&lt;=29,"19-29",B680&gt;=49,"30-49",B680&gt;=69,"50-69",TRUE,"70+")</f>
        <v>70+</v>
      </c>
      <c r="D680" t="s">
        <v>29</v>
      </c>
      <c r="E680" t="s">
        <v>30</v>
      </c>
      <c r="F680" t="s">
        <v>55</v>
      </c>
      <c r="G680" t="s">
        <v>32</v>
      </c>
      <c r="H680" t="s">
        <v>30</v>
      </c>
      <c r="I680" t="s">
        <v>1433</v>
      </c>
      <c r="J680" t="s">
        <v>71</v>
      </c>
      <c r="K680" s="2">
        <v>195.83</v>
      </c>
      <c r="L680">
        <v>10</v>
      </c>
      <c r="M680" t="s">
        <v>35</v>
      </c>
      <c r="N680">
        <v>1</v>
      </c>
      <c r="O680">
        <v>2</v>
      </c>
      <c r="P680">
        <v>2</v>
      </c>
      <c r="Q680" t="s">
        <v>36</v>
      </c>
      <c r="R680" t="s">
        <v>50</v>
      </c>
      <c r="S680">
        <v>1</v>
      </c>
      <c r="T680">
        <v>7</v>
      </c>
      <c r="U680" t="s">
        <v>44</v>
      </c>
      <c r="V680" t="s">
        <v>79</v>
      </c>
      <c r="W680" t="s">
        <v>61</v>
      </c>
      <c r="X680" s="3">
        <v>45972</v>
      </c>
      <c r="Y680" s="1" t="str">
        <f t="shared" si="20"/>
        <v>Nov</v>
      </c>
      <c r="Z680" s="1" t="str">
        <f t="shared" si="21"/>
        <v>2025</v>
      </c>
      <c r="AA680" t="b">
        <v>1</v>
      </c>
      <c r="AB680" t="b">
        <v>0</v>
      </c>
      <c r="AC680" t="s">
        <v>40</v>
      </c>
      <c r="AD680" t="s">
        <v>41</v>
      </c>
      <c r="AE680">
        <v>13</v>
      </c>
    </row>
    <row r="681" spans="1:31" x14ac:dyDescent="0.3">
      <c r="A681" t="s">
        <v>1434</v>
      </c>
      <c r="B681">
        <v>21</v>
      </c>
      <c r="C681" t="str" cm="1">
        <f t="array" ref="C681">_xlfn.IFS(B681&lt;=18,"0-18",B681&lt;=29,"19-29",B681&gt;=49,"30-49",B681&gt;=69,"50-69",TRUE,"70+")</f>
        <v>19-29</v>
      </c>
      <c r="D681" t="s">
        <v>43</v>
      </c>
      <c r="E681" t="s">
        <v>44</v>
      </c>
      <c r="F681" t="s">
        <v>31</v>
      </c>
      <c r="G681" t="s">
        <v>56</v>
      </c>
      <c r="H681" t="s">
        <v>44</v>
      </c>
      <c r="I681" t="s">
        <v>1435</v>
      </c>
      <c r="J681" t="s">
        <v>90</v>
      </c>
      <c r="K681" s="2">
        <v>340.31</v>
      </c>
      <c r="L681">
        <v>10</v>
      </c>
      <c r="M681" t="s">
        <v>78</v>
      </c>
      <c r="N681">
        <v>5</v>
      </c>
      <c r="O681">
        <v>1</v>
      </c>
      <c r="P681">
        <v>1</v>
      </c>
      <c r="Q681" t="s">
        <v>59</v>
      </c>
      <c r="R681" t="s">
        <v>37</v>
      </c>
      <c r="S681">
        <v>0</v>
      </c>
      <c r="T681">
        <v>5</v>
      </c>
      <c r="U681" t="s">
        <v>59</v>
      </c>
      <c r="V681" t="s">
        <v>79</v>
      </c>
      <c r="W681" t="s">
        <v>66</v>
      </c>
      <c r="X681" s="3">
        <v>45973</v>
      </c>
      <c r="Y681" s="1" t="str">
        <f t="shared" si="20"/>
        <v>Nov</v>
      </c>
      <c r="Z681" s="1" t="str">
        <f t="shared" si="21"/>
        <v>2025</v>
      </c>
      <c r="AA681" t="b">
        <v>0</v>
      </c>
      <c r="AB681" t="b">
        <v>1</v>
      </c>
      <c r="AC681" t="s">
        <v>62</v>
      </c>
      <c r="AD681" t="s">
        <v>41</v>
      </c>
      <c r="AE681">
        <v>14</v>
      </c>
    </row>
    <row r="682" spans="1:31" x14ac:dyDescent="0.3">
      <c r="A682" t="s">
        <v>1436</v>
      </c>
      <c r="B682">
        <v>40</v>
      </c>
      <c r="C682" t="str" cm="1">
        <f t="array" ref="C682">_xlfn.IFS(B682&lt;=18,"0-18",B682&lt;=29,"19-29",B682&gt;=49,"30-49",B682&gt;=69,"50-69",TRUE,"70+")</f>
        <v>70+</v>
      </c>
      <c r="D682" t="s">
        <v>43</v>
      </c>
      <c r="E682" t="s">
        <v>44</v>
      </c>
      <c r="F682" t="s">
        <v>76</v>
      </c>
      <c r="G682" t="s">
        <v>56</v>
      </c>
      <c r="H682" t="s">
        <v>44</v>
      </c>
      <c r="I682" t="s">
        <v>1437</v>
      </c>
      <c r="J682" t="s">
        <v>101</v>
      </c>
      <c r="K682" s="2">
        <v>489.67</v>
      </c>
      <c r="L682">
        <v>5</v>
      </c>
      <c r="M682" t="s">
        <v>35</v>
      </c>
      <c r="N682">
        <v>5</v>
      </c>
      <c r="O682">
        <v>5</v>
      </c>
      <c r="P682">
        <v>1</v>
      </c>
      <c r="Q682" t="s">
        <v>36</v>
      </c>
      <c r="R682" t="s">
        <v>85</v>
      </c>
      <c r="S682">
        <v>1</v>
      </c>
      <c r="T682">
        <v>5</v>
      </c>
      <c r="U682" t="s">
        <v>49</v>
      </c>
      <c r="V682" t="s">
        <v>38</v>
      </c>
      <c r="W682" t="s">
        <v>61</v>
      </c>
      <c r="X682" s="3">
        <v>45974</v>
      </c>
      <c r="Y682" s="1" t="str">
        <f t="shared" si="20"/>
        <v>Nov</v>
      </c>
      <c r="Z682" s="1" t="str">
        <f t="shared" si="21"/>
        <v>2025</v>
      </c>
      <c r="AA682" t="b">
        <v>0</v>
      </c>
      <c r="AB682" t="b">
        <v>0</v>
      </c>
      <c r="AC682" t="s">
        <v>52</v>
      </c>
      <c r="AD682" t="s">
        <v>53</v>
      </c>
      <c r="AE682">
        <v>11</v>
      </c>
    </row>
    <row r="683" spans="1:31" x14ac:dyDescent="0.3">
      <c r="A683" t="s">
        <v>1438</v>
      </c>
      <c r="B683">
        <v>26</v>
      </c>
      <c r="C683" t="str" cm="1">
        <f t="array" ref="C683">_xlfn.IFS(B683&lt;=18,"0-18",B683&lt;=29,"19-29",B683&gt;=49,"30-49",B683&gt;=69,"50-69",TRUE,"70+")</f>
        <v>19-29</v>
      </c>
      <c r="D683" t="s">
        <v>43</v>
      </c>
      <c r="E683" t="s">
        <v>44</v>
      </c>
      <c r="F683" t="s">
        <v>76</v>
      </c>
      <c r="G683" t="s">
        <v>56</v>
      </c>
      <c r="H683" t="s">
        <v>30</v>
      </c>
      <c r="I683" t="s">
        <v>1439</v>
      </c>
      <c r="J683" t="s">
        <v>93</v>
      </c>
      <c r="K683" s="2">
        <v>482.5</v>
      </c>
      <c r="L683">
        <v>11</v>
      </c>
      <c r="M683" t="s">
        <v>35</v>
      </c>
      <c r="N683">
        <v>1</v>
      </c>
      <c r="O683">
        <v>1</v>
      </c>
      <c r="P683">
        <v>1</v>
      </c>
      <c r="Q683" t="s">
        <v>36</v>
      </c>
      <c r="R683" t="s">
        <v>85</v>
      </c>
      <c r="S683">
        <v>2</v>
      </c>
      <c r="T683">
        <v>1</v>
      </c>
      <c r="U683" t="s">
        <v>36</v>
      </c>
      <c r="V683" t="s">
        <v>60</v>
      </c>
      <c r="W683" t="s">
        <v>86</v>
      </c>
      <c r="X683" s="3">
        <v>45975</v>
      </c>
      <c r="Y683" s="1" t="str">
        <f t="shared" si="20"/>
        <v>Nov</v>
      </c>
      <c r="Z683" s="1" t="str">
        <f t="shared" si="21"/>
        <v>2025</v>
      </c>
      <c r="AA683" t="b">
        <v>1</v>
      </c>
      <c r="AB683" t="b">
        <v>1</v>
      </c>
      <c r="AC683" t="s">
        <v>40</v>
      </c>
      <c r="AD683" t="s">
        <v>41</v>
      </c>
      <c r="AE683">
        <v>13</v>
      </c>
    </row>
    <row r="684" spans="1:31" x14ac:dyDescent="0.3">
      <c r="A684" t="s">
        <v>1440</v>
      </c>
      <c r="B684">
        <v>32</v>
      </c>
      <c r="C684" t="str" cm="1">
        <f t="array" ref="C684">_xlfn.IFS(B684&lt;=18,"0-18",B684&lt;=29,"19-29",B684&gt;=49,"30-49",B684&gt;=69,"50-69",TRUE,"70+")</f>
        <v>70+</v>
      </c>
      <c r="D684" t="s">
        <v>29</v>
      </c>
      <c r="E684" t="s">
        <v>30</v>
      </c>
      <c r="F684" t="s">
        <v>31</v>
      </c>
      <c r="G684" t="s">
        <v>56</v>
      </c>
      <c r="H684" t="s">
        <v>30</v>
      </c>
      <c r="I684" t="s">
        <v>1441</v>
      </c>
      <c r="J684" t="s">
        <v>246</v>
      </c>
      <c r="K684" s="2">
        <v>433.14</v>
      </c>
      <c r="L684">
        <v>10</v>
      </c>
      <c r="M684" t="s">
        <v>48</v>
      </c>
      <c r="N684">
        <v>3</v>
      </c>
      <c r="O684">
        <v>1</v>
      </c>
      <c r="P684">
        <v>2</v>
      </c>
      <c r="Q684" t="s">
        <v>49</v>
      </c>
      <c r="R684" t="s">
        <v>50</v>
      </c>
      <c r="S684">
        <v>2</v>
      </c>
      <c r="T684">
        <v>3</v>
      </c>
      <c r="U684" t="s">
        <v>44</v>
      </c>
      <c r="V684" t="s">
        <v>38</v>
      </c>
      <c r="W684" t="s">
        <v>61</v>
      </c>
      <c r="X684" s="3">
        <v>45976</v>
      </c>
      <c r="Y684" s="1" t="str">
        <f t="shared" si="20"/>
        <v>Nov</v>
      </c>
      <c r="Z684" s="1" t="str">
        <f t="shared" si="21"/>
        <v>2025</v>
      </c>
      <c r="AA684" t="b">
        <v>0</v>
      </c>
      <c r="AB684" t="b">
        <v>0</v>
      </c>
      <c r="AC684" t="s">
        <v>62</v>
      </c>
      <c r="AD684" t="s">
        <v>41</v>
      </c>
      <c r="AE684">
        <v>5</v>
      </c>
    </row>
    <row r="685" spans="1:31" x14ac:dyDescent="0.3">
      <c r="A685" t="s">
        <v>1442</v>
      </c>
      <c r="B685">
        <v>47</v>
      </c>
      <c r="C685" t="str" cm="1">
        <f t="array" ref="C685">_xlfn.IFS(B685&lt;=18,"0-18",B685&lt;=29,"19-29",B685&gt;=49,"30-49",B685&gt;=69,"50-69",TRUE,"70+")</f>
        <v>70+</v>
      </c>
      <c r="D685" t="s">
        <v>29</v>
      </c>
      <c r="E685" t="s">
        <v>30</v>
      </c>
      <c r="F685" t="s">
        <v>69</v>
      </c>
      <c r="G685" t="s">
        <v>45</v>
      </c>
      <c r="H685" t="s">
        <v>44</v>
      </c>
      <c r="I685" t="s">
        <v>1443</v>
      </c>
      <c r="J685" t="s">
        <v>246</v>
      </c>
      <c r="K685" s="2">
        <v>375.7</v>
      </c>
      <c r="L685">
        <v>6</v>
      </c>
      <c r="M685" t="s">
        <v>78</v>
      </c>
      <c r="N685">
        <v>3</v>
      </c>
      <c r="O685">
        <v>1</v>
      </c>
      <c r="P685">
        <v>2</v>
      </c>
      <c r="Q685" t="s">
        <v>59</v>
      </c>
      <c r="R685" t="s">
        <v>85</v>
      </c>
      <c r="S685">
        <v>2</v>
      </c>
      <c r="T685">
        <v>10</v>
      </c>
      <c r="U685" t="s">
        <v>49</v>
      </c>
      <c r="V685" t="s">
        <v>38</v>
      </c>
      <c r="W685" t="s">
        <v>66</v>
      </c>
      <c r="X685" s="3">
        <v>45977</v>
      </c>
      <c r="Y685" s="1" t="str">
        <f t="shared" si="20"/>
        <v>Nov</v>
      </c>
      <c r="Z685" s="1" t="str">
        <f t="shared" si="21"/>
        <v>2025</v>
      </c>
      <c r="AA685" t="b">
        <v>1</v>
      </c>
      <c r="AB685" t="b">
        <v>0</v>
      </c>
      <c r="AC685" t="s">
        <v>52</v>
      </c>
      <c r="AD685" t="s">
        <v>41</v>
      </c>
      <c r="AE685">
        <v>10</v>
      </c>
    </row>
    <row r="686" spans="1:31" x14ac:dyDescent="0.3">
      <c r="A686" t="s">
        <v>1444</v>
      </c>
      <c r="B686">
        <v>21</v>
      </c>
      <c r="C686" t="str" cm="1">
        <f t="array" ref="C686">_xlfn.IFS(B686&lt;=18,"0-18",B686&lt;=29,"19-29",B686&gt;=49,"30-49",B686&gt;=69,"50-69",TRUE,"70+")</f>
        <v>19-29</v>
      </c>
      <c r="D686" t="s">
        <v>43</v>
      </c>
      <c r="E686" t="s">
        <v>30</v>
      </c>
      <c r="F686" t="s">
        <v>55</v>
      </c>
      <c r="G686" t="s">
        <v>56</v>
      </c>
      <c r="H686" t="s">
        <v>30</v>
      </c>
      <c r="I686" t="s">
        <v>1445</v>
      </c>
      <c r="J686" t="s">
        <v>194</v>
      </c>
      <c r="K686" s="2">
        <v>381.3</v>
      </c>
      <c r="L686">
        <v>12</v>
      </c>
      <c r="M686" t="s">
        <v>78</v>
      </c>
      <c r="N686">
        <v>2</v>
      </c>
      <c r="O686">
        <v>1</v>
      </c>
      <c r="P686">
        <v>1</v>
      </c>
      <c r="Q686" t="s">
        <v>44</v>
      </c>
      <c r="R686" t="s">
        <v>85</v>
      </c>
      <c r="S686">
        <v>0</v>
      </c>
      <c r="T686">
        <v>4</v>
      </c>
      <c r="U686" t="s">
        <v>59</v>
      </c>
      <c r="V686" t="s">
        <v>79</v>
      </c>
      <c r="W686" t="s">
        <v>39</v>
      </c>
      <c r="X686" s="3">
        <v>45978</v>
      </c>
      <c r="Y686" s="1" t="str">
        <f t="shared" si="20"/>
        <v>Nov</v>
      </c>
      <c r="Z686" s="1" t="str">
        <f t="shared" si="21"/>
        <v>2025</v>
      </c>
      <c r="AA686" t="b">
        <v>0</v>
      </c>
      <c r="AB686" t="b">
        <v>0</v>
      </c>
      <c r="AC686" t="s">
        <v>74</v>
      </c>
      <c r="AD686" t="s">
        <v>67</v>
      </c>
      <c r="AE686">
        <v>7</v>
      </c>
    </row>
    <row r="687" spans="1:31" x14ac:dyDescent="0.3">
      <c r="A687" t="s">
        <v>1446</v>
      </c>
      <c r="B687">
        <v>34</v>
      </c>
      <c r="C687" t="str" cm="1">
        <f t="array" ref="C687">_xlfn.IFS(B687&lt;=18,"0-18",B687&lt;=29,"19-29",B687&gt;=49,"30-49",B687&gt;=69,"50-69",TRUE,"70+")</f>
        <v>70+</v>
      </c>
      <c r="D687" t="s">
        <v>43</v>
      </c>
      <c r="E687" t="s">
        <v>44</v>
      </c>
      <c r="F687" t="s">
        <v>69</v>
      </c>
      <c r="G687" t="s">
        <v>45</v>
      </c>
      <c r="H687" t="s">
        <v>44</v>
      </c>
      <c r="I687" t="s">
        <v>1447</v>
      </c>
      <c r="J687" t="s">
        <v>117</v>
      </c>
      <c r="K687" s="2">
        <v>210.21</v>
      </c>
      <c r="L687">
        <v>4</v>
      </c>
      <c r="M687" t="s">
        <v>35</v>
      </c>
      <c r="N687">
        <v>4</v>
      </c>
      <c r="O687">
        <v>1</v>
      </c>
      <c r="P687">
        <v>2</v>
      </c>
      <c r="Q687" t="s">
        <v>44</v>
      </c>
      <c r="R687" t="s">
        <v>85</v>
      </c>
      <c r="S687">
        <v>0</v>
      </c>
      <c r="T687">
        <v>10</v>
      </c>
      <c r="U687" t="s">
        <v>44</v>
      </c>
      <c r="V687" t="s">
        <v>79</v>
      </c>
      <c r="W687" t="s">
        <v>51</v>
      </c>
      <c r="X687" s="3">
        <v>45979</v>
      </c>
      <c r="Y687" s="1" t="str">
        <f t="shared" si="20"/>
        <v>Nov</v>
      </c>
      <c r="Z687" s="1" t="str">
        <f t="shared" si="21"/>
        <v>2025</v>
      </c>
      <c r="AA687" t="b">
        <v>0</v>
      </c>
      <c r="AB687" t="b">
        <v>1</v>
      </c>
      <c r="AC687" t="s">
        <v>40</v>
      </c>
      <c r="AD687" t="s">
        <v>41</v>
      </c>
      <c r="AE687">
        <v>14</v>
      </c>
    </row>
    <row r="688" spans="1:31" x14ac:dyDescent="0.3">
      <c r="A688" t="s">
        <v>1448</v>
      </c>
      <c r="B688">
        <v>29</v>
      </c>
      <c r="C688" t="str" cm="1">
        <f t="array" ref="C688">_xlfn.IFS(B688&lt;=18,"0-18",B688&lt;=29,"19-29",B688&gt;=49,"30-49",B688&gt;=69,"50-69",TRUE,"70+")</f>
        <v>19-29</v>
      </c>
      <c r="D688" t="s">
        <v>43</v>
      </c>
      <c r="E688" t="s">
        <v>30</v>
      </c>
      <c r="F688" t="s">
        <v>69</v>
      </c>
      <c r="G688" t="s">
        <v>56</v>
      </c>
      <c r="H688" t="s">
        <v>44</v>
      </c>
      <c r="I688" t="s">
        <v>1449</v>
      </c>
      <c r="J688" t="s">
        <v>142</v>
      </c>
      <c r="K688" s="2">
        <v>408.81</v>
      </c>
      <c r="L688">
        <v>8</v>
      </c>
      <c r="M688" t="s">
        <v>35</v>
      </c>
      <c r="N688">
        <v>5</v>
      </c>
      <c r="O688">
        <v>4</v>
      </c>
      <c r="P688">
        <v>2</v>
      </c>
      <c r="Q688" t="s">
        <v>59</v>
      </c>
      <c r="R688" t="s">
        <v>85</v>
      </c>
      <c r="S688">
        <v>1</v>
      </c>
      <c r="T688">
        <v>3</v>
      </c>
      <c r="U688" t="s">
        <v>49</v>
      </c>
      <c r="V688" t="s">
        <v>79</v>
      </c>
      <c r="W688" t="s">
        <v>61</v>
      </c>
      <c r="X688" s="3">
        <v>45980</v>
      </c>
      <c r="Y688" s="1" t="str">
        <f t="shared" si="20"/>
        <v>Nov</v>
      </c>
      <c r="Z688" s="1" t="str">
        <f t="shared" si="21"/>
        <v>2025</v>
      </c>
      <c r="AA688" t="b">
        <v>0</v>
      </c>
      <c r="AB688" t="b">
        <v>1</v>
      </c>
      <c r="AC688" t="s">
        <v>52</v>
      </c>
      <c r="AD688" t="s">
        <v>67</v>
      </c>
      <c r="AE688">
        <v>12</v>
      </c>
    </row>
    <row r="689" spans="1:31" x14ac:dyDescent="0.3">
      <c r="A689" t="s">
        <v>1450</v>
      </c>
      <c r="B689">
        <v>20</v>
      </c>
      <c r="C689" t="str" cm="1">
        <f t="array" ref="C689">_xlfn.IFS(B689&lt;=18,"0-18",B689&lt;=29,"19-29",B689&gt;=49,"30-49",B689&gt;=69,"50-69",TRUE,"70+")</f>
        <v>19-29</v>
      </c>
      <c r="D689" t="s">
        <v>29</v>
      </c>
      <c r="E689" t="s">
        <v>30</v>
      </c>
      <c r="F689" t="s">
        <v>76</v>
      </c>
      <c r="G689" t="s">
        <v>32</v>
      </c>
      <c r="H689" t="s">
        <v>44</v>
      </c>
      <c r="I689" t="s">
        <v>1451</v>
      </c>
      <c r="J689" t="s">
        <v>246</v>
      </c>
      <c r="K689" s="2">
        <v>118.65</v>
      </c>
      <c r="L689">
        <v>10</v>
      </c>
      <c r="M689" t="s">
        <v>35</v>
      </c>
      <c r="N689">
        <v>1</v>
      </c>
      <c r="O689">
        <v>3</v>
      </c>
      <c r="P689">
        <v>0</v>
      </c>
      <c r="Q689" t="s">
        <v>59</v>
      </c>
      <c r="R689" t="s">
        <v>85</v>
      </c>
      <c r="S689">
        <v>0</v>
      </c>
      <c r="T689">
        <v>2</v>
      </c>
      <c r="U689" t="s">
        <v>59</v>
      </c>
      <c r="V689" t="s">
        <v>60</v>
      </c>
      <c r="W689" t="s">
        <v>39</v>
      </c>
      <c r="X689" s="3">
        <v>45981</v>
      </c>
      <c r="Y689" s="1" t="str">
        <f t="shared" si="20"/>
        <v>Nov</v>
      </c>
      <c r="Z689" s="1" t="str">
        <f t="shared" si="21"/>
        <v>2025</v>
      </c>
      <c r="AA689" t="b">
        <v>1</v>
      </c>
      <c r="AB689" t="b">
        <v>1</v>
      </c>
      <c r="AC689" t="s">
        <v>62</v>
      </c>
      <c r="AD689" t="s">
        <v>53</v>
      </c>
      <c r="AE689">
        <v>13</v>
      </c>
    </row>
    <row r="690" spans="1:31" x14ac:dyDescent="0.3">
      <c r="A690" t="s">
        <v>1452</v>
      </c>
      <c r="B690">
        <v>50</v>
      </c>
      <c r="C690" t="str" cm="1">
        <f t="array" ref="C690">_xlfn.IFS(B690&lt;=18,"0-18",B690&lt;=29,"19-29",B690&gt;=49,"30-49",B690&gt;=69,"50-69",TRUE,"70+")</f>
        <v>30-49</v>
      </c>
      <c r="D690" t="s">
        <v>43</v>
      </c>
      <c r="E690" t="s">
        <v>44</v>
      </c>
      <c r="F690" t="s">
        <v>76</v>
      </c>
      <c r="G690" t="s">
        <v>32</v>
      </c>
      <c r="H690" t="s">
        <v>30</v>
      </c>
      <c r="I690" t="s">
        <v>1453</v>
      </c>
      <c r="J690" t="s">
        <v>120</v>
      </c>
      <c r="K690" s="2">
        <v>166.45</v>
      </c>
      <c r="L690">
        <v>7</v>
      </c>
      <c r="M690" t="s">
        <v>35</v>
      </c>
      <c r="N690">
        <v>5</v>
      </c>
      <c r="O690">
        <v>2</v>
      </c>
      <c r="P690">
        <v>2</v>
      </c>
      <c r="Q690" t="s">
        <v>59</v>
      </c>
      <c r="R690" t="s">
        <v>85</v>
      </c>
      <c r="S690">
        <v>2</v>
      </c>
      <c r="T690">
        <v>1</v>
      </c>
      <c r="U690" t="s">
        <v>44</v>
      </c>
      <c r="V690" t="s">
        <v>60</v>
      </c>
      <c r="W690" t="s">
        <v>86</v>
      </c>
      <c r="X690" s="3">
        <v>45982</v>
      </c>
      <c r="Y690" s="1" t="str">
        <f t="shared" si="20"/>
        <v>Nov</v>
      </c>
      <c r="Z690" s="1" t="str">
        <f t="shared" si="21"/>
        <v>2025</v>
      </c>
      <c r="AA690" t="b">
        <v>1</v>
      </c>
      <c r="AB690" t="b">
        <v>0</v>
      </c>
      <c r="AC690" t="s">
        <v>74</v>
      </c>
      <c r="AD690" t="s">
        <v>67</v>
      </c>
      <c r="AE690">
        <v>12</v>
      </c>
    </row>
    <row r="691" spans="1:31" x14ac:dyDescent="0.3">
      <c r="A691" t="s">
        <v>1454</v>
      </c>
      <c r="B691">
        <v>29</v>
      </c>
      <c r="C691" t="str" cm="1">
        <f t="array" ref="C691">_xlfn.IFS(B691&lt;=18,"0-18",B691&lt;=29,"19-29",B691&gt;=49,"30-49",B691&gt;=69,"50-69",TRUE,"70+")</f>
        <v>19-29</v>
      </c>
      <c r="D691" t="s">
        <v>29</v>
      </c>
      <c r="E691" t="s">
        <v>30</v>
      </c>
      <c r="F691" t="s">
        <v>76</v>
      </c>
      <c r="G691" t="s">
        <v>56</v>
      </c>
      <c r="H691" t="s">
        <v>44</v>
      </c>
      <c r="I691" t="s">
        <v>1455</v>
      </c>
      <c r="J691" t="s">
        <v>194</v>
      </c>
      <c r="K691" s="2">
        <v>385.32</v>
      </c>
      <c r="L691">
        <v>10</v>
      </c>
      <c r="M691" t="s">
        <v>78</v>
      </c>
      <c r="N691">
        <v>1</v>
      </c>
      <c r="O691">
        <v>1</v>
      </c>
      <c r="P691">
        <v>1</v>
      </c>
      <c r="Q691" t="s">
        <v>59</v>
      </c>
      <c r="R691" t="s">
        <v>85</v>
      </c>
      <c r="S691">
        <v>0</v>
      </c>
      <c r="T691">
        <v>1</v>
      </c>
      <c r="U691" t="s">
        <v>49</v>
      </c>
      <c r="V691" t="s">
        <v>60</v>
      </c>
      <c r="W691" t="s">
        <v>51</v>
      </c>
      <c r="X691" s="3">
        <v>45983</v>
      </c>
      <c r="Y691" s="1" t="str">
        <f t="shared" si="20"/>
        <v>Nov</v>
      </c>
      <c r="Z691" s="1" t="str">
        <f t="shared" si="21"/>
        <v>2025</v>
      </c>
      <c r="AA691" t="b">
        <v>1</v>
      </c>
      <c r="AB691" t="b">
        <v>1</v>
      </c>
      <c r="AC691" t="s">
        <v>62</v>
      </c>
      <c r="AD691" t="s">
        <v>53</v>
      </c>
      <c r="AE691">
        <v>9</v>
      </c>
    </row>
    <row r="692" spans="1:31" x14ac:dyDescent="0.3">
      <c r="A692" t="s">
        <v>1456</v>
      </c>
      <c r="B692">
        <v>25</v>
      </c>
      <c r="C692" t="str" cm="1">
        <f t="array" ref="C692">_xlfn.IFS(B692&lt;=18,"0-18",B692&lt;=29,"19-29",B692&gt;=49,"30-49",B692&gt;=69,"50-69",TRUE,"70+")</f>
        <v>19-29</v>
      </c>
      <c r="D692" t="s">
        <v>190</v>
      </c>
      <c r="E692" t="s">
        <v>30</v>
      </c>
      <c r="F692" t="s">
        <v>31</v>
      </c>
      <c r="G692" t="s">
        <v>32</v>
      </c>
      <c r="H692" t="s">
        <v>44</v>
      </c>
      <c r="I692" t="s">
        <v>1457</v>
      </c>
      <c r="J692" t="s">
        <v>93</v>
      </c>
      <c r="K692" s="2">
        <v>293.99</v>
      </c>
      <c r="L692">
        <v>10</v>
      </c>
      <c r="M692" t="s">
        <v>35</v>
      </c>
      <c r="N692">
        <v>3</v>
      </c>
      <c r="O692">
        <v>4</v>
      </c>
      <c r="P692">
        <v>0</v>
      </c>
      <c r="Q692" t="s">
        <v>36</v>
      </c>
      <c r="R692" t="s">
        <v>37</v>
      </c>
      <c r="S692">
        <v>2</v>
      </c>
      <c r="T692">
        <v>7</v>
      </c>
      <c r="U692" t="s">
        <v>36</v>
      </c>
      <c r="V692" t="s">
        <v>38</v>
      </c>
      <c r="W692" t="s">
        <v>39</v>
      </c>
      <c r="X692" s="3">
        <v>45984</v>
      </c>
      <c r="Y692" s="1" t="str">
        <f t="shared" si="20"/>
        <v>Nov</v>
      </c>
      <c r="Z692" s="1" t="str">
        <f t="shared" si="21"/>
        <v>2025</v>
      </c>
      <c r="AA692" t="b">
        <v>0</v>
      </c>
      <c r="AB692" t="b">
        <v>1</v>
      </c>
      <c r="AC692" t="s">
        <v>52</v>
      </c>
      <c r="AD692" t="s">
        <v>41</v>
      </c>
      <c r="AE692">
        <v>5</v>
      </c>
    </row>
    <row r="693" spans="1:31" x14ac:dyDescent="0.3">
      <c r="A693" t="s">
        <v>1458</v>
      </c>
      <c r="B693">
        <v>37</v>
      </c>
      <c r="C693" t="str" cm="1">
        <f t="array" ref="C693">_xlfn.IFS(B693&lt;=18,"0-18",B693&lt;=29,"19-29",B693&gt;=49,"30-49",B693&gt;=69,"50-69",TRUE,"70+")</f>
        <v>70+</v>
      </c>
      <c r="D693" t="s">
        <v>43</v>
      </c>
      <c r="E693" t="s">
        <v>30</v>
      </c>
      <c r="F693" t="s">
        <v>69</v>
      </c>
      <c r="G693" t="s">
        <v>45</v>
      </c>
      <c r="H693" t="s">
        <v>30</v>
      </c>
      <c r="I693" t="s">
        <v>1459</v>
      </c>
      <c r="J693" t="s">
        <v>126</v>
      </c>
      <c r="K693" s="2">
        <v>161.41</v>
      </c>
      <c r="L693">
        <v>9</v>
      </c>
      <c r="M693" t="s">
        <v>35</v>
      </c>
      <c r="N693">
        <v>1</v>
      </c>
      <c r="O693">
        <v>4</v>
      </c>
      <c r="P693">
        <v>0</v>
      </c>
      <c r="Q693" t="s">
        <v>59</v>
      </c>
      <c r="R693" t="s">
        <v>85</v>
      </c>
      <c r="S693">
        <v>1</v>
      </c>
      <c r="T693">
        <v>8</v>
      </c>
      <c r="U693" t="s">
        <v>44</v>
      </c>
      <c r="V693" t="s">
        <v>79</v>
      </c>
      <c r="W693" t="s">
        <v>51</v>
      </c>
      <c r="X693" s="3">
        <v>45985</v>
      </c>
      <c r="Y693" s="1" t="str">
        <f t="shared" si="20"/>
        <v>Nov</v>
      </c>
      <c r="Z693" s="1" t="str">
        <f t="shared" si="21"/>
        <v>2025</v>
      </c>
      <c r="AA693" t="b">
        <v>1</v>
      </c>
      <c r="AB693" t="b">
        <v>0</v>
      </c>
      <c r="AC693" t="s">
        <v>62</v>
      </c>
      <c r="AD693" t="s">
        <v>53</v>
      </c>
      <c r="AE693">
        <v>3</v>
      </c>
    </row>
    <row r="694" spans="1:31" x14ac:dyDescent="0.3">
      <c r="A694" t="s">
        <v>1460</v>
      </c>
      <c r="B694">
        <v>39</v>
      </c>
      <c r="C694" t="str" cm="1">
        <f t="array" ref="C694">_xlfn.IFS(B694&lt;=18,"0-18",B694&lt;=29,"19-29",B694&gt;=49,"30-49",B694&gt;=69,"50-69",TRUE,"70+")</f>
        <v>70+</v>
      </c>
      <c r="D694" t="s">
        <v>43</v>
      </c>
      <c r="E694" t="s">
        <v>30</v>
      </c>
      <c r="F694" t="s">
        <v>55</v>
      </c>
      <c r="G694" t="s">
        <v>56</v>
      </c>
      <c r="H694" t="s">
        <v>30</v>
      </c>
      <c r="I694" t="s">
        <v>675</v>
      </c>
      <c r="J694" t="s">
        <v>158</v>
      </c>
      <c r="K694" s="2">
        <v>130.91999999999999</v>
      </c>
      <c r="L694">
        <v>2</v>
      </c>
      <c r="M694" t="s">
        <v>78</v>
      </c>
      <c r="N694">
        <v>1</v>
      </c>
      <c r="O694">
        <v>2</v>
      </c>
      <c r="P694">
        <v>1</v>
      </c>
      <c r="Q694" t="s">
        <v>44</v>
      </c>
      <c r="R694" t="s">
        <v>85</v>
      </c>
      <c r="S694">
        <v>2</v>
      </c>
      <c r="T694">
        <v>2</v>
      </c>
      <c r="U694" t="s">
        <v>36</v>
      </c>
      <c r="V694" t="s">
        <v>38</v>
      </c>
      <c r="W694" t="s">
        <v>86</v>
      </c>
      <c r="X694" s="3">
        <v>45986</v>
      </c>
      <c r="Y694" s="1" t="str">
        <f t="shared" si="20"/>
        <v>Nov</v>
      </c>
      <c r="Z694" s="1" t="str">
        <f t="shared" si="21"/>
        <v>2025</v>
      </c>
      <c r="AA694" t="b">
        <v>1</v>
      </c>
      <c r="AB694" t="b">
        <v>1</v>
      </c>
      <c r="AC694" t="s">
        <v>62</v>
      </c>
      <c r="AD694" t="s">
        <v>41</v>
      </c>
      <c r="AE694">
        <v>9</v>
      </c>
    </row>
    <row r="695" spans="1:31" x14ac:dyDescent="0.3">
      <c r="A695" t="s">
        <v>1461</v>
      </c>
      <c r="B695">
        <v>48</v>
      </c>
      <c r="C695" t="str" cm="1">
        <f t="array" ref="C695">_xlfn.IFS(B695&lt;=18,"0-18",B695&lt;=29,"19-29",B695&gt;=49,"30-49",B695&gt;=69,"50-69",TRUE,"70+")</f>
        <v>70+</v>
      </c>
      <c r="D695" t="s">
        <v>29</v>
      </c>
      <c r="E695" t="s">
        <v>30</v>
      </c>
      <c r="F695" t="s">
        <v>76</v>
      </c>
      <c r="G695" t="s">
        <v>32</v>
      </c>
      <c r="H695" t="s">
        <v>44</v>
      </c>
      <c r="I695" t="s">
        <v>1462</v>
      </c>
      <c r="J695" t="s">
        <v>126</v>
      </c>
      <c r="K695" s="2">
        <v>468.6</v>
      </c>
      <c r="L695">
        <v>4</v>
      </c>
      <c r="M695" t="s">
        <v>35</v>
      </c>
      <c r="N695">
        <v>3</v>
      </c>
      <c r="O695">
        <v>4</v>
      </c>
      <c r="P695">
        <v>2</v>
      </c>
      <c r="Q695" t="s">
        <v>49</v>
      </c>
      <c r="R695" t="s">
        <v>37</v>
      </c>
      <c r="S695">
        <v>0</v>
      </c>
      <c r="T695">
        <v>6</v>
      </c>
      <c r="U695" t="s">
        <v>36</v>
      </c>
      <c r="V695" t="s">
        <v>79</v>
      </c>
      <c r="W695" t="s">
        <v>51</v>
      </c>
      <c r="X695" s="3">
        <v>45987</v>
      </c>
      <c r="Y695" s="1" t="str">
        <f t="shared" si="20"/>
        <v>Nov</v>
      </c>
      <c r="Z695" s="1" t="str">
        <f t="shared" si="21"/>
        <v>2025</v>
      </c>
      <c r="AA695" t="b">
        <v>0</v>
      </c>
      <c r="AB695" t="b">
        <v>1</v>
      </c>
      <c r="AC695" t="s">
        <v>40</v>
      </c>
      <c r="AD695" t="s">
        <v>41</v>
      </c>
      <c r="AE695">
        <v>2</v>
      </c>
    </row>
    <row r="696" spans="1:31" x14ac:dyDescent="0.3">
      <c r="A696" t="s">
        <v>1463</v>
      </c>
      <c r="B696">
        <v>47</v>
      </c>
      <c r="C696" t="str" cm="1">
        <f t="array" ref="C696">_xlfn.IFS(B696&lt;=18,"0-18",B696&lt;=29,"19-29",B696&gt;=49,"30-49",B696&gt;=69,"50-69",TRUE,"70+")</f>
        <v>70+</v>
      </c>
      <c r="D696" t="s">
        <v>43</v>
      </c>
      <c r="E696" t="s">
        <v>44</v>
      </c>
      <c r="F696" t="s">
        <v>76</v>
      </c>
      <c r="G696" t="s">
        <v>32</v>
      </c>
      <c r="H696" t="s">
        <v>30</v>
      </c>
      <c r="I696" t="s">
        <v>1464</v>
      </c>
      <c r="J696" t="s">
        <v>126</v>
      </c>
      <c r="K696" s="2">
        <v>237.57</v>
      </c>
      <c r="L696">
        <v>5</v>
      </c>
      <c r="M696" t="s">
        <v>78</v>
      </c>
      <c r="N696">
        <v>3</v>
      </c>
      <c r="O696">
        <v>3</v>
      </c>
      <c r="P696">
        <v>0</v>
      </c>
      <c r="Q696" t="s">
        <v>49</v>
      </c>
      <c r="R696" t="s">
        <v>37</v>
      </c>
      <c r="S696">
        <v>0</v>
      </c>
      <c r="T696">
        <v>3</v>
      </c>
      <c r="U696" t="s">
        <v>49</v>
      </c>
      <c r="V696" t="s">
        <v>60</v>
      </c>
      <c r="W696" t="s">
        <v>86</v>
      </c>
      <c r="X696" s="3">
        <v>45988</v>
      </c>
      <c r="Y696" s="1" t="str">
        <f t="shared" si="20"/>
        <v>Nov</v>
      </c>
      <c r="Z696" s="1" t="str">
        <f t="shared" si="21"/>
        <v>2025</v>
      </c>
      <c r="AA696" t="b">
        <v>1</v>
      </c>
      <c r="AB696" t="b">
        <v>1</v>
      </c>
      <c r="AC696" t="s">
        <v>40</v>
      </c>
      <c r="AD696" t="s">
        <v>41</v>
      </c>
      <c r="AE696">
        <v>11</v>
      </c>
    </row>
    <row r="697" spans="1:31" x14ac:dyDescent="0.3">
      <c r="A697" t="s">
        <v>1465</v>
      </c>
      <c r="B697">
        <v>50</v>
      </c>
      <c r="C697" t="str" cm="1">
        <f t="array" ref="C697">_xlfn.IFS(B697&lt;=18,"0-18",B697&lt;=29,"19-29",B697&gt;=49,"30-49",B697&gt;=69,"50-69",TRUE,"70+")</f>
        <v>30-49</v>
      </c>
      <c r="D697" t="s">
        <v>29</v>
      </c>
      <c r="E697" t="s">
        <v>30</v>
      </c>
      <c r="F697" t="s">
        <v>76</v>
      </c>
      <c r="G697" t="s">
        <v>45</v>
      </c>
      <c r="H697" t="s">
        <v>44</v>
      </c>
      <c r="I697" t="s">
        <v>1466</v>
      </c>
      <c r="J697" t="s">
        <v>71</v>
      </c>
      <c r="K697" s="2">
        <v>395.18</v>
      </c>
      <c r="L697">
        <v>5</v>
      </c>
      <c r="M697" t="s">
        <v>48</v>
      </c>
      <c r="N697">
        <v>2</v>
      </c>
      <c r="O697">
        <v>2</v>
      </c>
      <c r="P697">
        <v>1</v>
      </c>
      <c r="Q697" t="s">
        <v>36</v>
      </c>
      <c r="R697" t="s">
        <v>50</v>
      </c>
      <c r="S697">
        <v>0</v>
      </c>
      <c r="T697">
        <v>5</v>
      </c>
      <c r="U697" t="s">
        <v>44</v>
      </c>
      <c r="V697" t="s">
        <v>60</v>
      </c>
      <c r="W697" t="s">
        <v>66</v>
      </c>
      <c r="X697" s="3">
        <v>45989</v>
      </c>
      <c r="Y697" s="1" t="str">
        <f t="shared" si="20"/>
        <v>Nov</v>
      </c>
      <c r="Z697" s="1" t="str">
        <f t="shared" si="21"/>
        <v>2025</v>
      </c>
      <c r="AA697" t="b">
        <v>1</v>
      </c>
      <c r="AB697" t="b">
        <v>1</v>
      </c>
      <c r="AC697" t="s">
        <v>40</v>
      </c>
      <c r="AD697" t="s">
        <v>53</v>
      </c>
      <c r="AE697">
        <v>6</v>
      </c>
    </row>
    <row r="698" spans="1:31" x14ac:dyDescent="0.3">
      <c r="A698" t="s">
        <v>1467</v>
      </c>
      <c r="B698">
        <v>42</v>
      </c>
      <c r="C698" t="str" cm="1">
        <f t="array" ref="C698">_xlfn.IFS(B698&lt;=18,"0-18",B698&lt;=29,"19-29",B698&gt;=49,"30-49",B698&gt;=69,"50-69",TRUE,"70+")</f>
        <v>70+</v>
      </c>
      <c r="D698" t="s">
        <v>212</v>
      </c>
      <c r="E698" t="s">
        <v>44</v>
      </c>
      <c r="F698" t="s">
        <v>31</v>
      </c>
      <c r="G698" t="s">
        <v>45</v>
      </c>
      <c r="H698" t="s">
        <v>30</v>
      </c>
      <c r="I698" t="s">
        <v>1468</v>
      </c>
      <c r="J698" t="s">
        <v>117</v>
      </c>
      <c r="K698" s="2">
        <v>427.94</v>
      </c>
      <c r="L698">
        <v>12</v>
      </c>
      <c r="M698" t="s">
        <v>35</v>
      </c>
      <c r="N698">
        <v>5</v>
      </c>
      <c r="O698">
        <v>4</v>
      </c>
      <c r="P698">
        <v>1.3</v>
      </c>
      <c r="Q698" t="s">
        <v>44</v>
      </c>
      <c r="R698" t="s">
        <v>50</v>
      </c>
      <c r="S698">
        <v>1</v>
      </c>
      <c r="T698">
        <v>2</v>
      </c>
      <c r="U698" t="s">
        <v>36</v>
      </c>
      <c r="V698" t="s">
        <v>60</v>
      </c>
      <c r="W698" t="s">
        <v>66</v>
      </c>
      <c r="X698" s="3">
        <v>45990</v>
      </c>
      <c r="Y698" s="1" t="str">
        <f t="shared" si="20"/>
        <v>Nov</v>
      </c>
      <c r="Z698" s="1" t="str">
        <f t="shared" si="21"/>
        <v>2025</v>
      </c>
      <c r="AA698" t="b">
        <v>0</v>
      </c>
      <c r="AB698" t="b">
        <v>0</v>
      </c>
      <c r="AC698" t="s">
        <v>62</v>
      </c>
      <c r="AD698" t="s">
        <v>41</v>
      </c>
      <c r="AE698">
        <v>10</v>
      </c>
    </row>
    <row r="699" spans="1:31" x14ac:dyDescent="0.3">
      <c r="A699" t="s">
        <v>1469</v>
      </c>
      <c r="B699">
        <v>28</v>
      </c>
      <c r="C699" t="str" cm="1">
        <f t="array" ref="C699">_xlfn.IFS(B699&lt;=18,"0-18",B699&lt;=29,"19-29",B699&gt;=49,"30-49",B699&gt;=69,"50-69",TRUE,"70+")</f>
        <v>19-29</v>
      </c>
      <c r="D699" t="s">
        <v>29</v>
      </c>
      <c r="E699" t="s">
        <v>44</v>
      </c>
      <c r="F699" t="s">
        <v>55</v>
      </c>
      <c r="G699" t="s">
        <v>32</v>
      </c>
      <c r="H699" t="s">
        <v>44</v>
      </c>
      <c r="I699" t="s">
        <v>1470</v>
      </c>
      <c r="J699" t="s">
        <v>107</v>
      </c>
      <c r="K699" s="2">
        <v>81.23</v>
      </c>
      <c r="L699">
        <v>9</v>
      </c>
      <c r="M699" t="s">
        <v>35</v>
      </c>
      <c r="N699">
        <v>2</v>
      </c>
      <c r="O699">
        <v>5</v>
      </c>
      <c r="P699">
        <v>2</v>
      </c>
      <c r="Q699" t="s">
        <v>44</v>
      </c>
      <c r="R699" t="s">
        <v>50</v>
      </c>
      <c r="S699">
        <v>1</v>
      </c>
      <c r="T699">
        <v>10</v>
      </c>
      <c r="U699" t="s">
        <v>49</v>
      </c>
      <c r="V699" t="s">
        <v>38</v>
      </c>
      <c r="W699" t="s">
        <v>86</v>
      </c>
      <c r="X699" s="3">
        <v>45991</v>
      </c>
      <c r="Y699" s="1" t="str">
        <f t="shared" si="20"/>
        <v>Nov</v>
      </c>
      <c r="Z699" s="1" t="str">
        <f t="shared" si="21"/>
        <v>2025</v>
      </c>
      <c r="AA699" t="b">
        <v>0</v>
      </c>
      <c r="AB699" t="b">
        <v>1</v>
      </c>
      <c r="AC699" t="s">
        <v>52</v>
      </c>
      <c r="AD699" t="s">
        <v>53</v>
      </c>
      <c r="AE699">
        <v>6</v>
      </c>
    </row>
    <row r="700" spans="1:31" x14ac:dyDescent="0.3">
      <c r="A700" t="s">
        <v>1471</v>
      </c>
      <c r="B700">
        <v>23</v>
      </c>
      <c r="C700" t="str" cm="1">
        <f t="array" ref="C700">_xlfn.IFS(B700&lt;=18,"0-18",B700&lt;=29,"19-29",B700&gt;=49,"30-49",B700&gt;=69,"50-69",TRUE,"70+")</f>
        <v>19-29</v>
      </c>
      <c r="D700" t="s">
        <v>43</v>
      </c>
      <c r="E700" t="s">
        <v>30</v>
      </c>
      <c r="F700" t="s">
        <v>55</v>
      </c>
      <c r="G700" t="s">
        <v>45</v>
      </c>
      <c r="H700" t="s">
        <v>30</v>
      </c>
      <c r="I700" t="s">
        <v>1472</v>
      </c>
      <c r="J700" t="s">
        <v>107</v>
      </c>
      <c r="K700" s="2">
        <v>257.43</v>
      </c>
      <c r="L700">
        <v>5</v>
      </c>
      <c r="M700" t="s">
        <v>78</v>
      </c>
      <c r="N700">
        <v>4</v>
      </c>
      <c r="O700">
        <v>2</v>
      </c>
      <c r="P700">
        <v>0</v>
      </c>
      <c r="Q700" t="s">
        <v>59</v>
      </c>
      <c r="R700" t="s">
        <v>37</v>
      </c>
      <c r="S700">
        <v>1</v>
      </c>
      <c r="T700">
        <v>7</v>
      </c>
      <c r="U700" t="s">
        <v>59</v>
      </c>
      <c r="V700" t="s">
        <v>79</v>
      </c>
      <c r="W700" t="s">
        <v>66</v>
      </c>
      <c r="X700" s="3">
        <v>45992</v>
      </c>
      <c r="Y700" s="1" t="str">
        <f t="shared" si="20"/>
        <v>Dec</v>
      </c>
      <c r="Z700" s="1" t="str">
        <f t="shared" si="21"/>
        <v>2025</v>
      </c>
      <c r="AA700" t="b">
        <v>1</v>
      </c>
      <c r="AB700" t="b">
        <v>1</v>
      </c>
      <c r="AC700" t="s">
        <v>40</v>
      </c>
      <c r="AD700" t="s">
        <v>53</v>
      </c>
      <c r="AE700">
        <v>13</v>
      </c>
    </row>
    <row r="701" spans="1:31" x14ac:dyDescent="0.3">
      <c r="A701" t="s">
        <v>1473</v>
      </c>
      <c r="B701">
        <v>42</v>
      </c>
      <c r="C701" t="str" cm="1">
        <f t="array" ref="C701">_xlfn.IFS(B701&lt;=18,"0-18",B701&lt;=29,"19-29",B701&gt;=49,"30-49",B701&gt;=69,"50-69",TRUE,"70+")</f>
        <v>70+</v>
      </c>
      <c r="D701" t="s">
        <v>43</v>
      </c>
      <c r="E701" t="s">
        <v>44</v>
      </c>
      <c r="F701" t="s">
        <v>76</v>
      </c>
      <c r="G701" t="s">
        <v>45</v>
      </c>
      <c r="H701" t="s">
        <v>44</v>
      </c>
      <c r="I701" t="s">
        <v>1474</v>
      </c>
      <c r="J701" t="s">
        <v>135</v>
      </c>
      <c r="K701" s="2">
        <v>305.73</v>
      </c>
      <c r="L701">
        <v>7</v>
      </c>
      <c r="M701" t="s">
        <v>35</v>
      </c>
      <c r="N701">
        <v>2</v>
      </c>
      <c r="O701">
        <v>5</v>
      </c>
      <c r="P701">
        <v>1</v>
      </c>
      <c r="Q701" t="s">
        <v>49</v>
      </c>
      <c r="R701" t="s">
        <v>50</v>
      </c>
      <c r="S701">
        <v>2</v>
      </c>
      <c r="T701">
        <v>8</v>
      </c>
      <c r="U701" t="s">
        <v>49</v>
      </c>
      <c r="V701" t="s">
        <v>38</v>
      </c>
      <c r="W701" t="s">
        <v>86</v>
      </c>
      <c r="X701" s="3">
        <v>45993</v>
      </c>
      <c r="Y701" s="1" t="str">
        <f t="shared" si="20"/>
        <v>Dec</v>
      </c>
      <c r="Z701" s="1" t="str">
        <f t="shared" si="21"/>
        <v>2025</v>
      </c>
      <c r="AA701" t="b">
        <v>1</v>
      </c>
      <c r="AB701" t="b">
        <v>0</v>
      </c>
      <c r="AC701" t="s">
        <v>74</v>
      </c>
      <c r="AD701" t="s">
        <v>67</v>
      </c>
      <c r="AE701">
        <v>14</v>
      </c>
    </row>
    <row r="702" spans="1:31" x14ac:dyDescent="0.3">
      <c r="A702" t="s">
        <v>1475</v>
      </c>
      <c r="B702">
        <v>32</v>
      </c>
      <c r="C702" t="str" cm="1">
        <f t="array" ref="C702">_xlfn.IFS(B702&lt;=18,"0-18",B702&lt;=29,"19-29",B702&gt;=49,"30-49",B702&gt;=69,"50-69",TRUE,"70+")</f>
        <v>70+</v>
      </c>
      <c r="D702" t="s">
        <v>43</v>
      </c>
      <c r="E702" t="s">
        <v>44</v>
      </c>
      <c r="F702" t="s">
        <v>55</v>
      </c>
      <c r="G702" t="s">
        <v>32</v>
      </c>
      <c r="H702" t="s">
        <v>44</v>
      </c>
      <c r="I702" t="s">
        <v>1476</v>
      </c>
      <c r="J702" t="s">
        <v>126</v>
      </c>
      <c r="K702" s="2">
        <v>249.82</v>
      </c>
      <c r="L702">
        <v>10</v>
      </c>
      <c r="M702" t="s">
        <v>48</v>
      </c>
      <c r="N702">
        <v>5</v>
      </c>
      <c r="O702">
        <v>3</v>
      </c>
      <c r="P702">
        <v>1</v>
      </c>
      <c r="Q702" t="s">
        <v>44</v>
      </c>
      <c r="R702" t="s">
        <v>50</v>
      </c>
      <c r="S702">
        <v>2</v>
      </c>
      <c r="T702">
        <v>6</v>
      </c>
      <c r="U702" t="s">
        <v>49</v>
      </c>
      <c r="V702" t="s">
        <v>38</v>
      </c>
      <c r="W702" t="s">
        <v>51</v>
      </c>
      <c r="X702" s="3">
        <v>45994</v>
      </c>
      <c r="Y702" s="1" t="str">
        <f t="shared" si="20"/>
        <v>Dec</v>
      </c>
      <c r="Z702" s="1" t="str">
        <f t="shared" si="21"/>
        <v>2025</v>
      </c>
      <c r="AA702" t="b">
        <v>1</v>
      </c>
      <c r="AB702" t="b">
        <v>0</v>
      </c>
      <c r="AC702" t="s">
        <v>52</v>
      </c>
      <c r="AD702" t="s">
        <v>41</v>
      </c>
      <c r="AE702">
        <v>10</v>
      </c>
    </row>
    <row r="703" spans="1:31" x14ac:dyDescent="0.3">
      <c r="A703" t="s">
        <v>1477</v>
      </c>
      <c r="B703">
        <v>33</v>
      </c>
      <c r="C703" t="str" cm="1">
        <f t="array" ref="C703">_xlfn.IFS(B703&lt;=18,"0-18",B703&lt;=29,"19-29",B703&gt;=49,"30-49",B703&gt;=69,"50-69",TRUE,"70+")</f>
        <v>70+</v>
      </c>
      <c r="D703" t="s">
        <v>43</v>
      </c>
      <c r="E703" t="s">
        <v>30</v>
      </c>
      <c r="F703" t="s">
        <v>76</v>
      </c>
      <c r="G703" t="s">
        <v>32</v>
      </c>
      <c r="H703" t="s">
        <v>44</v>
      </c>
      <c r="I703" t="s">
        <v>1478</v>
      </c>
      <c r="J703" t="s">
        <v>101</v>
      </c>
      <c r="K703" s="2">
        <v>332.79</v>
      </c>
      <c r="L703">
        <v>11</v>
      </c>
      <c r="M703" t="s">
        <v>78</v>
      </c>
      <c r="N703">
        <v>3</v>
      </c>
      <c r="O703">
        <v>5</v>
      </c>
      <c r="P703">
        <v>2</v>
      </c>
      <c r="Q703" t="s">
        <v>36</v>
      </c>
      <c r="R703" t="s">
        <v>50</v>
      </c>
      <c r="S703">
        <v>2</v>
      </c>
      <c r="T703">
        <v>1</v>
      </c>
      <c r="U703" t="s">
        <v>44</v>
      </c>
      <c r="V703" t="s">
        <v>38</v>
      </c>
      <c r="W703" t="s">
        <v>51</v>
      </c>
      <c r="X703" s="3">
        <v>45995</v>
      </c>
      <c r="Y703" s="1" t="str">
        <f t="shared" si="20"/>
        <v>Dec</v>
      </c>
      <c r="Z703" s="1" t="str">
        <f t="shared" si="21"/>
        <v>2025</v>
      </c>
      <c r="AA703" t="b">
        <v>0</v>
      </c>
      <c r="AB703" t="b">
        <v>0</v>
      </c>
      <c r="AC703" t="s">
        <v>52</v>
      </c>
      <c r="AD703" t="s">
        <v>41</v>
      </c>
      <c r="AE703">
        <v>4</v>
      </c>
    </row>
    <row r="704" spans="1:31" x14ac:dyDescent="0.3">
      <c r="A704" t="s">
        <v>1479</v>
      </c>
      <c r="B704">
        <v>32</v>
      </c>
      <c r="C704" t="str" cm="1">
        <f t="array" ref="C704">_xlfn.IFS(B704&lt;=18,"0-18",B704&lt;=29,"19-29",B704&gt;=49,"30-49",B704&gt;=69,"50-69",TRUE,"70+")</f>
        <v>70+</v>
      </c>
      <c r="D704" t="s">
        <v>43</v>
      </c>
      <c r="E704" t="s">
        <v>44</v>
      </c>
      <c r="F704" t="s">
        <v>55</v>
      </c>
      <c r="G704" t="s">
        <v>32</v>
      </c>
      <c r="H704" t="s">
        <v>30</v>
      </c>
      <c r="I704" t="s">
        <v>1480</v>
      </c>
      <c r="J704" t="s">
        <v>135</v>
      </c>
      <c r="K704" s="2">
        <v>78.900000000000006</v>
      </c>
      <c r="L704">
        <v>3</v>
      </c>
      <c r="M704" t="s">
        <v>48</v>
      </c>
      <c r="N704">
        <v>4</v>
      </c>
      <c r="O704">
        <v>1</v>
      </c>
      <c r="P704">
        <v>1</v>
      </c>
      <c r="Q704" t="s">
        <v>59</v>
      </c>
      <c r="R704" t="s">
        <v>50</v>
      </c>
      <c r="S704">
        <v>0</v>
      </c>
      <c r="T704">
        <v>1</v>
      </c>
      <c r="U704" t="s">
        <v>49</v>
      </c>
      <c r="V704" t="s">
        <v>38</v>
      </c>
      <c r="W704" t="s">
        <v>61</v>
      </c>
      <c r="X704" s="3">
        <v>45996</v>
      </c>
      <c r="Y704" s="1" t="str">
        <f t="shared" si="20"/>
        <v>Dec</v>
      </c>
      <c r="Z704" s="1" t="str">
        <f t="shared" si="21"/>
        <v>2025</v>
      </c>
      <c r="AA704" t="b">
        <v>0</v>
      </c>
      <c r="AB704" t="b">
        <v>1</v>
      </c>
      <c r="AC704" t="s">
        <v>74</v>
      </c>
      <c r="AD704" t="s">
        <v>53</v>
      </c>
      <c r="AE704">
        <v>10</v>
      </c>
    </row>
    <row r="705" spans="1:31" x14ac:dyDescent="0.3">
      <c r="A705" t="s">
        <v>1481</v>
      </c>
      <c r="B705">
        <v>29</v>
      </c>
      <c r="C705" t="str" cm="1">
        <f t="array" ref="C705">_xlfn.IFS(B705&lt;=18,"0-18",B705&lt;=29,"19-29",B705&gt;=49,"30-49",B705&gt;=69,"50-69",TRUE,"70+")</f>
        <v>19-29</v>
      </c>
      <c r="D705" t="s">
        <v>43</v>
      </c>
      <c r="E705" t="s">
        <v>44</v>
      </c>
      <c r="F705" t="s">
        <v>69</v>
      </c>
      <c r="G705" t="s">
        <v>45</v>
      </c>
      <c r="H705" t="s">
        <v>44</v>
      </c>
      <c r="I705" t="s">
        <v>1482</v>
      </c>
      <c r="J705" t="s">
        <v>104</v>
      </c>
      <c r="K705" s="2">
        <v>122.55</v>
      </c>
      <c r="L705">
        <v>9</v>
      </c>
      <c r="M705" t="s">
        <v>35</v>
      </c>
      <c r="N705">
        <v>2</v>
      </c>
      <c r="O705">
        <v>4</v>
      </c>
      <c r="P705">
        <v>0.3</v>
      </c>
      <c r="Q705" t="s">
        <v>59</v>
      </c>
      <c r="R705" t="s">
        <v>50</v>
      </c>
      <c r="S705">
        <v>2</v>
      </c>
      <c r="T705">
        <v>3</v>
      </c>
      <c r="U705" t="s">
        <v>49</v>
      </c>
      <c r="V705" t="s">
        <v>79</v>
      </c>
      <c r="W705" t="s">
        <v>39</v>
      </c>
      <c r="X705" s="3">
        <v>45997</v>
      </c>
      <c r="Y705" s="1" t="str">
        <f t="shared" si="20"/>
        <v>Dec</v>
      </c>
      <c r="Z705" s="1" t="str">
        <f t="shared" si="21"/>
        <v>2025</v>
      </c>
      <c r="AA705" t="b">
        <v>0</v>
      </c>
      <c r="AB705" t="b">
        <v>0</v>
      </c>
      <c r="AC705" t="s">
        <v>62</v>
      </c>
      <c r="AD705" t="s">
        <v>67</v>
      </c>
      <c r="AE705">
        <v>4</v>
      </c>
    </row>
    <row r="706" spans="1:31" x14ac:dyDescent="0.3">
      <c r="A706" t="s">
        <v>1483</v>
      </c>
      <c r="B706">
        <v>25</v>
      </c>
      <c r="C706" t="str" cm="1">
        <f t="array" ref="C706">_xlfn.IFS(B706&lt;=18,"0-18",B706&lt;=29,"19-29",B706&gt;=49,"30-49",B706&gt;=69,"50-69",TRUE,"70+")</f>
        <v>19-29</v>
      </c>
      <c r="D706" t="s">
        <v>190</v>
      </c>
      <c r="E706" t="s">
        <v>44</v>
      </c>
      <c r="F706" t="s">
        <v>76</v>
      </c>
      <c r="G706" t="s">
        <v>32</v>
      </c>
      <c r="H706" t="s">
        <v>30</v>
      </c>
      <c r="I706" t="s">
        <v>1484</v>
      </c>
      <c r="J706" t="s">
        <v>93</v>
      </c>
      <c r="K706" s="2">
        <v>307.61</v>
      </c>
      <c r="L706">
        <v>6</v>
      </c>
      <c r="M706" t="s">
        <v>35</v>
      </c>
      <c r="N706">
        <v>1</v>
      </c>
      <c r="O706">
        <v>1</v>
      </c>
      <c r="P706">
        <v>0</v>
      </c>
      <c r="Q706" t="s">
        <v>59</v>
      </c>
      <c r="R706" t="s">
        <v>37</v>
      </c>
      <c r="S706">
        <v>0</v>
      </c>
      <c r="T706">
        <v>9</v>
      </c>
      <c r="U706" t="s">
        <v>49</v>
      </c>
      <c r="V706" t="s">
        <v>60</v>
      </c>
      <c r="W706" t="s">
        <v>51</v>
      </c>
      <c r="X706" s="3">
        <v>45998</v>
      </c>
      <c r="Y706" s="1" t="str">
        <f t="shared" si="20"/>
        <v>Dec</v>
      </c>
      <c r="Z706" s="1" t="str">
        <f t="shared" si="21"/>
        <v>2025</v>
      </c>
      <c r="AA706" t="b">
        <v>1</v>
      </c>
      <c r="AB706" t="b">
        <v>1</v>
      </c>
      <c r="AC706" t="s">
        <v>40</v>
      </c>
      <c r="AD706" t="s">
        <v>41</v>
      </c>
      <c r="AE706">
        <v>10</v>
      </c>
    </row>
    <row r="707" spans="1:31" x14ac:dyDescent="0.3">
      <c r="A707" t="s">
        <v>1485</v>
      </c>
      <c r="B707">
        <v>41</v>
      </c>
      <c r="C707" t="str" cm="1">
        <f t="array" ref="C707">_xlfn.IFS(B707&lt;=18,"0-18",B707&lt;=29,"19-29",B707&gt;=49,"30-49",B707&gt;=69,"50-69",TRUE,"70+")</f>
        <v>70+</v>
      </c>
      <c r="D707" t="s">
        <v>29</v>
      </c>
      <c r="E707" t="s">
        <v>44</v>
      </c>
      <c r="F707" t="s">
        <v>76</v>
      </c>
      <c r="G707" t="s">
        <v>32</v>
      </c>
      <c r="H707" t="s">
        <v>30</v>
      </c>
      <c r="I707" t="s">
        <v>1486</v>
      </c>
      <c r="J707" t="s">
        <v>120</v>
      </c>
      <c r="K707" s="2">
        <v>152.33000000000001</v>
      </c>
      <c r="L707">
        <v>2</v>
      </c>
      <c r="M707" t="s">
        <v>48</v>
      </c>
      <c r="N707">
        <v>1</v>
      </c>
      <c r="O707">
        <v>5</v>
      </c>
      <c r="P707">
        <v>1</v>
      </c>
      <c r="Q707" t="s">
        <v>36</v>
      </c>
      <c r="R707" t="s">
        <v>50</v>
      </c>
      <c r="S707">
        <v>1</v>
      </c>
      <c r="T707">
        <v>6</v>
      </c>
      <c r="U707" t="s">
        <v>44</v>
      </c>
      <c r="V707" t="s">
        <v>60</v>
      </c>
      <c r="W707" t="s">
        <v>61</v>
      </c>
      <c r="X707" s="3">
        <v>45999</v>
      </c>
      <c r="Y707" s="1" t="str">
        <f t="shared" ref="Y707:Y770" si="22">TEXT(X707,"mmm")</f>
        <v>Dec</v>
      </c>
      <c r="Z707" s="1" t="str">
        <f t="shared" ref="Z707:Z770" si="23">TEXT(X707,"yyyy")</f>
        <v>2025</v>
      </c>
      <c r="AA707" t="b">
        <v>0</v>
      </c>
      <c r="AB707" t="b">
        <v>1</v>
      </c>
      <c r="AC707" t="s">
        <v>62</v>
      </c>
      <c r="AD707" t="s">
        <v>41</v>
      </c>
      <c r="AE707">
        <v>8</v>
      </c>
    </row>
    <row r="708" spans="1:31" x14ac:dyDescent="0.3">
      <c r="A708" t="s">
        <v>1487</v>
      </c>
      <c r="B708">
        <v>24</v>
      </c>
      <c r="C708" t="str" cm="1">
        <f t="array" ref="C708">_xlfn.IFS(B708&lt;=18,"0-18",B708&lt;=29,"19-29",B708&gt;=49,"30-49",B708&gt;=69,"50-69",TRUE,"70+")</f>
        <v>19-29</v>
      </c>
      <c r="D708" t="s">
        <v>29</v>
      </c>
      <c r="E708" t="s">
        <v>30</v>
      </c>
      <c r="F708" t="s">
        <v>76</v>
      </c>
      <c r="G708" t="s">
        <v>32</v>
      </c>
      <c r="H708" t="s">
        <v>44</v>
      </c>
      <c r="I708" t="s">
        <v>1488</v>
      </c>
      <c r="J708" t="s">
        <v>93</v>
      </c>
      <c r="K708" s="2">
        <v>465.07</v>
      </c>
      <c r="L708">
        <v>8</v>
      </c>
      <c r="M708" t="s">
        <v>78</v>
      </c>
      <c r="N708">
        <v>2</v>
      </c>
      <c r="O708">
        <v>4</v>
      </c>
      <c r="P708">
        <v>0</v>
      </c>
      <c r="Q708" t="s">
        <v>49</v>
      </c>
      <c r="R708" t="s">
        <v>50</v>
      </c>
      <c r="S708">
        <v>1</v>
      </c>
      <c r="T708">
        <v>2</v>
      </c>
      <c r="U708" t="s">
        <v>44</v>
      </c>
      <c r="V708" t="s">
        <v>79</v>
      </c>
      <c r="W708" t="s">
        <v>86</v>
      </c>
      <c r="X708" s="3">
        <v>46000</v>
      </c>
      <c r="Y708" s="1" t="str">
        <f t="shared" si="22"/>
        <v>Dec</v>
      </c>
      <c r="Z708" s="1" t="str">
        <f t="shared" si="23"/>
        <v>2025</v>
      </c>
      <c r="AA708" t="b">
        <v>0</v>
      </c>
      <c r="AB708" t="b">
        <v>0</v>
      </c>
      <c r="AC708" t="s">
        <v>52</v>
      </c>
      <c r="AD708" t="s">
        <v>41</v>
      </c>
      <c r="AE708">
        <v>8</v>
      </c>
    </row>
    <row r="709" spans="1:31" x14ac:dyDescent="0.3">
      <c r="A709" t="s">
        <v>1489</v>
      </c>
      <c r="B709">
        <v>32</v>
      </c>
      <c r="C709" t="str" cm="1">
        <f t="array" ref="C709">_xlfn.IFS(B709&lt;=18,"0-18",B709&lt;=29,"19-29",B709&gt;=49,"30-49",B709&gt;=69,"50-69",TRUE,"70+")</f>
        <v>70+</v>
      </c>
      <c r="D709" t="s">
        <v>29</v>
      </c>
      <c r="E709" t="s">
        <v>44</v>
      </c>
      <c r="F709" t="s">
        <v>55</v>
      </c>
      <c r="G709" t="s">
        <v>56</v>
      </c>
      <c r="H709" t="s">
        <v>30</v>
      </c>
      <c r="I709" t="s">
        <v>1490</v>
      </c>
      <c r="J709" t="s">
        <v>90</v>
      </c>
      <c r="K709" s="2">
        <v>498.23</v>
      </c>
      <c r="L709">
        <v>10</v>
      </c>
      <c r="M709" t="s">
        <v>78</v>
      </c>
      <c r="N709">
        <v>5</v>
      </c>
      <c r="O709">
        <v>2</v>
      </c>
      <c r="P709">
        <v>0</v>
      </c>
      <c r="Q709" t="s">
        <v>36</v>
      </c>
      <c r="R709" t="s">
        <v>85</v>
      </c>
      <c r="S709">
        <v>0</v>
      </c>
      <c r="T709">
        <v>7</v>
      </c>
      <c r="U709" t="s">
        <v>49</v>
      </c>
      <c r="V709" t="s">
        <v>60</v>
      </c>
      <c r="W709" t="s">
        <v>66</v>
      </c>
      <c r="X709" s="3">
        <v>46001</v>
      </c>
      <c r="Y709" s="1" t="str">
        <f t="shared" si="22"/>
        <v>Dec</v>
      </c>
      <c r="Z709" s="1" t="str">
        <f t="shared" si="23"/>
        <v>2025</v>
      </c>
      <c r="AA709" t="b">
        <v>1</v>
      </c>
      <c r="AB709" t="b">
        <v>0</v>
      </c>
      <c r="AC709" t="s">
        <v>74</v>
      </c>
      <c r="AD709" t="s">
        <v>41</v>
      </c>
      <c r="AE709">
        <v>9</v>
      </c>
    </row>
    <row r="710" spans="1:31" x14ac:dyDescent="0.3">
      <c r="A710" t="s">
        <v>1491</v>
      </c>
      <c r="B710">
        <v>41</v>
      </c>
      <c r="C710" t="str" cm="1">
        <f t="array" ref="C710">_xlfn.IFS(B710&lt;=18,"0-18",B710&lt;=29,"19-29",B710&gt;=49,"30-49",B710&gt;=69,"50-69",TRUE,"70+")</f>
        <v>70+</v>
      </c>
      <c r="D710" t="s">
        <v>29</v>
      </c>
      <c r="E710" t="s">
        <v>30</v>
      </c>
      <c r="F710" t="s">
        <v>69</v>
      </c>
      <c r="G710" t="s">
        <v>45</v>
      </c>
      <c r="H710" t="s">
        <v>30</v>
      </c>
      <c r="I710" t="s">
        <v>1492</v>
      </c>
      <c r="J710" t="s">
        <v>98</v>
      </c>
      <c r="K710" s="2">
        <v>491.18</v>
      </c>
      <c r="L710">
        <v>3</v>
      </c>
      <c r="M710" t="s">
        <v>35</v>
      </c>
      <c r="N710">
        <v>4</v>
      </c>
      <c r="O710">
        <v>4</v>
      </c>
      <c r="P710">
        <v>1</v>
      </c>
      <c r="Q710" t="s">
        <v>44</v>
      </c>
      <c r="R710" t="s">
        <v>85</v>
      </c>
      <c r="S710">
        <v>0</v>
      </c>
      <c r="T710">
        <v>6</v>
      </c>
      <c r="U710" t="s">
        <v>36</v>
      </c>
      <c r="V710" t="s">
        <v>60</v>
      </c>
      <c r="W710" t="s">
        <v>86</v>
      </c>
      <c r="X710" s="3">
        <v>46002</v>
      </c>
      <c r="Y710" s="1" t="str">
        <f t="shared" si="22"/>
        <v>Dec</v>
      </c>
      <c r="Z710" s="1" t="str">
        <f t="shared" si="23"/>
        <v>2025</v>
      </c>
      <c r="AA710" t="b">
        <v>0</v>
      </c>
      <c r="AB710" t="b">
        <v>0</v>
      </c>
      <c r="AC710" t="s">
        <v>62</v>
      </c>
      <c r="AD710" t="s">
        <v>41</v>
      </c>
      <c r="AE710">
        <v>14</v>
      </c>
    </row>
    <row r="711" spans="1:31" x14ac:dyDescent="0.3">
      <c r="A711" t="s">
        <v>1493</v>
      </c>
      <c r="B711">
        <v>18</v>
      </c>
      <c r="C711" t="str" cm="1">
        <f t="array" ref="C711">_xlfn.IFS(B711&lt;=18,"0-18",B711&lt;=29,"19-29",B711&gt;=49,"30-49",B711&gt;=69,"50-69",TRUE,"70+")</f>
        <v>0-18</v>
      </c>
      <c r="D711" t="s">
        <v>43</v>
      </c>
      <c r="E711" t="s">
        <v>30</v>
      </c>
      <c r="F711" t="s">
        <v>76</v>
      </c>
      <c r="G711" t="s">
        <v>32</v>
      </c>
      <c r="H711" t="s">
        <v>30</v>
      </c>
      <c r="I711" t="s">
        <v>1494</v>
      </c>
      <c r="J711" t="s">
        <v>104</v>
      </c>
      <c r="K711" s="2">
        <v>149.41999999999999</v>
      </c>
      <c r="L711">
        <v>3</v>
      </c>
      <c r="M711" t="s">
        <v>35</v>
      </c>
      <c r="N711">
        <v>1</v>
      </c>
      <c r="O711">
        <v>1</v>
      </c>
      <c r="P711">
        <v>2</v>
      </c>
      <c r="Q711" t="s">
        <v>49</v>
      </c>
      <c r="R711" t="s">
        <v>85</v>
      </c>
      <c r="S711">
        <v>0</v>
      </c>
      <c r="T711">
        <v>6</v>
      </c>
      <c r="U711" t="s">
        <v>36</v>
      </c>
      <c r="V711" t="s">
        <v>79</v>
      </c>
      <c r="W711" t="s">
        <v>86</v>
      </c>
      <c r="X711" s="3">
        <v>46003</v>
      </c>
      <c r="Y711" s="1" t="str">
        <f t="shared" si="22"/>
        <v>Dec</v>
      </c>
      <c r="Z711" s="1" t="str">
        <f t="shared" si="23"/>
        <v>2025</v>
      </c>
      <c r="AA711" t="b">
        <v>1</v>
      </c>
      <c r="AB711" t="b">
        <v>0</v>
      </c>
      <c r="AC711" t="s">
        <v>52</v>
      </c>
      <c r="AD711" t="s">
        <v>67</v>
      </c>
      <c r="AE711">
        <v>5</v>
      </c>
    </row>
    <row r="712" spans="1:31" x14ac:dyDescent="0.3">
      <c r="A712" t="s">
        <v>1495</v>
      </c>
      <c r="B712">
        <v>25</v>
      </c>
      <c r="C712" t="str" cm="1">
        <f t="array" ref="C712">_xlfn.IFS(B712&lt;=18,"0-18",B712&lt;=29,"19-29",B712&gt;=49,"30-49",B712&gt;=69,"50-69",TRUE,"70+")</f>
        <v>19-29</v>
      </c>
      <c r="D712" t="s">
        <v>43</v>
      </c>
      <c r="E712" t="s">
        <v>30</v>
      </c>
      <c r="F712" t="s">
        <v>55</v>
      </c>
      <c r="G712" t="s">
        <v>56</v>
      </c>
      <c r="H712" t="s">
        <v>30</v>
      </c>
      <c r="I712" t="s">
        <v>1496</v>
      </c>
      <c r="J712" t="s">
        <v>71</v>
      </c>
      <c r="K712" s="2">
        <v>82.13</v>
      </c>
      <c r="L712">
        <v>9</v>
      </c>
      <c r="M712" t="s">
        <v>78</v>
      </c>
      <c r="N712">
        <v>5</v>
      </c>
      <c r="O712">
        <v>1</v>
      </c>
      <c r="P712">
        <v>0</v>
      </c>
      <c r="Q712" t="s">
        <v>49</v>
      </c>
      <c r="R712" t="s">
        <v>37</v>
      </c>
      <c r="S712">
        <v>2</v>
      </c>
      <c r="T712">
        <v>6</v>
      </c>
      <c r="U712" t="s">
        <v>44</v>
      </c>
      <c r="V712" t="s">
        <v>38</v>
      </c>
      <c r="W712" t="s">
        <v>61</v>
      </c>
      <c r="X712" s="3">
        <v>46004</v>
      </c>
      <c r="Y712" s="1" t="str">
        <f t="shared" si="22"/>
        <v>Dec</v>
      </c>
      <c r="Z712" s="1" t="str">
        <f t="shared" si="23"/>
        <v>2025</v>
      </c>
      <c r="AA712" t="b">
        <v>1</v>
      </c>
      <c r="AB712" t="b">
        <v>1</v>
      </c>
      <c r="AC712" t="s">
        <v>40</v>
      </c>
      <c r="AD712" t="s">
        <v>67</v>
      </c>
      <c r="AE712">
        <v>6</v>
      </c>
    </row>
    <row r="713" spans="1:31" x14ac:dyDescent="0.3">
      <c r="A713" t="s">
        <v>1497</v>
      </c>
      <c r="B713">
        <v>49</v>
      </c>
      <c r="C713" t="str" cm="1">
        <f t="array" ref="C713">_xlfn.IFS(B713&lt;=18,"0-18",B713&lt;=29,"19-29",B713&gt;=49,"30-49",B713&gt;=69,"50-69",TRUE,"70+")</f>
        <v>30-49</v>
      </c>
      <c r="D713" t="s">
        <v>43</v>
      </c>
      <c r="E713" t="s">
        <v>30</v>
      </c>
      <c r="F713" t="s">
        <v>76</v>
      </c>
      <c r="G713" t="s">
        <v>32</v>
      </c>
      <c r="H713" t="s">
        <v>44</v>
      </c>
      <c r="I713" t="s">
        <v>1498</v>
      </c>
      <c r="J713" t="s">
        <v>90</v>
      </c>
      <c r="K713" s="2">
        <v>425.18</v>
      </c>
      <c r="L713">
        <v>4</v>
      </c>
      <c r="M713" t="s">
        <v>35</v>
      </c>
      <c r="N713">
        <v>2</v>
      </c>
      <c r="O713">
        <v>1</v>
      </c>
      <c r="P713">
        <v>0</v>
      </c>
      <c r="Q713" t="s">
        <v>49</v>
      </c>
      <c r="R713" t="s">
        <v>85</v>
      </c>
      <c r="S713">
        <v>1</v>
      </c>
      <c r="T713">
        <v>8</v>
      </c>
      <c r="U713" t="s">
        <v>49</v>
      </c>
      <c r="V713" t="s">
        <v>38</v>
      </c>
      <c r="W713" t="s">
        <v>51</v>
      </c>
      <c r="X713" s="3">
        <v>46005</v>
      </c>
      <c r="Y713" s="1" t="str">
        <f t="shared" si="22"/>
        <v>Dec</v>
      </c>
      <c r="Z713" s="1" t="str">
        <f t="shared" si="23"/>
        <v>2025</v>
      </c>
      <c r="AA713" t="b">
        <v>1</v>
      </c>
      <c r="AB713" t="b">
        <v>0</v>
      </c>
      <c r="AC713" t="s">
        <v>52</v>
      </c>
      <c r="AD713" t="s">
        <v>53</v>
      </c>
      <c r="AE713">
        <v>10</v>
      </c>
    </row>
    <row r="714" spans="1:31" x14ac:dyDescent="0.3">
      <c r="A714" t="s">
        <v>1499</v>
      </c>
      <c r="B714">
        <v>39</v>
      </c>
      <c r="C714" t="str" cm="1">
        <f t="array" ref="C714">_xlfn.IFS(B714&lt;=18,"0-18",B714&lt;=29,"19-29",B714&gt;=49,"30-49",B714&gt;=69,"50-69",TRUE,"70+")</f>
        <v>70+</v>
      </c>
      <c r="D714" t="s">
        <v>43</v>
      </c>
      <c r="E714" t="s">
        <v>44</v>
      </c>
      <c r="F714" t="s">
        <v>31</v>
      </c>
      <c r="G714" t="s">
        <v>56</v>
      </c>
      <c r="H714" t="s">
        <v>30</v>
      </c>
      <c r="I714" t="s">
        <v>1500</v>
      </c>
      <c r="J714" t="s">
        <v>135</v>
      </c>
      <c r="K714" s="2">
        <v>176.12</v>
      </c>
      <c r="L714">
        <v>8</v>
      </c>
      <c r="M714" t="s">
        <v>78</v>
      </c>
      <c r="N714">
        <v>2</v>
      </c>
      <c r="O714">
        <v>3</v>
      </c>
      <c r="P714">
        <v>1.2</v>
      </c>
      <c r="Q714" t="s">
        <v>49</v>
      </c>
      <c r="R714" t="s">
        <v>37</v>
      </c>
      <c r="S714">
        <v>1</v>
      </c>
      <c r="T714">
        <v>10</v>
      </c>
      <c r="U714" t="s">
        <v>59</v>
      </c>
      <c r="V714" t="s">
        <v>79</v>
      </c>
      <c r="W714" t="s">
        <v>39</v>
      </c>
      <c r="X714" s="3">
        <v>46006</v>
      </c>
      <c r="Y714" s="1" t="str">
        <f t="shared" si="22"/>
        <v>Dec</v>
      </c>
      <c r="Z714" s="1" t="str">
        <f t="shared" si="23"/>
        <v>2025</v>
      </c>
      <c r="AA714" t="b">
        <v>1</v>
      </c>
      <c r="AB714" t="b">
        <v>1</v>
      </c>
      <c r="AC714" t="s">
        <v>62</v>
      </c>
      <c r="AD714" t="s">
        <v>53</v>
      </c>
      <c r="AE714">
        <v>14</v>
      </c>
    </row>
    <row r="715" spans="1:31" x14ac:dyDescent="0.3">
      <c r="A715" t="s">
        <v>1501</v>
      </c>
      <c r="B715">
        <v>47</v>
      </c>
      <c r="C715" t="str" cm="1">
        <f t="array" ref="C715">_xlfn.IFS(B715&lt;=18,"0-18",B715&lt;=29,"19-29",B715&gt;=49,"30-49",B715&gt;=69,"50-69",TRUE,"70+")</f>
        <v>70+</v>
      </c>
      <c r="D715" t="s">
        <v>29</v>
      </c>
      <c r="E715" t="s">
        <v>44</v>
      </c>
      <c r="F715" t="s">
        <v>55</v>
      </c>
      <c r="G715" t="s">
        <v>45</v>
      </c>
      <c r="H715" t="s">
        <v>30</v>
      </c>
      <c r="I715" t="s">
        <v>1502</v>
      </c>
      <c r="J715" t="s">
        <v>246</v>
      </c>
      <c r="K715" s="2">
        <v>70.3</v>
      </c>
      <c r="L715">
        <v>6</v>
      </c>
      <c r="M715" t="s">
        <v>78</v>
      </c>
      <c r="N715">
        <v>3</v>
      </c>
      <c r="O715">
        <v>5</v>
      </c>
      <c r="P715">
        <v>0</v>
      </c>
      <c r="Q715" t="s">
        <v>36</v>
      </c>
      <c r="R715" t="s">
        <v>85</v>
      </c>
      <c r="S715">
        <v>1</v>
      </c>
      <c r="T715">
        <v>8</v>
      </c>
      <c r="U715" t="s">
        <v>49</v>
      </c>
      <c r="V715" t="s">
        <v>79</v>
      </c>
      <c r="W715" t="s">
        <v>86</v>
      </c>
      <c r="X715" s="3">
        <v>46007</v>
      </c>
      <c r="Y715" s="1" t="str">
        <f t="shared" si="22"/>
        <v>Dec</v>
      </c>
      <c r="Z715" s="1" t="str">
        <f t="shared" si="23"/>
        <v>2025</v>
      </c>
      <c r="AA715" t="b">
        <v>1</v>
      </c>
      <c r="AB715" t="b">
        <v>1</v>
      </c>
      <c r="AC715" t="s">
        <v>40</v>
      </c>
      <c r="AD715" t="s">
        <v>53</v>
      </c>
      <c r="AE715">
        <v>3</v>
      </c>
    </row>
    <row r="716" spans="1:31" x14ac:dyDescent="0.3">
      <c r="A716" t="s">
        <v>1503</v>
      </c>
      <c r="B716">
        <v>43</v>
      </c>
      <c r="C716" t="str" cm="1">
        <f t="array" ref="C716">_xlfn.IFS(B716&lt;=18,"0-18",B716&lt;=29,"19-29",B716&gt;=49,"30-49",B716&gt;=69,"50-69",TRUE,"70+")</f>
        <v>70+</v>
      </c>
      <c r="D716" t="s">
        <v>43</v>
      </c>
      <c r="E716" t="s">
        <v>30</v>
      </c>
      <c r="F716" t="s">
        <v>31</v>
      </c>
      <c r="G716" t="s">
        <v>32</v>
      </c>
      <c r="H716" t="s">
        <v>30</v>
      </c>
      <c r="I716" t="s">
        <v>1504</v>
      </c>
      <c r="J716" t="s">
        <v>98</v>
      </c>
      <c r="K716" s="2">
        <v>319.39</v>
      </c>
      <c r="L716">
        <v>7</v>
      </c>
      <c r="M716" t="s">
        <v>35</v>
      </c>
      <c r="N716">
        <v>4</v>
      </c>
      <c r="O716">
        <v>5</v>
      </c>
      <c r="P716">
        <v>0</v>
      </c>
      <c r="Q716" t="s">
        <v>36</v>
      </c>
      <c r="R716" t="s">
        <v>85</v>
      </c>
      <c r="S716">
        <v>1</v>
      </c>
      <c r="T716">
        <v>10</v>
      </c>
      <c r="U716" t="s">
        <v>44</v>
      </c>
      <c r="V716" t="s">
        <v>79</v>
      </c>
      <c r="W716" t="s">
        <v>39</v>
      </c>
      <c r="X716" s="3">
        <v>46008</v>
      </c>
      <c r="Y716" s="1" t="str">
        <f t="shared" si="22"/>
        <v>Dec</v>
      </c>
      <c r="Z716" s="1" t="str">
        <f t="shared" si="23"/>
        <v>2025</v>
      </c>
      <c r="AA716" t="b">
        <v>0</v>
      </c>
      <c r="AB716" t="b">
        <v>1</v>
      </c>
      <c r="AC716" t="s">
        <v>74</v>
      </c>
      <c r="AD716" t="s">
        <v>53</v>
      </c>
      <c r="AE716">
        <v>3</v>
      </c>
    </row>
    <row r="717" spans="1:31" x14ac:dyDescent="0.3">
      <c r="A717" t="s">
        <v>1505</v>
      </c>
      <c r="B717">
        <v>38</v>
      </c>
      <c r="C717" t="str" cm="1">
        <f t="array" ref="C717">_xlfn.IFS(B717&lt;=18,"0-18",B717&lt;=29,"19-29",B717&gt;=49,"30-49",B717&gt;=69,"50-69",TRUE,"70+")</f>
        <v>70+</v>
      </c>
      <c r="D717" t="s">
        <v>29</v>
      </c>
      <c r="E717" t="s">
        <v>44</v>
      </c>
      <c r="F717" t="s">
        <v>69</v>
      </c>
      <c r="G717" t="s">
        <v>45</v>
      </c>
      <c r="H717" t="s">
        <v>44</v>
      </c>
      <c r="I717" t="s">
        <v>1506</v>
      </c>
      <c r="J717" t="s">
        <v>65</v>
      </c>
      <c r="K717" s="2">
        <v>113.51</v>
      </c>
      <c r="L717">
        <v>11</v>
      </c>
      <c r="M717" t="s">
        <v>35</v>
      </c>
      <c r="N717">
        <v>4</v>
      </c>
      <c r="O717">
        <v>1</v>
      </c>
      <c r="P717">
        <v>1</v>
      </c>
      <c r="Q717" t="s">
        <v>44</v>
      </c>
      <c r="R717" t="s">
        <v>50</v>
      </c>
      <c r="S717">
        <v>2</v>
      </c>
      <c r="T717">
        <v>2</v>
      </c>
      <c r="U717" t="s">
        <v>59</v>
      </c>
      <c r="V717" t="s">
        <v>79</v>
      </c>
      <c r="W717" t="s">
        <v>39</v>
      </c>
      <c r="X717" s="3">
        <v>46009</v>
      </c>
      <c r="Y717" s="1" t="str">
        <f t="shared" si="22"/>
        <v>Dec</v>
      </c>
      <c r="Z717" s="1" t="str">
        <f t="shared" si="23"/>
        <v>2025</v>
      </c>
      <c r="AA717" t="b">
        <v>1</v>
      </c>
      <c r="AB717" t="b">
        <v>1</v>
      </c>
      <c r="AC717" t="s">
        <v>74</v>
      </c>
      <c r="AD717" t="s">
        <v>67</v>
      </c>
      <c r="AE717">
        <v>8</v>
      </c>
    </row>
    <row r="718" spans="1:31" x14ac:dyDescent="0.3">
      <c r="A718" t="s">
        <v>1507</v>
      </c>
      <c r="B718">
        <v>40</v>
      </c>
      <c r="C718" t="str" cm="1">
        <f t="array" ref="C718">_xlfn.IFS(B718&lt;=18,"0-18",B718&lt;=29,"19-29",B718&gt;=49,"30-49",B718&gt;=69,"50-69",TRUE,"70+")</f>
        <v>70+</v>
      </c>
      <c r="D718" t="s">
        <v>29</v>
      </c>
      <c r="E718" t="s">
        <v>44</v>
      </c>
      <c r="F718" t="s">
        <v>55</v>
      </c>
      <c r="G718" t="s">
        <v>32</v>
      </c>
      <c r="H718" t="s">
        <v>30</v>
      </c>
      <c r="I718" t="s">
        <v>1508</v>
      </c>
      <c r="J718" t="s">
        <v>101</v>
      </c>
      <c r="K718" s="2">
        <v>492.74</v>
      </c>
      <c r="L718">
        <v>2</v>
      </c>
      <c r="M718" t="s">
        <v>35</v>
      </c>
      <c r="N718">
        <v>1</v>
      </c>
      <c r="O718">
        <v>5</v>
      </c>
      <c r="P718">
        <v>2</v>
      </c>
      <c r="Q718" t="s">
        <v>59</v>
      </c>
      <c r="R718" t="s">
        <v>85</v>
      </c>
      <c r="S718">
        <v>1</v>
      </c>
      <c r="T718">
        <v>3</v>
      </c>
      <c r="U718" t="s">
        <v>44</v>
      </c>
      <c r="V718" t="s">
        <v>38</v>
      </c>
      <c r="W718" t="s">
        <v>66</v>
      </c>
      <c r="X718" s="3">
        <v>46010</v>
      </c>
      <c r="Y718" s="1" t="str">
        <f t="shared" si="22"/>
        <v>Dec</v>
      </c>
      <c r="Z718" s="1" t="str">
        <f t="shared" si="23"/>
        <v>2025</v>
      </c>
      <c r="AA718" t="b">
        <v>1</v>
      </c>
      <c r="AB718" t="b">
        <v>0</v>
      </c>
      <c r="AC718" t="s">
        <v>40</v>
      </c>
      <c r="AD718" t="s">
        <v>67</v>
      </c>
      <c r="AE718">
        <v>13</v>
      </c>
    </row>
    <row r="719" spans="1:31" x14ac:dyDescent="0.3">
      <c r="A719" t="s">
        <v>1509</v>
      </c>
      <c r="B719">
        <v>33</v>
      </c>
      <c r="C719" t="str" cm="1">
        <f t="array" ref="C719">_xlfn.IFS(B719&lt;=18,"0-18",B719&lt;=29,"19-29",B719&gt;=49,"30-49",B719&gt;=69,"50-69",TRUE,"70+")</f>
        <v>70+</v>
      </c>
      <c r="D719" t="s">
        <v>43</v>
      </c>
      <c r="E719" t="s">
        <v>30</v>
      </c>
      <c r="F719" t="s">
        <v>76</v>
      </c>
      <c r="G719" t="s">
        <v>56</v>
      </c>
      <c r="H719" t="s">
        <v>30</v>
      </c>
      <c r="I719" t="s">
        <v>1510</v>
      </c>
      <c r="J719" t="s">
        <v>71</v>
      </c>
      <c r="K719" s="2">
        <v>143.80000000000001</v>
      </c>
      <c r="L719">
        <v>9</v>
      </c>
      <c r="M719" t="s">
        <v>48</v>
      </c>
      <c r="N719">
        <v>2</v>
      </c>
      <c r="O719">
        <v>2</v>
      </c>
      <c r="P719">
        <v>2</v>
      </c>
      <c r="Q719" t="s">
        <v>59</v>
      </c>
      <c r="R719" t="s">
        <v>37</v>
      </c>
      <c r="S719">
        <v>0</v>
      </c>
      <c r="T719">
        <v>7</v>
      </c>
      <c r="U719" t="s">
        <v>36</v>
      </c>
      <c r="V719" t="s">
        <v>38</v>
      </c>
      <c r="W719" t="s">
        <v>61</v>
      </c>
      <c r="X719" s="3">
        <v>46011</v>
      </c>
      <c r="Y719" s="1" t="str">
        <f t="shared" si="22"/>
        <v>Dec</v>
      </c>
      <c r="Z719" s="1" t="str">
        <f t="shared" si="23"/>
        <v>2025</v>
      </c>
      <c r="AA719" t="b">
        <v>1</v>
      </c>
      <c r="AB719" t="b">
        <v>0</v>
      </c>
      <c r="AC719" t="s">
        <v>52</v>
      </c>
      <c r="AD719" t="s">
        <v>41</v>
      </c>
      <c r="AE719">
        <v>11</v>
      </c>
    </row>
    <row r="720" spans="1:31" x14ac:dyDescent="0.3">
      <c r="A720" t="s">
        <v>1511</v>
      </c>
      <c r="B720">
        <v>18</v>
      </c>
      <c r="C720" t="str" cm="1">
        <f t="array" ref="C720">_xlfn.IFS(B720&lt;=18,"0-18",B720&lt;=29,"19-29",B720&gt;=49,"30-49",B720&gt;=69,"50-69",TRUE,"70+")</f>
        <v>0-18</v>
      </c>
      <c r="D720" t="s">
        <v>274</v>
      </c>
      <c r="E720" t="s">
        <v>30</v>
      </c>
      <c r="F720" t="s">
        <v>69</v>
      </c>
      <c r="G720" t="s">
        <v>32</v>
      </c>
      <c r="H720" t="s">
        <v>30</v>
      </c>
      <c r="I720" t="s">
        <v>1512</v>
      </c>
      <c r="J720" t="s">
        <v>135</v>
      </c>
      <c r="K720" s="2">
        <v>158.54</v>
      </c>
      <c r="L720">
        <v>5</v>
      </c>
      <c r="M720" t="s">
        <v>78</v>
      </c>
      <c r="N720">
        <v>2</v>
      </c>
      <c r="O720">
        <v>1</v>
      </c>
      <c r="P720">
        <v>1</v>
      </c>
      <c r="Q720" t="s">
        <v>59</v>
      </c>
      <c r="R720" t="s">
        <v>50</v>
      </c>
      <c r="S720">
        <v>2</v>
      </c>
      <c r="T720">
        <v>7</v>
      </c>
      <c r="U720" t="s">
        <v>44</v>
      </c>
      <c r="V720" t="s">
        <v>60</v>
      </c>
      <c r="W720" t="s">
        <v>61</v>
      </c>
      <c r="X720" s="3">
        <v>46012</v>
      </c>
      <c r="Y720" s="1" t="str">
        <f t="shared" si="22"/>
        <v>Dec</v>
      </c>
      <c r="Z720" s="1" t="str">
        <f t="shared" si="23"/>
        <v>2025</v>
      </c>
      <c r="AA720" t="b">
        <v>0</v>
      </c>
      <c r="AB720" t="b">
        <v>0</v>
      </c>
      <c r="AC720" t="s">
        <v>74</v>
      </c>
      <c r="AD720" t="s">
        <v>67</v>
      </c>
      <c r="AE720">
        <v>5</v>
      </c>
    </row>
    <row r="721" spans="1:31" x14ac:dyDescent="0.3">
      <c r="A721" t="s">
        <v>1513</v>
      </c>
      <c r="B721">
        <v>39</v>
      </c>
      <c r="C721" t="str" cm="1">
        <f t="array" ref="C721">_xlfn.IFS(B721&lt;=18,"0-18",B721&lt;=29,"19-29",B721&gt;=49,"30-49",B721&gt;=69,"50-69",TRUE,"70+")</f>
        <v>70+</v>
      </c>
      <c r="D721" t="s">
        <v>29</v>
      </c>
      <c r="E721" t="s">
        <v>44</v>
      </c>
      <c r="F721" t="s">
        <v>31</v>
      </c>
      <c r="G721" t="s">
        <v>32</v>
      </c>
      <c r="H721" t="s">
        <v>44</v>
      </c>
      <c r="I721" t="s">
        <v>1514</v>
      </c>
      <c r="J721" t="s">
        <v>71</v>
      </c>
      <c r="K721" s="2">
        <v>213.39</v>
      </c>
      <c r="L721">
        <v>6</v>
      </c>
      <c r="M721" t="s">
        <v>78</v>
      </c>
      <c r="N721">
        <v>3</v>
      </c>
      <c r="O721">
        <v>4</v>
      </c>
      <c r="P721">
        <v>2</v>
      </c>
      <c r="Q721" t="s">
        <v>49</v>
      </c>
      <c r="R721" t="s">
        <v>50</v>
      </c>
      <c r="S721">
        <v>2</v>
      </c>
      <c r="T721">
        <v>5</v>
      </c>
      <c r="U721" t="s">
        <v>49</v>
      </c>
      <c r="V721" t="s">
        <v>79</v>
      </c>
      <c r="W721" t="s">
        <v>86</v>
      </c>
      <c r="X721" s="3">
        <v>46013</v>
      </c>
      <c r="Y721" s="1" t="str">
        <f t="shared" si="22"/>
        <v>Dec</v>
      </c>
      <c r="Z721" s="1" t="str">
        <f t="shared" si="23"/>
        <v>2025</v>
      </c>
      <c r="AA721" t="b">
        <v>0</v>
      </c>
      <c r="AB721" t="b">
        <v>1</v>
      </c>
      <c r="AC721" t="s">
        <v>74</v>
      </c>
      <c r="AD721" t="s">
        <v>53</v>
      </c>
      <c r="AE721">
        <v>4</v>
      </c>
    </row>
    <row r="722" spans="1:31" x14ac:dyDescent="0.3">
      <c r="A722" t="s">
        <v>1515</v>
      </c>
      <c r="B722">
        <v>31</v>
      </c>
      <c r="C722" t="str" cm="1">
        <f t="array" ref="C722">_xlfn.IFS(B722&lt;=18,"0-18",B722&lt;=29,"19-29",B722&gt;=49,"30-49",B722&gt;=69,"50-69",TRUE,"70+")</f>
        <v>70+</v>
      </c>
      <c r="D722" t="s">
        <v>43</v>
      </c>
      <c r="E722" t="s">
        <v>30</v>
      </c>
      <c r="F722" t="s">
        <v>76</v>
      </c>
      <c r="G722" t="s">
        <v>32</v>
      </c>
      <c r="H722" t="s">
        <v>44</v>
      </c>
      <c r="I722" t="s">
        <v>1516</v>
      </c>
      <c r="J722" t="s">
        <v>142</v>
      </c>
      <c r="K722" s="2">
        <v>127.18</v>
      </c>
      <c r="L722">
        <v>2</v>
      </c>
      <c r="M722" t="s">
        <v>48</v>
      </c>
      <c r="N722">
        <v>5</v>
      </c>
      <c r="O722">
        <v>5</v>
      </c>
      <c r="P722">
        <v>1</v>
      </c>
      <c r="Q722" t="s">
        <v>49</v>
      </c>
      <c r="R722" t="s">
        <v>37</v>
      </c>
      <c r="S722">
        <v>0</v>
      </c>
      <c r="T722">
        <v>2</v>
      </c>
      <c r="U722" t="s">
        <v>49</v>
      </c>
      <c r="V722" t="s">
        <v>79</v>
      </c>
      <c r="W722" t="s">
        <v>61</v>
      </c>
      <c r="X722" s="3">
        <v>46014</v>
      </c>
      <c r="Y722" s="1" t="str">
        <f t="shared" si="22"/>
        <v>Dec</v>
      </c>
      <c r="Z722" s="1" t="str">
        <f t="shared" si="23"/>
        <v>2025</v>
      </c>
      <c r="AA722" t="b">
        <v>0</v>
      </c>
      <c r="AB722" t="b">
        <v>0</v>
      </c>
      <c r="AC722" t="s">
        <v>74</v>
      </c>
      <c r="AD722" t="s">
        <v>53</v>
      </c>
      <c r="AE722">
        <v>4</v>
      </c>
    </row>
    <row r="723" spans="1:31" x14ac:dyDescent="0.3">
      <c r="A723" t="s">
        <v>1517</v>
      </c>
      <c r="B723">
        <v>27</v>
      </c>
      <c r="C723" t="str" cm="1">
        <f t="array" ref="C723">_xlfn.IFS(B723&lt;=18,"0-18",B723&lt;=29,"19-29",B723&gt;=49,"30-49",B723&gt;=69,"50-69",TRUE,"70+")</f>
        <v>19-29</v>
      </c>
      <c r="D723" t="s">
        <v>43</v>
      </c>
      <c r="E723" t="s">
        <v>30</v>
      </c>
      <c r="F723" t="s">
        <v>76</v>
      </c>
      <c r="G723" t="s">
        <v>56</v>
      </c>
      <c r="H723" t="s">
        <v>44</v>
      </c>
      <c r="I723" t="s">
        <v>1518</v>
      </c>
      <c r="J723" t="s">
        <v>98</v>
      </c>
      <c r="K723" s="2">
        <v>476.63</v>
      </c>
      <c r="L723">
        <v>9</v>
      </c>
      <c r="M723" t="s">
        <v>48</v>
      </c>
      <c r="N723">
        <v>3</v>
      </c>
      <c r="O723">
        <v>5</v>
      </c>
      <c r="P723">
        <v>2</v>
      </c>
      <c r="Q723" t="s">
        <v>49</v>
      </c>
      <c r="R723" t="s">
        <v>50</v>
      </c>
      <c r="S723">
        <v>2</v>
      </c>
      <c r="T723">
        <v>2</v>
      </c>
      <c r="U723" t="s">
        <v>36</v>
      </c>
      <c r="V723" t="s">
        <v>79</v>
      </c>
      <c r="W723" t="s">
        <v>61</v>
      </c>
      <c r="X723" s="3">
        <v>46015</v>
      </c>
      <c r="Y723" s="1" t="str">
        <f t="shared" si="22"/>
        <v>Dec</v>
      </c>
      <c r="Z723" s="1" t="str">
        <f t="shared" si="23"/>
        <v>2025</v>
      </c>
      <c r="AA723" t="b">
        <v>1</v>
      </c>
      <c r="AB723" t="b">
        <v>0</v>
      </c>
      <c r="AC723" t="s">
        <v>62</v>
      </c>
      <c r="AD723" t="s">
        <v>41</v>
      </c>
      <c r="AE723">
        <v>1</v>
      </c>
    </row>
    <row r="724" spans="1:31" x14ac:dyDescent="0.3">
      <c r="A724" t="s">
        <v>1519</v>
      </c>
      <c r="B724">
        <v>31</v>
      </c>
      <c r="C724" t="str" cm="1">
        <f t="array" ref="C724">_xlfn.IFS(B724&lt;=18,"0-18",B724&lt;=29,"19-29",B724&gt;=49,"30-49",B724&gt;=69,"50-69",TRUE,"70+")</f>
        <v>70+</v>
      </c>
      <c r="D724" t="s">
        <v>29</v>
      </c>
      <c r="E724" t="s">
        <v>44</v>
      </c>
      <c r="F724" t="s">
        <v>55</v>
      </c>
      <c r="G724" t="s">
        <v>32</v>
      </c>
      <c r="H724" t="s">
        <v>30</v>
      </c>
      <c r="I724" t="s">
        <v>1520</v>
      </c>
      <c r="J724" t="s">
        <v>101</v>
      </c>
      <c r="K724" s="2">
        <v>56.02</v>
      </c>
      <c r="L724">
        <v>3</v>
      </c>
      <c r="M724" t="s">
        <v>78</v>
      </c>
      <c r="N724">
        <v>5</v>
      </c>
      <c r="O724">
        <v>3</v>
      </c>
      <c r="P724">
        <v>1</v>
      </c>
      <c r="Q724" t="s">
        <v>36</v>
      </c>
      <c r="R724" t="s">
        <v>85</v>
      </c>
      <c r="S724">
        <v>1</v>
      </c>
      <c r="T724">
        <v>6</v>
      </c>
      <c r="U724" t="s">
        <v>44</v>
      </c>
      <c r="V724" t="s">
        <v>79</v>
      </c>
      <c r="W724" t="s">
        <v>51</v>
      </c>
      <c r="X724" s="3">
        <v>46016</v>
      </c>
      <c r="Y724" s="1" t="str">
        <f t="shared" si="22"/>
        <v>Dec</v>
      </c>
      <c r="Z724" s="1" t="str">
        <f t="shared" si="23"/>
        <v>2025</v>
      </c>
      <c r="AA724" t="b">
        <v>0</v>
      </c>
      <c r="AB724" t="b">
        <v>1</v>
      </c>
      <c r="AC724" t="s">
        <v>40</v>
      </c>
      <c r="AD724" t="s">
        <v>53</v>
      </c>
      <c r="AE724">
        <v>12</v>
      </c>
    </row>
    <row r="725" spans="1:31" x14ac:dyDescent="0.3">
      <c r="A725" t="s">
        <v>1521</v>
      </c>
      <c r="B725">
        <v>36</v>
      </c>
      <c r="C725" t="str" cm="1">
        <f t="array" ref="C725">_xlfn.IFS(B725&lt;=18,"0-18",B725&lt;=29,"19-29",B725&gt;=49,"30-49",B725&gt;=69,"50-69",TRUE,"70+")</f>
        <v>70+</v>
      </c>
      <c r="D725" t="s">
        <v>29</v>
      </c>
      <c r="E725" t="s">
        <v>44</v>
      </c>
      <c r="F725" t="s">
        <v>69</v>
      </c>
      <c r="G725" t="s">
        <v>32</v>
      </c>
      <c r="H725" t="s">
        <v>30</v>
      </c>
      <c r="I725" t="s">
        <v>1522</v>
      </c>
      <c r="J725" t="s">
        <v>117</v>
      </c>
      <c r="K725" s="2">
        <v>398.97</v>
      </c>
      <c r="L725">
        <v>3</v>
      </c>
      <c r="M725" t="s">
        <v>78</v>
      </c>
      <c r="N725">
        <v>2</v>
      </c>
      <c r="O725">
        <v>3</v>
      </c>
      <c r="P725">
        <v>1</v>
      </c>
      <c r="Q725" t="s">
        <v>44</v>
      </c>
      <c r="R725" t="s">
        <v>50</v>
      </c>
      <c r="S725">
        <v>2</v>
      </c>
      <c r="T725">
        <v>3</v>
      </c>
      <c r="U725" t="s">
        <v>44</v>
      </c>
      <c r="V725" t="s">
        <v>38</v>
      </c>
      <c r="W725" t="s">
        <v>61</v>
      </c>
      <c r="X725" s="3">
        <v>46017</v>
      </c>
      <c r="Y725" s="1" t="str">
        <f t="shared" si="22"/>
        <v>Dec</v>
      </c>
      <c r="Z725" s="1" t="str">
        <f t="shared" si="23"/>
        <v>2025</v>
      </c>
      <c r="AA725" t="b">
        <v>0</v>
      </c>
      <c r="AB725" t="b">
        <v>0</v>
      </c>
      <c r="AC725" t="s">
        <v>62</v>
      </c>
      <c r="AD725" t="s">
        <v>41</v>
      </c>
      <c r="AE725">
        <v>9</v>
      </c>
    </row>
    <row r="726" spans="1:31" x14ac:dyDescent="0.3">
      <c r="A726" t="s">
        <v>1523</v>
      </c>
      <c r="B726">
        <v>27</v>
      </c>
      <c r="C726" t="str" cm="1">
        <f t="array" ref="C726">_xlfn.IFS(B726&lt;=18,"0-18",B726&lt;=29,"19-29",B726&gt;=49,"30-49",B726&gt;=69,"50-69",TRUE,"70+")</f>
        <v>19-29</v>
      </c>
      <c r="D726" t="s">
        <v>29</v>
      </c>
      <c r="E726" t="s">
        <v>30</v>
      </c>
      <c r="F726" t="s">
        <v>76</v>
      </c>
      <c r="G726" t="s">
        <v>45</v>
      </c>
      <c r="H726" t="s">
        <v>30</v>
      </c>
      <c r="I726" t="s">
        <v>902</v>
      </c>
      <c r="J726" t="s">
        <v>158</v>
      </c>
      <c r="K726" s="2">
        <v>53.45</v>
      </c>
      <c r="L726">
        <v>6</v>
      </c>
      <c r="M726" t="s">
        <v>35</v>
      </c>
      <c r="N726">
        <v>2</v>
      </c>
      <c r="O726">
        <v>3</v>
      </c>
      <c r="P726">
        <v>1</v>
      </c>
      <c r="Q726" t="s">
        <v>44</v>
      </c>
      <c r="R726" t="s">
        <v>37</v>
      </c>
      <c r="S726">
        <v>1</v>
      </c>
      <c r="T726">
        <v>9</v>
      </c>
      <c r="U726" t="s">
        <v>44</v>
      </c>
      <c r="V726" t="s">
        <v>38</v>
      </c>
      <c r="W726" t="s">
        <v>61</v>
      </c>
      <c r="X726" s="3">
        <v>46018</v>
      </c>
      <c r="Y726" s="1" t="str">
        <f t="shared" si="22"/>
        <v>Dec</v>
      </c>
      <c r="Z726" s="1" t="str">
        <f t="shared" si="23"/>
        <v>2025</v>
      </c>
      <c r="AA726" t="b">
        <v>0</v>
      </c>
      <c r="AB726" t="b">
        <v>0</v>
      </c>
      <c r="AC726" t="s">
        <v>40</v>
      </c>
      <c r="AD726" t="s">
        <v>53</v>
      </c>
      <c r="AE726">
        <v>11</v>
      </c>
    </row>
    <row r="727" spans="1:31" x14ac:dyDescent="0.3">
      <c r="A727" t="s">
        <v>1524</v>
      </c>
      <c r="B727">
        <v>21</v>
      </c>
      <c r="C727" t="str" cm="1">
        <f t="array" ref="C727">_xlfn.IFS(B727&lt;=18,"0-18",B727&lt;=29,"19-29",B727&gt;=49,"30-49",B727&gt;=69,"50-69",TRUE,"70+")</f>
        <v>19-29</v>
      </c>
      <c r="D727" t="s">
        <v>274</v>
      </c>
      <c r="E727" t="s">
        <v>30</v>
      </c>
      <c r="F727" t="s">
        <v>31</v>
      </c>
      <c r="G727" t="s">
        <v>32</v>
      </c>
      <c r="H727" t="s">
        <v>44</v>
      </c>
      <c r="I727" t="s">
        <v>1525</v>
      </c>
      <c r="J727" t="s">
        <v>158</v>
      </c>
      <c r="K727" s="2">
        <v>61.19</v>
      </c>
      <c r="L727">
        <v>2</v>
      </c>
      <c r="M727" t="s">
        <v>35</v>
      </c>
      <c r="N727">
        <v>4</v>
      </c>
      <c r="O727">
        <v>5</v>
      </c>
      <c r="P727">
        <v>1</v>
      </c>
      <c r="Q727" t="s">
        <v>36</v>
      </c>
      <c r="R727" t="s">
        <v>50</v>
      </c>
      <c r="S727">
        <v>2</v>
      </c>
      <c r="T727">
        <v>6</v>
      </c>
      <c r="U727" t="s">
        <v>44</v>
      </c>
      <c r="V727" t="s">
        <v>79</v>
      </c>
      <c r="W727" t="s">
        <v>51</v>
      </c>
      <c r="X727" s="3">
        <v>46019</v>
      </c>
      <c r="Y727" s="1" t="str">
        <f t="shared" si="22"/>
        <v>Dec</v>
      </c>
      <c r="Z727" s="1" t="str">
        <f t="shared" si="23"/>
        <v>2025</v>
      </c>
      <c r="AA727" t="b">
        <v>1</v>
      </c>
      <c r="AB727" t="b">
        <v>1</v>
      </c>
      <c r="AC727" t="s">
        <v>52</v>
      </c>
      <c r="AD727" t="s">
        <v>41</v>
      </c>
      <c r="AE727">
        <v>3</v>
      </c>
    </row>
    <row r="728" spans="1:31" x14ac:dyDescent="0.3">
      <c r="A728" t="s">
        <v>1526</v>
      </c>
      <c r="B728">
        <v>50</v>
      </c>
      <c r="C728" t="str" cm="1">
        <f t="array" ref="C728">_xlfn.IFS(B728&lt;=18,"0-18",B728&lt;=29,"19-29",B728&gt;=49,"30-49",B728&gt;=69,"50-69",TRUE,"70+")</f>
        <v>30-49</v>
      </c>
      <c r="D728" t="s">
        <v>29</v>
      </c>
      <c r="E728" t="s">
        <v>30</v>
      </c>
      <c r="F728" t="s">
        <v>31</v>
      </c>
      <c r="G728" t="s">
        <v>45</v>
      </c>
      <c r="H728" t="s">
        <v>30</v>
      </c>
      <c r="I728" t="s">
        <v>1527</v>
      </c>
      <c r="J728" t="s">
        <v>98</v>
      </c>
      <c r="K728" s="2">
        <v>471.31</v>
      </c>
      <c r="L728">
        <v>4</v>
      </c>
      <c r="M728" t="s">
        <v>35</v>
      </c>
      <c r="N728">
        <v>1</v>
      </c>
      <c r="O728">
        <v>5</v>
      </c>
      <c r="P728">
        <v>2</v>
      </c>
      <c r="Q728" t="s">
        <v>44</v>
      </c>
      <c r="R728" t="s">
        <v>85</v>
      </c>
      <c r="S728">
        <v>0</v>
      </c>
      <c r="T728">
        <v>8</v>
      </c>
      <c r="U728" t="s">
        <v>36</v>
      </c>
      <c r="V728" t="s">
        <v>60</v>
      </c>
      <c r="W728" t="s">
        <v>66</v>
      </c>
      <c r="X728" s="3">
        <v>46020</v>
      </c>
      <c r="Y728" s="1" t="str">
        <f t="shared" si="22"/>
        <v>Dec</v>
      </c>
      <c r="Z728" s="1" t="str">
        <f t="shared" si="23"/>
        <v>2025</v>
      </c>
      <c r="AA728" t="b">
        <v>0</v>
      </c>
      <c r="AB728" t="b">
        <v>1</v>
      </c>
      <c r="AC728" t="s">
        <v>62</v>
      </c>
      <c r="AD728" t="s">
        <v>67</v>
      </c>
      <c r="AE728">
        <v>7</v>
      </c>
    </row>
    <row r="729" spans="1:31" x14ac:dyDescent="0.3">
      <c r="A729" t="s">
        <v>1528</v>
      </c>
      <c r="B729">
        <v>49</v>
      </c>
      <c r="C729" t="str" cm="1">
        <f t="array" ref="C729">_xlfn.IFS(B729&lt;=18,"0-18",B729&lt;=29,"19-29",B729&gt;=49,"30-49",B729&gt;=69,"50-69",TRUE,"70+")</f>
        <v>30-49</v>
      </c>
      <c r="D729" t="s">
        <v>29</v>
      </c>
      <c r="E729" t="s">
        <v>44</v>
      </c>
      <c r="F729" t="s">
        <v>76</v>
      </c>
      <c r="G729" t="s">
        <v>45</v>
      </c>
      <c r="H729" t="s">
        <v>44</v>
      </c>
      <c r="I729" t="s">
        <v>1529</v>
      </c>
      <c r="J729" t="s">
        <v>104</v>
      </c>
      <c r="K729" s="2">
        <v>179.19</v>
      </c>
      <c r="L729">
        <v>10</v>
      </c>
      <c r="M729" t="s">
        <v>48</v>
      </c>
      <c r="N729">
        <v>3</v>
      </c>
      <c r="O729">
        <v>1</v>
      </c>
      <c r="P729">
        <v>1</v>
      </c>
      <c r="Q729" t="s">
        <v>59</v>
      </c>
      <c r="R729" t="s">
        <v>50</v>
      </c>
      <c r="S729">
        <v>2</v>
      </c>
      <c r="T729">
        <v>7</v>
      </c>
      <c r="U729" t="s">
        <v>36</v>
      </c>
      <c r="V729" t="s">
        <v>38</v>
      </c>
      <c r="W729" t="s">
        <v>51</v>
      </c>
      <c r="X729" s="3">
        <v>46021</v>
      </c>
      <c r="Y729" s="1" t="str">
        <f t="shared" si="22"/>
        <v>Dec</v>
      </c>
      <c r="Z729" s="1" t="str">
        <f t="shared" si="23"/>
        <v>2025</v>
      </c>
      <c r="AA729" t="b">
        <v>0</v>
      </c>
      <c r="AB729" t="b">
        <v>0</v>
      </c>
      <c r="AC729" t="s">
        <v>62</v>
      </c>
      <c r="AD729" t="s">
        <v>67</v>
      </c>
      <c r="AE729">
        <v>12</v>
      </c>
    </row>
    <row r="730" spans="1:31" x14ac:dyDescent="0.3">
      <c r="A730" t="s">
        <v>1530</v>
      </c>
      <c r="B730">
        <v>43</v>
      </c>
      <c r="C730" t="str" cm="1">
        <f t="array" ref="C730">_xlfn.IFS(B730&lt;=18,"0-18",B730&lt;=29,"19-29",B730&gt;=49,"30-49",B730&gt;=69,"50-69",TRUE,"70+")</f>
        <v>70+</v>
      </c>
      <c r="D730" t="s">
        <v>29</v>
      </c>
      <c r="E730" t="s">
        <v>44</v>
      </c>
      <c r="F730" t="s">
        <v>76</v>
      </c>
      <c r="G730" t="s">
        <v>45</v>
      </c>
      <c r="H730" t="s">
        <v>30</v>
      </c>
      <c r="I730" t="s">
        <v>1531</v>
      </c>
      <c r="J730" t="s">
        <v>47</v>
      </c>
      <c r="K730" s="2">
        <v>294.61</v>
      </c>
      <c r="L730">
        <v>6</v>
      </c>
      <c r="M730" t="s">
        <v>48</v>
      </c>
      <c r="N730">
        <v>2</v>
      </c>
      <c r="O730">
        <v>1</v>
      </c>
      <c r="P730">
        <v>0</v>
      </c>
      <c r="Q730" t="s">
        <v>36</v>
      </c>
      <c r="R730" t="s">
        <v>85</v>
      </c>
      <c r="S730">
        <v>0</v>
      </c>
      <c r="T730">
        <v>2</v>
      </c>
      <c r="U730" t="s">
        <v>36</v>
      </c>
      <c r="V730" t="s">
        <v>79</v>
      </c>
      <c r="W730" t="s">
        <v>51</v>
      </c>
      <c r="X730" s="3">
        <v>46022</v>
      </c>
      <c r="Y730" s="1" t="str">
        <f t="shared" si="22"/>
        <v>Dec</v>
      </c>
      <c r="Z730" s="1" t="str">
        <f t="shared" si="23"/>
        <v>2025</v>
      </c>
      <c r="AA730" t="b">
        <v>0</v>
      </c>
      <c r="AB730" t="b">
        <v>1</v>
      </c>
      <c r="AC730" t="s">
        <v>52</v>
      </c>
      <c r="AD730" t="s">
        <v>67</v>
      </c>
      <c r="AE730">
        <v>4</v>
      </c>
    </row>
    <row r="731" spans="1:31" x14ac:dyDescent="0.3">
      <c r="A731" t="s">
        <v>1532</v>
      </c>
      <c r="B731">
        <v>35</v>
      </c>
      <c r="C731" t="str" cm="1">
        <f t="array" ref="C731">_xlfn.IFS(B731&lt;=18,"0-18",B731&lt;=29,"19-29",B731&gt;=49,"30-49",B731&gt;=69,"50-69",TRUE,"70+")</f>
        <v>70+</v>
      </c>
      <c r="D731" t="s">
        <v>190</v>
      </c>
      <c r="E731" t="s">
        <v>44</v>
      </c>
      <c r="F731" t="s">
        <v>69</v>
      </c>
      <c r="G731" t="s">
        <v>32</v>
      </c>
      <c r="H731" t="s">
        <v>44</v>
      </c>
      <c r="I731" t="s">
        <v>1533</v>
      </c>
      <c r="J731" t="s">
        <v>104</v>
      </c>
      <c r="K731" s="2">
        <v>375.45</v>
      </c>
      <c r="L731">
        <v>6</v>
      </c>
      <c r="M731" t="s">
        <v>78</v>
      </c>
      <c r="N731">
        <v>3</v>
      </c>
      <c r="O731">
        <v>4</v>
      </c>
      <c r="P731">
        <v>0</v>
      </c>
      <c r="Q731" t="s">
        <v>44</v>
      </c>
      <c r="R731" t="s">
        <v>50</v>
      </c>
      <c r="S731">
        <v>1</v>
      </c>
      <c r="T731">
        <v>8</v>
      </c>
      <c r="U731" t="s">
        <v>49</v>
      </c>
      <c r="V731" t="s">
        <v>60</v>
      </c>
      <c r="W731" t="s">
        <v>66</v>
      </c>
      <c r="X731" s="3">
        <v>46023</v>
      </c>
      <c r="Y731" s="1" t="str">
        <f t="shared" si="22"/>
        <v>Jan</v>
      </c>
      <c r="Z731" s="1" t="str">
        <f t="shared" si="23"/>
        <v>2026</v>
      </c>
      <c r="AA731" t="b">
        <v>0</v>
      </c>
      <c r="AB731" t="b">
        <v>1</v>
      </c>
      <c r="AC731" t="s">
        <v>62</v>
      </c>
      <c r="AD731" t="s">
        <v>67</v>
      </c>
      <c r="AE731">
        <v>1</v>
      </c>
    </row>
    <row r="732" spans="1:31" x14ac:dyDescent="0.3">
      <c r="A732" t="s">
        <v>1534</v>
      </c>
      <c r="B732">
        <v>21</v>
      </c>
      <c r="C732" t="str" cm="1">
        <f t="array" ref="C732">_xlfn.IFS(B732&lt;=18,"0-18",B732&lt;=29,"19-29",B732&gt;=49,"30-49",B732&gt;=69,"50-69",TRUE,"70+")</f>
        <v>19-29</v>
      </c>
      <c r="D732" t="s">
        <v>43</v>
      </c>
      <c r="E732" t="s">
        <v>30</v>
      </c>
      <c r="F732" t="s">
        <v>69</v>
      </c>
      <c r="G732" t="s">
        <v>56</v>
      </c>
      <c r="H732" t="s">
        <v>44</v>
      </c>
      <c r="I732" t="s">
        <v>1535</v>
      </c>
      <c r="J732" t="s">
        <v>117</v>
      </c>
      <c r="K732" s="2">
        <v>83.5</v>
      </c>
      <c r="L732">
        <v>12</v>
      </c>
      <c r="M732" t="s">
        <v>48</v>
      </c>
      <c r="N732">
        <v>2</v>
      </c>
      <c r="O732">
        <v>4</v>
      </c>
      <c r="P732">
        <v>0</v>
      </c>
      <c r="Q732" t="s">
        <v>36</v>
      </c>
      <c r="R732" t="s">
        <v>50</v>
      </c>
      <c r="S732">
        <v>2</v>
      </c>
      <c r="T732">
        <v>7</v>
      </c>
      <c r="U732" t="s">
        <v>59</v>
      </c>
      <c r="V732" t="s">
        <v>60</v>
      </c>
      <c r="W732" t="s">
        <v>86</v>
      </c>
      <c r="X732" s="3">
        <v>46024</v>
      </c>
      <c r="Y732" s="1" t="str">
        <f t="shared" si="22"/>
        <v>Jan</v>
      </c>
      <c r="Z732" s="1" t="str">
        <f t="shared" si="23"/>
        <v>2026</v>
      </c>
      <c r="AA732" t="b">
        <v>1</v>
      </c>
      <c r="AB732" t="b">
        <v>1</v>
      </c>
      <c r="AC732" t="s">
        <v>40</v>
      </c>
      <c r="AD732" t="s">
        <v>53</v>
      </c>
      <c r="AE732">
        <v>10</v>
      </c>
    </row>
    <row r="733" spans="1:31" x14ac:dyDescent="0.3">
      <c r="A733" t="s">
        <v>1536</v>
      </c>
      <c r="B733">
        <v>34</v>
      </c>
      <c r="C733" t="str" cm="1">
        <f t="array" ref="C733">_xlfn.IFS(B733&lt;=18,"0-18",B733&lt;=29,"19-29",B733&gt;=49,"30-49",B733&gt;=69,"50-69",TRUE,"70+")</f>
        <v>70+</v>
      </c>
      <c r="D733" t="s">
        <v>43</v>
      </c>
      <c r="E733" t="s">
        <v>44</v>
      </c>
      <c r="F733" t="s">
        <v>31</v>
      </c>
      <c r="G733" t="s">
        <v>45</v>
      </c>
      <c r="H733" t="s">
        <v>30</v>
      </c>
      <c r="I733" t="s">
        <v>1537</v>
      </c>
      <c r="J733" t="s">
        <v>65</v>
      </c>
      <c r="K733" s="2">
        <v>109.88</v>
      </c>
      <c r="L733">
        <v>7</v>
      </c>
      <c r="M733" t="s">
        <v>78</v>
      </c>
      <c r="N733">
        <v>4</v>
      </c>
      <c r="O733">
        <v>4</v>
      </c>
      <c r="P733">
        <v>1</v>
      </c>
      <c r="Q733" t="s">
        <v>59</v>
      </c>
      <c r="R733" t="s">
        <v>85</v>
      </c>
      <c r="S733">
        <v>1</v>
      </c>
      <c r="T733">
        <v>3</v>
      </c>
      <c r="U733" t="s">
        <v>49</v>
      </c>
      <c r="V733" t="s">
        <v>60</v>
      </c>
      <c r="W733" t="s">
        <v>39</v>
      </c>
      <c r="X733" s="3">
        <v>46025</v>
      </c>
      <c r="Y733" s="1" t="str">
        <f t="shared" si="22"/>
        <v>Jan</v>
      </c>
      <c r="Z733" s="1" t="str">
        <f t="shared" si="23"/>
        <v>2026</v>
      </c>
      <c r="AA733" t="b">
        <v>0</v>
      </c>
      <c r="AB733" t="b">
        <v>1</v>
      </c>
      <c r="AC733" t="s">
        <v>62</v>
      </c>
      <c r="AD733" t="s">
        <v>53</v>
      </c>
      <c r="AE733">
        <v>11</v>
      </c>
    </row>
    <row r="734" spans="1:31" x14ac:dyDescent="0.3">
      <c r="A734" t="s">
        <v>1538</v>
      </c>
      <c r="B734">
        <v>21</v>
      </c>
      <c r="C734" t="str" cm="1">
        <f t="array" ref="C734">_xlfn.IFS(B734&lt;=18,"0-18",B734&lt;=29,"19-29",B734&gt;=49,"30-49",B734&gt;=69,"50-69",TRUE,"70+")</f>
        <v>19-29</v>
      </c>
      <c r="D734" t="s">
        <v>29</v>
      </c>
      <c r="E734" t="s">
        <v>44</v>
      </c>
      <c r="F734" t="s">
        <v>31</v>
      </c>
      <c r="G734" t="s">
        <v>45</v>
      </c>
      <c r="H734" t="s">
        <v>44</v>
      </c>
      <c r="I734" t="s">
        <v>1539</v>
      </c>
      <c r="J734" t="s">
        <v>58</v>
      </c>
      <c r="K734" s="2">
        <v>182.54</v>
      </c>
      <c r="L734">
        <v>11</v>
      </c>
      <c r="M734" t="s">
        <v>35</v>
      </c>
      <c r="N734">
        <v>5</v>
      </c>
      <c r="O734">
        <v>5</v>
      </c>
      <c r="P734">
        <v>1</v>
      </c>
      <c r="Q734" t="s">
        <v>49</v>
      </c>
      <c r="R734" t="s">
        <v>37</v>
      </c>
      <c r="S734">
        <v>1</v>
      </c>
      <c r="T734">
        <v>1</v>
      </c>
      <c r="U734" t="s">
        <v>44</v>
      </c>
      <c r="V734" t="s">
        <v>38</v>
      </c>
      <c r="W734" t="s">
        <v>86</v>
      </c>
      <c r="X734" s="3">
        <v>46026</v>
      </c>
      <c r="Y734" s="1" t="str">
        <f t="shared" si="22"/>
        <v>Jan</v>
      </c>
      <c r="Z734" s="1" t="str">
        <f t="shared" si="23"/>
        <v>2026</v>
      </c>
      <c r="AA734" t="b">
        <v>0</v>
      </c>
      <c r="AB734" t="b">
        <v>0</v>
      </c>
      <c r="AC734" t="s">
        <v>40</v>
      </c>
      <c r="AD734" t="s">
        <v>53</v>
      </c>
      <c r="AE734">
        <v>13</v>
      </c>
    </row>
    <row r="735" spans="1:31" x14ac:dyDescent="0.3">
      <c r="A735" t="s">
        <v>1540</v>
      </c>
      <c r="B735">
        <v>23</v>
      </c>
      <c r="C735" t="str" cm="1">
        <f t="array" ref="C735">_xlfn.IFS(B735&lt;=18,"0-18",B735&lt;=29,"19-29",B735&gt;=49,"30-49",B735&gt;=69,"50-69",TRUE,"70+")</f>
        <v>19-29</v>
      </c>
      <c r="D735" t="s">
        <v>29</v>
      </c>
      <c r="E735" t="s">
        <v>44</v>
      </c>
      <c r="F735" t="s">
        <v>69</v>
      </c>
      <c r="G735" t="s">
        <v>32</v>
      </c>
      <c r="H735" t="s">
        <v>44</v>
      </c>
      <c r="I735" t="s">
        <v>1541</v>
      </c>
      <c r="J735" t="s">
        <v>71</v>
      </c>
      <c r="K735" s="2">
        <v>465.48</v>
      </c>
      <c r="L735">
        <v>3</v>
      </c>
      <c r="M735" t="s">
        <v>35</v>
      </c>
      <c r="N735">
        <v>3</v>
      </c>
      <c r="O735">
        <v>3</v>
      </c>
      <c r="P735">
        <v>2</v>
      </c>
      <c r="Q735" t="s">
        <v>49</v>
      </c>
      <c r="R735" t="s">
        <v>85</v>
      </c>
      <c r="S735">
        <v>1</v>
      </c>
      <c r="T735">
        <v>8</v>
      </c>
      <c r="U735" t="s">
        <v>49</v>
      </c>
      <c r="V735" t="s">
        <v>38</v>
      </c>
      <c r="W735" t="s">
        <v>86</v>
      </c>
      <c r="X735" s="3">
        <v>46027</v>
      </c>
      <c r="Y735" s="1" t="str">
        <f t="shared" si="22"/>
        <v>Jan</v>
      </c>
      <c r="Z735" s="1" t="str">
        <f t="shared" si="23"/>
        <v>2026</v>
      </c>
      <c r="AA735" t="b">
        <v>0</v>
      </c>
      <c r="AB735" t="b">
        <v>0</v>
      </c>
      <c r="AC735" t="s">
        <v>52</v>
      </c>
      <c r="AD735" t="s">
        <v>41</v>
      </c>
      <c r="AE735">
        <v>1</v>
      </c>
    </row>
    <row r="736" spans="1:31" x14ac:dyDescent="0.3">
      <c r="A736" t="s">
        <v>1542</v>
      </c>
      <c r="B736">
        <v>31</v>
      </c>
      <c r="C736" t="str" cm="1">
        <f t="array" ref="C736">_xlfn.IFS(B736&lt;=18,"0-18",B736&lt;=29,"19-29",B736&gt;=49,"30-49",B736&gt;=69,"50-69",TRUE,"70+")</f>
        <v>70+</v>
      </c>
      <c r="D736" t="s">
        <v>29</v>
      </c>
      <c r="E736" t="s">
        <v>30</v>
      </c>
      <c r="F736" t="s">
        <v>31</v>
      </c>
      <c r="G736" t="s">
        <v>45</v>
      </c>
      <c r="H736" t="s">
        <v>30</v>
      </c>
      <c r="I736" t="s">
        <v>1543</v>
      </c>
      <c r="J736" t="s">
        <v>104</v>
      </c>
      <c r="K736" s="2">
        <v>224.52</v>
      </c>
      <c r="L736">
        <v>8</v>
      </c>
      <c r="M736" t="s">
        <v>35</v>
      </c>
      <c r="N736">
        <v>3</v>
      </c>
      <c r="O736">
        <v>3</v>
      </c>
      <c r="P736">
        <v>2</v>
      </c>
      <c r="Q736" t="s">
        <v>59</v>
      </c>
      <c r="R736" t="s">
        <v>50</v>
      </c>
      <c r="S736">
        <v>1</v>
      </c>
      <c r="T736">
        <v>5</v>
      </c>
      <c r="U736" t="s">
        <v>44</v>
      </c>
      <c r="V736" t="s">
        <v>79</v>
      </c>
      <c r="W736" t="s">
        <v>39</v>
      </c>
      <c r="X736" s="3">
        <v>46028</v>
      </c>
      <c r="Y736" s="1" t="str">
        <f t="shared" si="22"/>
        <v>Jan</v>
      </c>
      <c r="Z736" s="1" t="str">
        <f t="shared" si="23"/>
        <v>2026</v>
      </c>
      <c r="AA736" t="b">
        <v>1</v>
      </c>
      <c r="AB736" t="b">
        <v>0</v>
      </c>
      <c r="AC736" t="s">
        <v>62</v>
      </c>
      <c r="AD736" t="s">
        <v>67</v>
      </c>
      <c r="AE736">
        <v>1</v>
      </c>
    </row>
    <row r="737" spans="1:31" x14ac:dyDescent="0.3">
      <c r="A737" t="s">
        <v>1544</v>
      </c>
      <c r="B737">
        <v>21</v>
      </c>
      <c r="C737" t="str" cm="1">
        <f t="array" ref="C737">_xlfn.IFS(B737&lt;=18,"0-18",B737&lt;=29,"19-29",B737&gt;=49,"30-49",B737&gt;=69,"50-69",TRUE,"70+")</f>
        <v>19-29</v>
      </c>
      <c r="D737" t="s">
        <v>43</v>
      </c>
      <c r="E737" t="s">
        <v>44</v>
      </c>
      <c r="F737" t="s">
        <v>69</v>
      </c>
      <c r="G737" t="s">
        <v>56</v>
      </c>
      <c r="H737" t="s">
        <v>30</v>
      </c>
      <c r="I737" t="s">
        <v>1545</v>
      </c>
      <c r="J737" t="s">
        <v>188</v>
      </c>
      <c r="K737" s="2">
        <v>281.37</v>
      </c>
      <c r="L737">
        <v>12</v>
      </c>
      <c r="M737" t="s">
        <v>78</v>
      </c>
      <c r="N737">
        <v>2</v>
      </c>
      <c r="O737">
        <v>3</v>
      </c>
      <c r="P737">
        <v>2</v>
      </c>
      <c r="Q737" t="s">
        <v>59</v>
      </c>
      <c r="R737" t="s">
        <v>85</v>
      </c>
      <c r="S737">
        <v>0</v>
      </c>
      <c r="T737">
        <v>2</v>
      </c>
      <c r="U737" t="s">
        <v>59</v>
      </c>
      <c r="V737" t="s">
        <v>60</v>
      </c>
      <c r="W737" t="s">
        <v>61</v>
      </c>
      <c r="X737" s="3">
        <v>46029</v>
      </c>
      <c r="Y737" s="1" t="str">
        <f t="shared" si="22"/>
        <v>Jan</v>
      </c>
      <c r="Z737" s="1" t="str">
        <f t="shared" si="23"/>
        <v>2026</v>
      </c>
      <c r="AA737" t="b">
        <v>0</v>
      </c>
      <c r="AB737" t="b">
        <v>1</v>
      </c>
      <c r="AC737" t="s">
        <v>62</v>
      </c>
      <c r="AD737" t="s">
        <v>67</v>
      </c>
      <c r="AE737">
        <v>14</v>
      </c>
    </row>
    <row r="738" spans="1:31" x14ac:dyDescent="0.3">
      <c r="A738" t="s">
        <v>1546</v>
      </c>
      <c r="B738">
        <v>22</v>
      </c>
      <c r="C738" t="str" cm="1">
        <f t="array" ref="C738">_xlfn.IFS(B738&lt;=18,"0-18",B738&lt;=29,"19-29",B738&gt;=49,"30-49",B738&gt;=69,"50-69",TRUE,"70+")</f>
        <v>19-29</v>
      </c>
      <c r="D738" t="s">
        <v>29</v>
      </c>
      <c r="E738" t="s">
        <v>30</v>
      </c>
      <c r="F738" t="s">
        <v>31</v>
      </c>
      <c r="G738" t="s">
        <v>32</v>
      </c>
      <c r="H738" t="s">
        <v>30</v>
      </c>
      <c r="I738" t="s">
        <v>1547</v>
      </c>
      <c r="J738" t="s">
        <v>58</v>
      </c>
      <c r="K738" s="2">
        <v>125.68</v>
      </c>
      <c r="L738">
        <v>2</v>
      </c>
      <c r="M738" t="s">
        <v>78</v>
      </c>
      <c r="N738">
        <v>1</v>
      </c>
      <c r="O738">
        <v>4</v>
      </c>
      <c r="P738">
        <v>1</v>
      </c>
      <c r="Q738" t="s">
        <v>36</v>
      </c>
      <c r="R738" t="s">
        <v>50</v>
      </c>
      <c r="S738">
        <v>1</v>
      </c>
      <c r="T738">
        <v>8</v>
      </c>
      <c r="U738" t="s">
        <v>49</v>
      </c>
      <c r="V738" t="s">
        <v>60</v>
      </c>
      <c r="W738" t="s">
        <v>61</v>
      </c>
      <c r="X738" s="3">
        <v>46030</v>
      </c>
      <c r="Y738" s="1" t="str">
        <f t="shared" si="22"/>
        <v>Jan</v>
      </c>
      <c r="Z738" s="1" t="str">
        <f t="shared" si="23"/>
        <v>2026</v>
      </c>
      <c r="AA738" t="b">
        <v>1</v>
      </c>
      <c r="AB738" t="b">
        <v>0</v>
      </c>
      <c r="AC738" t="s">
        <v>40</v>
      </c>
      <c r="AD738" t="s">
        <v>67</v>
      </c>
      <c r="AE738">
        <v>9</v>
      </c>
    </row>
    <row r="739" spans="1:31" x14ac:dyDescent="0.3">
      <c r="A739" t="s">
        <v>1548</v>
      </c>
      <c r="B739">
        <v>38</v>
      </c>
      <c r="C739" t="str" cm="1">
        <f t="array" ref="C739">_xlfn.IFS(B739&lt;=18,"0-18",B739&lt;=29,"19-29",B739&gt;=49,"30-49",B739&gt;=69,"50-69",TRUE,"70+")</f>
        <v>70+</v>
      </c>
      <c r="D739" t="s">
        <v>29</v>
      </c>
      <c r="E739" t="s">
        <v>44</v>
      </c>
      <c r="F739" t="s">
        <v>55</v>
      </c>
      <c r="G739" t="s">
        <v>45</v>
      </c>
      <c r="H739" t="s">
        <v>44</v>
      </c>
      <c r="I739" t="s">
        <v>1549</v>
      </c>
      <c r="J739" t="s">
        <v>188</v>
      </c>
      <c r="K739" s="2">
        <v>178.21</v>
      </c>
      <c r="L739">
        <v>7</v>
      </c>
      <c r="M739" t="s">
        <v>48</v>
      </c>
      <c r="N739">
        <v>1</v>
      </c>
      <c r="O739">
        <v>5</v>
      </c>
      <c r="P739">
        <v>2</v>
      </c>
      <c r="Q739" t="s">
        <v>59</v>
      </c>
      <c r="R739" t="s">
        <v>37</v>
      </c>
      <c r="S739">
        <v>2</v>
      </c>
      <c r="T739">
        <v>8</v>
      </c>
      <c r="U739" t="s">
        <v>36</v>
      </c>
      <c r="V739" t="s">
        <v>79</v>
      </c>
      <c r="W739" t="s">
        <v>51</v>
      </c>
      <c r="X739" s="3">
        <v>46031</v>
      </c>
      <c r="Y739" s="1" t="str">
        <f t="shared" si="22"/>
        <v>Jan</v>
      </c>
      <c r="Z739" s="1" t="str">
        <f t="shared" si="23"/>
        <v>2026</v>
      </c>
      <c r="AA739" t="b">
        <v>0</v>
      </c>
      <c r="AB739" t="b">
        <v>0</v>
      </c>
      <c r="AC739" t="s">
        <v>74</v>
      </c>
      <c r="AD739" t="s">
        <v>41</v>
      </c>
      <c r="AE739">
        <v>9</v>
      </c>
    </row>
    <row r="740" spans="1:31" x14ac:dyDescent="0.3">
      <c r="A740" t="s">
        <v>1550</v>
      </c>
      <c r="B740">
        <v>27</v>
      </c>
      <c r="C740" t="str" cm="1">
        <f t="array" ref="C740">_xlfn.IFS(B740&lt;=18,"0-18",B740&lt;=29,"19-29",B740&gt;=49,"30-49",B740&gt;=69,"50-69",TRUE,"70+")</f>
        <v>19-29</v>
      </c>
      <c r="D740" t="s">
        <v>43</v>
      </c>
      <c r="E740" t="s">
        <v>44</v>
      </c>
      <c r="F740" t="s">
        <v>76</v>
      </c>
      <c r="G740" t="s">
        <v>32</v>
      </c>
      <c r="H740" t="s">
        <v>30</v>
      </c>
      <c r="I740" t="s">
        <v>1551</v>
      </c>
      <c r="J740" t="s">
        <v>104</v>
      </c>
      <c r="K740" s="2">
        <v>483.23</v>
      </c>
      <c r="L740">
        <v>7</v>
      </c>
      <c r="M740" t="s">
        <v>78</v>
      </c>
      <c r="N740">
        <v>2</v>
      </c>
      <c r="O740">
        <v>4</v>
      </c>
      <c r="P740">
        <v>2</v>
      </c>
      <c r="Q740" t="s">
        <v>49</v>
      </c>
      <c r="R740" t="s">
        <v>37</v>
      </c>
      <c r="S740">
        <v>0</v>
      </c>
      <c r="T740">
        <v>5</v>
      </c>
      <c r="U740" t="s">
        <v>44</v>
      </c>
      <c r="V740" t="s">
        <v>60</v>
      </c>
      <c r="W740" t="s">
        <v>51</v>
      </c>
      <c r="X740" s="3">
        <v>46032</v>
      </c>
      <c r="Y740" s="1" t="str">
        <f t="shared" si="22"/>
        <v>Jan</v>
      </c>
      <c r="Z740" s="1" t="str">
        <f t="shared" si="23"/>
        <v>2026</v>
      </c>
      <c r="AA740" t="b">
        <v>1</v>
      </c>
      <c r="AB740" t="b">
        <v>0</v>
      </c>
      <c r="AC740" t="s">
        <v>62</v>
      </c>
      <c r="AD740" t="s">
        <v>67</v>
      </c>
      <c r="AE740">
        <v>9</v>
      </c>
    </row>
    <row r="741" spans="1:31" x14ac:dyDescent="0.3">
      <c r="A741" t="s">
        <v>1552</v>
      </c>
      <c r="B741">
        <v>18</v>
      </c>
      <c r="C741" t="str" cm="1">
        <f t="array" ref="C741">_xlfn.IFS(B741&lt;=18,"0-18",B741&lt;=29,"19-29",B741&gt;=49,"30-49",B741&gt;=69,"50-69",TRUE,"70+")</f>
        <v>0-18</v>
      </c>
      <c r="D741" t="s">
        <v>43</v>
      </c>
      <c r="E741" t="s">
        <v>30</v>
      </c>
      <c r="F741" t="s">
        <v>31</v>
      </c>
      <c r="G741" t="s">
        <v>56</v>
      </c>
      <c r="H741" t="s">
        <v>44</v>
      </c>
      <c r="I741" t="s">
        <v>1553</v>
      </c>
      <c r="J741" t="s">
        <v>65</v>
      </c>
      <c r="K741" s="2">
        <v>415.3</v>
      </c>
      <c r="L741">
        <v>11</v>
      </c>
      <c r="M741" t="s">
        <v>48</v>
      </c>
      <c r="N741">
        <v>4</v>
      </c>
      <c r="O741">
        <v>2</v>
      </c>
      <c r="P741">
        <v>1</v>
      </c>
      <c r="Q741" t="s">
        <v>59</v>
      </c>
      <c r="R741" t="s">
        <v>85</v>
      </c>
      <c r="S741">
        <v>1</v>
      </c>
      <c r="T741">
        <v>9</v>
      </c>
      <c r="U741" t="s">
        <v>36</v>
      </c>
      <c r="V741" t="s">
        <v>38</v>
      </c>
      <c r="W741" t="s">
        <v>51</v>
      </c>
      <c r="X741" s="3">
        <v>46033</v>
      </c>
      <c r="Y741" s="1" t="str">
        <f t="shared" si="22"/>
        <v>Jan</v>
      </c>
      <c r="Z741" s="1" t="str">
        <f t="shared" si="23"/>
        <v>2026</v>
      </c>
      <c r="AA741" t="b">
        <v>0</v>
      </c>
      <c r="AB741" t="b">
        <v>1</v>
      </c>
      <c r="AC741" t="s">
        <v>62</v>
      </c>
      <c r="AD741" t="s">
        <v>53</v>
      </c>
      <c r="AE741">
        <v>2</v>
      </c>
    </row>
    <row r="742" spans="1:31" x14ac:dyDescent="0.3">
      <c r="A742" t="s">
        <v>1554</v>
      </c>
      <c r="B742">
        <v>36</v>
      </c>
      <c r="C742" t="str" cm="1">
        <f t="array" ref="C742">_xlfn.IFS(B742&lt;=18,"0-18",B742&lt;=29,"19-29",B742&gt;=49,"30-49",B742&gt;=69,"50-69",TRUE,"70+")</f>
        <v>70+</v>
      </c>
      <c r="D742" t="s">
        <v>43</v>
      </c>
      <c r="E742" t="s">
        <v>44</v>
      </c>
      <c r="F742" t="s">
        <v>31</v>
      </c>
      <c r="G742" t="s">
        <v>56</v>
      </c>
      <c r="H742" t="s">
        <v>30</v>
      </c>
      <c r="I742" t="s">
        <v>1555</v>
      </c>
      <c r="J742" t="s">
        <v>117</v>
      </c>
      <c r="K742" s="2">
        <v>85.52</v>
      </c>
      <c r="L742">
        <v>7</v>
      </c>
      <c r="M742" t="s">
        <v>35</v>
      </c>
      <c r="N742">
        <v>1</v>
      </c>
      <c r="O742">
        <v>5</v>
      </c>
      <c r="P742">
        <v>0</v>
      </c>
      <c r="Q742" t="s">
        <v>49</v>
      </c>
      <c r="R742" t="s">
        <v>37</v>
      </c>
      <c r="S742">
        <v>1</v>
      </c>
      <c r="T742">
        <v>3</v>
      </c>
      <c r="U742" t="s">
        <v>59</v>
      </c>
      <c r="V742" t="s">
        <v>60</v>
      </c>
      <c r="W742" t="s">
        <v>66</v>
      </c>
      <c r="X742" s="3">
        <v>46034</v>
      </c>
      <c r="Y742" s="1" t="str">
        <f t="shared" si="22"/>
        <v>Jan</v>
      </c>
      <c r="Z742" s="1" t="str">
        <f t="shared" si="23"/>
        <v>2026</v>
      </c>
      <c r="AA742" t="b">
        <v>0</v>
      </c>
      <c r="AB742" t="b">
        <v>1</v>
      </c>
      <c r="AC742" t="s">
        <v>74</v>
      </c>
      <c r="AD742" t="s">
        <v>41</v>
      </c>
      <c r="AE742">
        <v>7</v>
      </c>
    </row>
    <row r="743" spans="1:31" x14ac:dyDescent="0.3">
      <c r="A743" t="s">
        <v>1556</v>
      </c>
      <c r="B743">
        <v>44</v>
      </c>
      <c r="C743" t="str" cm="1">
        <f t="array" ref="C743">_xlfn.IFS(B743&lt;=18,"0-18",B743&lt;=29,"19-29",B743&gt;=49,"30-49",B743&gt;=69,"50-69",TRUE,"70+")</f>
        <v>70+</v>
      </c>
      <c r="D743" t="s">
        <v>29</v>
      </c>
      <c r="E743" t="s">
        <v>30</v>
      </c>
      <c r="F743" t="s">
        <v>69</v>
      </c>
      <c r="G743" t="s">
        <v>45</v>
      </c>
      <c r="H743" t="s">
        <v>44</v>
      </c>
      <c r="I743" t="s">
        <v>1557</v>
      </c>
      <c r="J743" t="s">
        <v>114</v>
      </c>
      <c r="K743" s="2">
        <v>422.31</v>
      </c>
      <c r="L743">
        <v>2</v>
      </c>
      <c r="M743" t="s">
        <v>48</v>
      </c>
      <c r="N743">
        <v>3</v>
      </c>
      <c r="O743">
        <v>4</v>
      </c>
      <c r="P743">
        <v>1</v>
      </c>
      <c r="Q743" t="s">
        <v>49</v>
      </c>
      <c r="R743" t="s">
        <v>85</v>
      </c>
      <c r="S743">
        <v>0</v>
      </c>
      <c r="T743">
        <v>6</v>
      </c>
      <c r="U743" t="s">
        <v>36</v>
      </c>
      <c r="V743" t="s">
        <v>60</v>
      </c>
      <c r="W743" t="s">
        <v>66</v>
      </c>
      <c r="X743" s="3">
        <v>46035</v>
      </c>
      <c r="Y743" s="1" t="str">
        <f t="shared" si="22"/>
        <v>Jan</v>
      </c>
      <c r="Z743" s="1" t="str">
        <f t="shared" si="23"/>
        <v>2026</v>
      </c>
      <c r="AA743" t="b">
        <v>1</v>
      </c>
      <c r="AB743" t="b">
        <v>1</v>
      </c>
      <c r="AC743" t="s">
        <v>62</v>
      </c>
      <c r="AD743" t="s">
        <v>41</v>
      </c>
      <c r="AE743">
        <v>3</v>
      </c>
    </row>
    <row r="744" spans="1:31" x14ac:dyDescent="0.3">
      <c r="A744" t="s">
        <v>1558</v>
      </c>
      <c r="B744">
        <v>48</v>
      </c>
      <c r="C744" t="str" cm="1">
        <f t="array" ref="C744">_xlfn.IFS(B744&lt;=18,"0-18",B744&lt;=29,"19-29",B744&gt;=49,"30-49",B744&gt;=69,"50-69",TRUE,"70+")</f>
        <v>70+</v>
      </c>
      <c r="D744" t="s">
        <v>88</v>
      </c>
      <c r="E744" t="s">
        <v>44</v>
      </c>
      <c r="F744" t="s">
        <v>31</v>
      </c>
      <c r="G744" t="s">
        <v>45</v>
      </c>
      <c r="H744" t="s">
        <v>44</v>
      </c>
      <c r="I744" t="s">
        <v>1559</v>
      </c>
      <c r="J744" t="s">
        <v>135</v>
      </c>
      <c r="K744" s="2">
        <v>70.42</v>
      </c>
      <c r="L744">
        <v>11</v>
      </c>
      <c r="M744" t="s">
        <v>78</v>
      </c>
      <c r="N744">
        <v>4</v>
      </c>
      <c r="O744">
        <v>5</v>
      </c>
      <c r="P744">
        <v>1</v>
      </c>
      <c r="Q744" t="s">
        <v>44</v>
      </c>
      <c r="R744" t="s">
        <v>50</v>
      </c>
      <c r="S744">
        <v>2</v>
      </c>
      <c r="T744">
        <v>7</v>
      </c>
      <c r="U744" t="s">
        <v>59</v>
      </c>
      <c r="V744" t="s">
        <v>79</v>
      </c>
      <c r="W744" t="s">
        <v>66</v>
      </c>
      <c r="X744" s="3">
        <v>46036</v>
      </c>
      <c r="Y744" s="1" t="str">
        <f t="shared" si="22"/>
        <v>Jan</v>
      </c>
      <c r="Z744" s="1" t="str">
        <f t="shared" si="23"/>
        <v>2026</v>
      </c>
      <c r="AA744" t="b">
        <v>0</v>
      </c>
      <c r="AB744" t="b">
        <v>1</v>
      </c>
      <c r="AC744" t="s">
        <v>40</v>
      </c>
      <c r="AD744" t="s">
        <v>67</v>
      </c>
      <c r="AE744">
        <v>14</v>
      </c>
    </row>
    <row r="745" spans="1:31" x14ac:dyDescent="0.3">
      <c r="A745" t="s">
        <v>1560</v>
      </c>
      <c r="B745">
        <v>23</v>
      </c>
      <c r="C745" t="str" cm="1">
        <f t="array" ref="C745">_xlfn.IFS(B745&lt;=18,"0-18",B745&lt;=29,"19-29",B745&gt;=49,"30-49",B745&gt;=69,"50-69",TRUE,"70+")</f>
        <v>19-29</v>
      </c>
      <c r="D745" t="s">
        <v>29</v>
      </c>
      <c r="E745" t="s">
        <v>30</v>
      </c>
      <c r="F745" t="s">
        <v>69</v>
      </c>
      <c r="G745" t="s">
        <v>56</v>
      </c>
      <c r="H745" t="s">
        <v>30</v>
      </c>
      <c r="I745" t="s">
        <v>1561</v>
      </c>
      <c r="J745" t="s">
        <v>126</v>
      </c>
      <c r="K745" s="2">
        <v>437.4</v>
      </c>
      <c r="L745">
        <v>6</v>
      </c>
      <c r="M745" t="s">
        <v>35</v>
      </c>
      <c r="N745">
        <v>1</v>
      </c>
      <c r="O745">
        <v>4</v>
      </c>
      <c r="P745">
        <v>1</v>
      </c>
      <c r="Q745" t="s">
        <v>44</v>
      </c>
      <c r="R745" t="s">
        <v>37</v>
      </c>
      <c r="S745">
        <v>2</v>
      </c>
      <c r="T745">
        <v>5</v>
      </c>
      <c r="U745" t="s">
        <v>59</v>
      </c>
      <c r="V745" t="s">
        <v>38</v>
      </c>
      <c r="W745" t="s">
        <v>39</v>
      </c>
      <c r="X745" s="3">
        <v>46037</v>
      </c>
      <c r="Y745" s="1" t="str">
        <f t="shared" si="22"/>
        <v>Jan</v>
      </c>
      <c r="Z745" s="1" t="str">
        <f t="shared" si="23"/>
        <v>2026</v>
      </c>
      <c r="AA745" t="b">
        <v>0</v>
      </c>
      <c r="AB745" t="b">
        <v>0</v>
      </c>
      <c r="AC745" t="s">
        <v>74</v>
      </c>
      <c r="AD745" t="s">
        <v>67</v>
      </c>
      <c r="AE745">
        <v>1</v>
      </c>
    </row>
    <row r="746" spans="1:31" x14ac:dyDescent="0.3">
      <c r="A746" t="s">
        <v>1562</v>
      </c>
      <c r="B746">
        <v>35</v>
      </c>
      <c r="C746" t="str" cm="1">
        <f t="array" ref="C746">_xlfn.IFS(B746&lt;=18,"0-18",B746&lt;=29,"19-29",B746&gt;=49,"30-49",B746&gt;=69,"50-69",TRUE,"70+")</f>
        <v>70+</v>
      </c>
      <c r="D746" t="s">
        <v>43</v>
      </c>
      <c r="E746" t="s">
        <v>30</v>
      </c>
      <c r="F746" t="s">
        <v>76</v>
      </c>
      <c r="G746" t="s">
        <v>32</v>
      </c>
      <c r="H746" t="s">
        <v>30</v>
      </c>
      <c r="I746" t="s">
        <v>1563</v>
      </c>
      <c r="J746" t="s">
        <v>246</v>
      </c>
      <c r="K746" s="2">
        <v>207.11</v>
      </c>
      <c r="L746">
        <v>4</v>
      </c>
      <c r="M746" t="s">
        <v>35</v>
      </c>
      <c r="N746">
        <v>1</v>
      </c>
      <c r="O746">
        <v>4</v>
      </c>
      <c r="P746">
        <v>2</v>
      </c>
      <c r="Q746" t="s">
        <v>44</v>
      </c>
      <c r="R746" t="s">
        <v>50</v>
      </c>
      <c r="S746">
        <v>0</v>
      </c>
      <c r="T746">
        <v>1</v>
      </c>
      <c r="U746" t="s">
        <v>59</v>
      </c>
      <c r="V746" t="s">
        <v>38</v>
      </c>
      <c r="W746" t="s">
        <v>66</v>
      </c>
      <c r="X746" s="3">
        <v>46038</v>
      </c>
      <c r="Y746" s="1" t="str">
        <f t="shared" si="22"/>
        <v>Jan</v>
      </c>
      <c r="Z746" s="1" t="str">
        <f t="shared" si="23"/>
        <v>2026</v>
      </c>
      <c r="AA746" t="b">
        <v>1</v>
      </c>
      <c r="AB746" t="b">
        <v>0</v>
      </c>
      <c r="AC746" t="s">
        <v>40</v>
      </c>
      <c r="AD746" t="s">
        <v>41</v>
      </c>
      <c r="AE746">
        <v>2</v>
      </c>
    </row>
    <row r="747" spans="1:31" x14ac:dyDescent="0.3">
      <c r="A747" t="s">
        <v>1564</v>
      </c>
      <c r="B747">
        <v>50</v>
      </c>
      <c r="C747" t="str" cm="1">
        <f t="array" ref="C747">_xlfn.IFS(B747&lt;=18,"0-18",B747&lt;=29,"19-29",B747&gt;=49,"30-49",B747&gt;=69,"50-69",TRUE,"70+")</f>
        <v>30-49</v>
      </c>
      <c r="D747" t="s">
        <v>29</v>
      </c>
      <c r="E747" t="s">
        <v>44</v>
      </c>
      <c r="F747" t="s">
        <v>69</v>
      </c>
      <c r="G747" t="s">
        <v>32</v>
      </c>
      <c r="H747" t="s">
        <v>30</v>
      </c>
      <c r="I747" t="s">
        <v>1565</v>
      </c>
      <c r="J747" t="s">
        <v>101</v>
      </c>
      <c r="K747" s="2">
        <v>378.87</v>
      </c>
      <c r="L747">
        <v>2</v>
      </c>
      <c r="M747" t="s">
        <v>78</v>
      </c>
      <c r="N747">
        <v>5</v>
      </c>
      <c r="O747">
        <v>2</v>
      </c>
      <c r="P747">
        <v>2</v>
      </c>
      <c r="Q747" t="s">
        <v>36</v>
      </c>
      <c r="R747" t="s">
        <v>85</v>
      </c>
      <c r="S747">
        <v>2</v>
      </c>
      <c r="T747">
        <v>2</v>
      </c>
      <c r="U747" t="s">
        <v>49</v>
      </c>
      <c r="V747" t="s">
        <v>79</v>
      </c>
      <c r="W747" t="s">
        <v>61</v>
      </c>
      <c r="X747" s="3">
        <v>46039</v>
      </c>
      <c r="Y747" s="1" t="str">
        <f t="shared" si="22"/>
        <v>Jan</v>
      </c>
      <c r="Z747" s="1" t="str">
        <f t="shared" si="23"/>
        <v>2026</v>
      </c>
      <c r="AA747" t="b">
        <v>1</v>
      </c>
      <c r="AB747" t="b">
        <v>0</v>
      </c>
      <c r="AC747" t="s">
        <v>74</v>
      </c>
      <c r="AD747" t="s">
        <v>41</v>
      </c>
      <c r="AE747">
        <v>9</v>
      </c>
    </row>
    <row r="748" spans="1:31" x14ac:dyDescent="0.3">
      <c r="A748" t="s">
        <v>1566</v>
      </c>
      <c r="B748">
        <v>30</v>
      </c>
      <c r="C748" t="str" cm="1">
        <f t="array" ref="C748">_xlfn.IFS(B748&lt;=18,"0-18",B748&lt;=29,"19-29",B748&gt;=49,"30-49",B748&gt;=69,"50-69",TRUE,"70+")</f>
        <v>70+</v>
      </c>
      <c r="D748" t="s">
        <v>29</v>
      </c>
      <c r="E748" t="s">
        <v>44</v>
      </c>
      <c r="F748" t="s">
        <v>76</v>
      </c>
      <c r="G748" t="s">
        <v>45</v>
      </c>
      <c r="H748" t="s">
        <v>44</v>
      </c>
      <c r="I748" t="s">
        <v>1567</v>
      </c>
      <c r="J748" t="s">
        <v>123</v>
      </c>
      <c r="K748" s="2">
        <v>349</v>
      </c>
      <c r="L748">
        <v>10</v>
      </c>
      <c r="M748" t="s">
        <v>35</v>
      </c>
      <c r="N748">
        <v>3</v>
      </c>
      <c r="O748">
        <v>5</v>
      </c>
      <c r="P748">
        <v>1</v>
      </c>
      <c r="Q748" t="s">
        <v>59</v>
      </c>
      <c r="R748" t="s">
        <v>50</v>
      </c>
      <c r="S748">
        <v>1</v>
      </c>
      <c r="T748">
        <v>5</v>
      </c>
      <c r="U748" t="s">
        <v>59</v>
      </c>
      <c r="V748" t="s">
        <v>79</v>
      </c>
      <c r="W748" t="s">
        <v>51</v>
      </c>
      <c r="X748" s="3">
        <v>46040</v>
      </c>
      <c r="Y748" s="1" t="str">
        <f t="shared" si="22"/>
        <v>Jan</v>
      </c>
      <c r="Z748" s="1" t="str">
        <f t="shared" si="23"/>
        <v>2026</v>
      </c>
      <c r="AA748" t="b">
        <v>0</v>
      </c>
      <c r="AB748" t="b">
        <v>1</v>
      </c>
      <c r="AC748" t="s">
        <v>74</v>
      </c>
      <c r="AD748" t="s">
        <v>41</v>
      </c>
      <c r="AE748">
        <v>10</v>
      </c>
    </row>
    <row r="749" spans="1:31" x14ac:dyDescent="0.3">
      <c r="A749" t="s">
        <v>1568</v>
      </c>
      <c r="B749">
        <v>38</v>
      </c>
      <c r="C749" t="str" cm="1">
        <f t="array" ref="C749">_xlfn.IFS(B749&lt;=18,"0-18",B749&lt;=29,"19-29",B749&gt;=49,"30-49",B749&gt;=69,"50-69",TRUE,"70+")</f>
        <v>70+</v>
      </c>
      <c r="D749" t="s">
        <v>43</v>
      </c>
      <c r="E749" t="s">
        <v>30</v>
      </c>
      <c r="F749" t="s">
        <v>31</v>
      </c>
      <c r="G749" t="s">
        <v>32</v>
      </c>
      <c r="H749" t="s">
        <v>30</v>
      </c>
      <c r="I749" t="s">
        <v>1569</v>
      </c>
      <c r="J749" t="s">
        <v>107</v>
      </c>
      <c r="K749" s="2">
        <v>330.27</v>
      </c>
      <c r="L749">
        <v>3</v>
      </c>
      <c r="M749" t="s">
        <v>48</v>
      </c>
      <c r="N749">
        <v>3</v>
      </c>
      <c r="O749">
        <v>2</v>
      </c>
      <c r="P749">
        <v>1</v>
      </c>
      <c r="Q749" t="s">
        <v>44</v>
      </c>
      <c r="R749" t="s">
        <v>50</v>
      </c>
      <c r="S749">
        <v>1</v>
      </c>
      <c r="T749">
        <v>9</v>
      </c>
      <c r="U749" t="s">
        <v>44</v>
      </c>
      <c r="V749" t="s">
        <v>60</v>
      </c>
      <c r="W749" t="s">
        <v>66</v>
      </c>
      <c r="X749" s="3">
        <v>46041</v>
      </c>
      <c r="Y749" s="1" t="str">
        <f t="shared" si="22"/>
        <v>Jan</v>
      </c>
      <c r="Z749" s="1" t="str">
        <f t="shared" si="23"/>
        <v>2026</v>
      </c>
      <c r="AA749" t="b">
        <v>1</v>
      </c>
      <c r="AB749" t="b">
        <v>0</v>
      </c>
      <c r="AC749" t="s">
        <v>62</v>
      </c>
      <c r="AD749" t="s">
        <v>41</v>
      </c>
      <c r="AE749">
        <v>9</v>
      </c>
    </row>
    <row r="750" spans="1:31" x14ac:dyDescent="0.3">
      <c r="A750" t="s">
        <v>1570</v>
      </c>
      <c r="B750">
        <v>42</v>
      </c>
      <c r="C750" t="str" cm="1">
        <f t="array" ref="C750">_xlfn.IFS(B750&lt;=18,"0-18",B750&lt;=29,"19-29",B750&gt;=49,"30-49",B750&gt;=69,"50-69",TRUE,"70+")</f>
        <v>70+</v>
      </c>
      <c r="D750" t="s">
        <v>43</v>
      </c>
      <c r="E750" t="s">
        <v>30</v>
      </c>
      <c r="F750" t="s">
        <v>31</v>
      </c>
      <c r="G750" t="s">
        <v>56</v>
      </c>
      <c r="H750" t="s">
        <v>30</v>
      </c>
      <c r="I750" t="s">
        <v>1571</v>
      </c>
      <c r="J750" t="s">
        <v>142</v>
      </c>
      <c r="K750" s="2">
        <v>410.29</v>
      </c>
      <c r="L750">
        <v>10</v>
      </c>
      <c r="M750" t="s">
        <v>78</v>
      </c>
      <c r="N750">
        <v>2</v>
      </c>
      <c r="O750">
        <v>4</v>
      </c>
      <c r="P750">
        <v>1</v>
      </c>
      <c r="Q750" t="s">
        <v>59</v>
      </c>
      <c r="R750" t="s">
        <v>50</v>
      </c>
      <c r="S750">
        <v>2</v>
      </c>
      <c r="T750">
        <v>4</v>
      </c>
      <c r="U750" t="s">
        <v>44</v>
      </c>
      <c r="V750" t="s">
        <v>60</v>
      </c>
      <c r="W750" t="s">
        <v>39</v>
      </c>
      <c r="X750" s="3">
        <v>46042</v>
      </c>
      <c r="Y750" s="1" t="str">
        <f t="shared" si="22"/>
        <v>Jan</v>
      </c>
      <c r="Z750" s="1" t="str">
        <f t="shared" si="23"/>
        <v>2026</v>
      </c>
      <c r="AA750" t="b">
        <v>1</v>
      </c>
      <c r="AB750" t="b">
        <v>0</v>
      </c>
      <c r="AC750" t="s">
        <v>74</v>
      </c>
      <c r="AD750" t="s">
        <v>67</v>
      </c>
      <c r="AE750">
        <v>1</v>
      </c>
    </row>
    <row r="751" spans="1:31" x14ac:dyDescent="0.3">
      <c r="A751" t="s">
        <v>1572</v>
      </c>
      <c r="B751">
        <v>24</v>
      </c>
      <c r="C751" t="str" cm="1">
        <f t="array" ref="C751">_xlfn.IFS(B751&lt;=18,"0-18",B751&lt;=29,"19-29",B751&gt;=49,"30-49",B751&gt;=69,"50-69",TRUE,"70+")</f>
        <v>19-29</v>
      </c>
      <c r="D751" t="s">
        <v>29</v>
      </c>
      <c r="E751" t="s">
        <v>44</v>
      </c>
      <c r="F751" t="s">
        <v>76</v>
      </c>
      <c r="G751" t="s">
        <v>56</v>
      </c>
      <c r="H751" t="s">
        <v>30</v>
      </c>
      <c r="I751" t="s">
        <v>1573</v>
      </c>
      <c r="J751" t="s">
        <v>107</v>
      </c>
      <c r="K751" s="2">
        <v>400.86</v>
      </c>
      <c r="L751">
        <v>7</v>
      </c>
      <c r="M751" t="s">
        <v>78</v>
      </c>
      <c r="N751">
        <v>3</v>
      </c>
      <c r="O751">
        <v>3</v>
      </c>
      <c r="P751">
        <v>1</v>
      </c>
      <c r="Q751" t="s">
        <v>44</v>
      </c>
      <c r="R751" t="s">
        <v>85</v>
      </c>
      <c r="S751">
        <v>1</v>
      </c>
      <c r="T751">
        <v>7</v>
      </c>
      <c r="U751" t="s">
        <v>59</v>
      </c>
      <c r="V751" t="s">
        <v>60</v>
      </c>
      <c r="W751" t="s">
        <v>39</v>
      </c>
      <c r="X751" s="3">
        <v>46043</v>
      </c>
      <c r="Y751" s="1" t="str">
        <f t="shared" si="22"/>
        <v>Jan</v>
      </c>
      <c r="Z751" s="1" t="str">
        <f t="shared" si="23"/>
        <v>2026</v>
      </c>
      <c r="AA751" t="b">
        <v>1</v>
      </c>
      <c r="AB751" t="b">
        <v>0</v>
      </c>
      <c r="AC751" t="s">
        <v>74</v>
      </c>
      <c r="AD751" t="s">
        <v>41</v>
      </c>
      <c r="AE751">
        <v>5</v>
      </c>
    </row>
    <row r="752" spans="1:31" x14ac:dyDescent="0.3">
      <c r="A752" t="s">
        <v>1574</v>
      </c>
      <c r="B752">
        <v>27</v>
      </c>
      <c r="C752" t="str" cm="1">
        <f t="array" ref="C752">_xlfn.IFS(B752&lt;=18,"0-18",B752&lt;=29,"19-29",B752&gt;=49,"30-49",B752&gt;=69,"50-69",TRUE,"70+")</f>
        <v>19-29</v>
      </c>
      <c r="D752" t="s">
        <v>29</v>
      </c>
      <c r="E752" t="s">
        <v>44</v>
      </c>
      <c r="F752" t="s">
        <v>31</v>
      </c>
      <c r="G752" t="s">
        <v>56</v>
      </c>
      <c r="H752" t="s">
        <v>30</v>
      </c>
      <c r="I752" t="s">
        <v>1575</v>
      </c>
      <c r="J752" t="s">
        <v>188</v>
      </c>
      <c r="K752" s="2">
        <v>225.12</v>
      </c>
      <c r="L752">
        <v>11</v>
      </c>
      <c r="M752" t="s">
        <v>48</v>
      </c>
      <c r="N752">
        <v>3</v>
      </c>
      <c r="O752">
        <v>2</v>
      </c>
      <c r="P752">
        <v>1</v>
      </c>
      <c r="Q752" t="s">
        <v>49</v>
      </c>
      <c r="R752" t="s">
        <v>37</v>
      </c>
      <c r="S752">
        <v>0</v>
      </c>
      <c r="T752">
        <v>1</v>
      </c>
      <c r="U752" t="s">
        <v>36</v>
      </c>
      <c r="V752" t="s">
        <v>79</v>
      </c>
      <c r="W752" t="s">
        <v>86</v>
      </c>
      <c r="X752" s="3">
        <v>46044</v>
      </c>
      <c r="Y752" s="1" t="str">
        <f t="shared" si="22"/>
        <v>Jan</v>
      </c>
      <c r="Z752" s="1" t="str">
        <f t="shared" si="23"/>
        <v>2026</v>
      </c>
      <c r="AA752" t="b">
        <v>1</v>
      </c>
      <c r="AB752" t="b">
        <v>0</v>
      </c>
      <c r="AC752" t="s">
        <v>74</v>
      </c>
      <c r="AD752" t="s">
        <v>67</v>
      </c>
      <c r="AE752">
        <v>6</v>
      </c>
    </row>
    <row r="753" spans="1:31" x14ac:dyDescent="0.3">
      <c r="A753" t="s">
        <v>1576</v>
      </c>
      <c r="B753">
        <v>36</v>
      </c>
      <c r="C753" t="str" cm="1">
        <f t="array" ref="C753">_xlfn.IFS(B753&lt;=18,"0-18",B753&lt;=29,"19-29",B753&gt;=49,"30-49",B753&gt;=69,"50-69",TRUE,"70+")</f>
        <v>70+</v>
      </c>
      <c r="D753" t="s">
        <v>29</v>
      </c>
      <c r="E753" t="s">
        <v>44</v>
      </c>
      <c r="F753" t="s">
        <v>69</v>
      </c>
      <c r="G753" t="s">
        <v>56</v>
      </c>
      <c r="H753" t="s">
        <v>44</v>
      </c>
      <c r="I753" t="s">
        <v>1577</v>
      </c>
      <c r="J753" t="s">
        <v>188</v>
      </c>
      <c r="K753" s="2">
        <v>273.48</v>
      </c>
      <c r="L753">
        <v>12</v>
      </c>
      <c r="M753" t="s">
        <v>78</v>
      </c>
      <c r="N753">
        <v>5</v>
      </c>
      <c r="O753">
        <v>3</v>
      </c>
      <c r="P753">
        <v>2</v>
      </c>
      <c r="Q753" t="s">
        <v>59</v>
      </c>
      <c r="R753" t="s">
        <v>85</v>
      </c>
      <c r="S753">
        <v>0</v>
      </c>
      <c r="T753">
        <v>5</v>
      </c>
      <c r="U753" t="s">
        <v>49</v>
      </c>
      <c r="V753" t="s">
        <v>60</v>
      </c>
      <c r="W753" t="s">
        <v>66</v>
      </c>
      <c r="X753" s="3">
        <v>46045</v>
      </c>
      <c r="Y753" s="1" t="str">
        <f t="shared" si="22"/>
        <v>Jan</v>
      </c>
      <c r="Z753" s="1" t="str">
        <f t="shared" si="23"/>
        <v>2026</v>
      </c>
      <c r="AA753" t="b">
        <v>1</v>
      </c>
      <c r="AB753" t="b">
        <v>0</v>
      </c>
      <c r="AC753" t="s">
        <v>52</v>
      </c>
      <c r="AD753" t="s">
        <v>67</v>
      </c>
      <c r="AE753">
        <v>5</v>
      </c>
    </row>
    <row r="754" spans="1:31" x14ac:dyDescent="0.3">
      <c r="A754" t="s">
        <v>1578</v>
      </c>
      <c r="B754">
        <v>19</v>
      </c>
      <c r="C754" t="str" cm="1">
        <f t="array" ref="C754">_xlfn.IFS(B754&lt;=18,"0-18",B754&lt;=29,"19-29",B754&gt;=49,"30-49",B754&gt;=69,"50-69",TRUE,"70+")</f>
        <v>19-29</v>
      </c>
      <c r="D754" t="s">
        <v>88</v>
      </c>
      <c r="E754" t="s">
        <v>44</v>
      </c>
      <c r="F754" t="s">
        <v>55</v>
      </c>
      <c r="G754" t="s">
        <v>56</v>
      </c>
      <c r="H754" t="s">
        <v>30</v>
      </c>
      <c r="I754" t="s">
        <v>1579</v>
      </c>
      <c r="J754" t="s">
        <v>71</v>
      </c>
      <c r="K754" s="2">
        <v>363.84</v>
      </c>
      <c r="L754">
        <v>11</v>
      </c>
      <c r="M754" t="s">
        <v>78</v>
      </c>
      <c r="N754">
        <v>3</v>
      </c>
      <c r="O754">
        <v>2</v>
      </c>
      <c r="P754">
        <v>1</v>
      </c>
      <c r="Q754" t="s">
        <v>59</v>
      </c>
      <c r="R754" t="s">
        <v>50</v>
      </c>
      <c r="S754">
        <v>0</v>
      </c>
      <c r="T754">
        <v>3</v>
      </c>
      <c r="U754" t="s">
        <v>49</v>
      </c>
      <c r="V754" t="s">
        <v>79</v>
      </c>
      <c r="W754" t="s">
        <v>86</v>
      </c>
      <c r="X754" s="3">
        <v>46046</v>
      </c>
      <c r="Y754" s="1" t="str">
        <f t="shared" si="22"/>
        <v>Jan</v>
      </c>
      <c r="Z754" s="1" t="str">
        <f t="shared" si="23"/>
        <v>2026</v>
      </c>
      <c r="AA754" t="b">
        <v>1</v>
      </c>
      <c r="AB754" t="b">
        <v>0</v>
      </c>
      <c r="AC754" t="s">
        <v>62</v>
      </c>
      <c r="AD754" t="s">
        <v>67</v>
      </c>
      <c r="AE754">
        <v>5</v>
      </c>
    </row>
    <row r="755" spans="1:31" x14ac:dyDescent="0.3">
      <c r="A755" t="s">
        <v>1580</v>
      </c>
      <c r="B755">
        <v>24</v>
      </c>
      <c r="C755" t="str" cm="1">
        <f t="array" ref="C755">_xlfn.IFS(B755&lt;=18,"0-18",B755&lt;=29,"19-29",B755&gt;=49,"30-49",B755&gt;=69,"50-69",TRUE,"70+")</f>
        <v>19-29</v>
      </c>
      <c r="D755" t="s">
        <v>29</v>
      </c>
      <c r="E755" t="s">
        <v>44</v>
      </c>
      <c r="F755" t="s">
        <v>55</v>
      </c>
      <c r="G755" t="s">
        <v>32</v>
      </c>
      <c r="H755" t="s">
        <v>30</v>
      </c>
      <c r="I755" t="s">
        <v>1581</v>
      </c>
      <c r="J755" t="s">
        <v>114</v>
      </c>
      <c r="K755" s="2">
        <v>302.60000000000002</v>
      </c>
      <c r="L755">
        <v>9</v>
      </c>
      <c r="M755" t="s">
        <v>78</v>
      </c>
      <c r="N755">
        <v>1</v>
      </c>
      <c r="O755">
        <v>4</v>
      </c>
      <c r="P755">
        <v>2</v>
      </c>
      <c r="Q755" t="s">
        <v>49</v>
      </c>
      <c r="R755" t="s">
        <v>85</v>
      </c>
      <c r="S755">
        <v>2</v>
      </c>
      <c r="T755">
        <v>10</v>
      </c>
      <c r="U755" t="s">
        <v>36</v>
      </c>
      <c r="V755" t="s">
        <v>79</v>
      </c>
      <c r="W755" t="s">
        <v>61</v>
      </c>
      <c r="X755" s="3">
        <v>46047</v>
      </c>
      <c r="Y755" s="1" t="str">
        <f t="shared" si="22"/>
        <v>Jan</v>
      </c>
      <c r="Z755" s="1" t="str">
        <f t="shared" si="23"/>
        <v>2026</v>
      </c>
      <c r="AA755" t="b">
        <v>0</v>
      </c>
      <c r="AB755" t="b">
        <v>1</v>
      </c>
      <c r="AC755" t="s">
        <v>62</v>
      </c>
      <c r="AD755" t="s">
        <v>53</v>
      </c>
      <c r="AE755">
        <v>2</v>
      </c>
    </row>
    <row r="756" spans="1:31" x14ac:dyDescent="0.3">
      <c r="A756" t="s">
        <v>1582</v>
      </c>
      <c r="B756">
        <v>35</v>
      </c>
      <c r="C756" t="str" cm="1">
        <f t="array" ref="C756">_xlfn.IFS(B756&lt;=18,"0-18",B756&lt;=29,"19-29",B756&gt;=49,"30-49",B756&gt;=69,"50-69",TRUE,"70+")</f>
        <v>70+</v>
      </c>
      <c r="D756" t="s">
        <v>43</v>
      </c>
      <c r="E756" t="s">
        <v>44</v>
      </c>
      <c r="F756" t="s">
        <v>76</v>
      </c>
      <c r="G756" t="s">
        <v>45</v>
      </c>
      <c r="H756" t="s">
        <v>44</v>
      </c>
      <c r="I756" t="s">
        <v>1583</v>
      </c>
      <c r="J756" t="s">
        <v>101</v>
      </c>
      <c r="K756" s="2">
        <v>317.08999999999997</v>
      </c>
      <c r="L756">
        <v>6</v>
      </c>
      <c r="M756" t="s">
        <v>78</v>
      </c>
      <c r="N756">
        <v>1</v>
      </c>
      <c r="O756">
        <v>1</v>
      </c>
      <c r="P756">
        <v>1</v>
      </c>
      <c r="Q756" t="s">
        <v>44</v>
      </c>
      <c r="R756" t="s">
        <v>50</v>
      </c>
      <c r="S756">
        <v>2</v>
      </c>
      <c r="T756">
        <v>2</v>
      </c>
      <c r="U756" t="s">
        <v>44</v>
      </c>
      <c r="V756" t="s">
        <v>79</v>
      </c>
      <c r="W756" t="s">
        <v>66</v>
      </c>
      <c r="X756" s="3">
        <v>46048</v>
      </c>
      <c r="Y756" s="1" t="str">
        <f t="shared" si="22"/>
        <v>Jan</v>
      </c>
      <c r="Z756" s="1" t="str">
        <f t="shared" si="23"/>
        <v>2026</v>
      </c>
      <c r="AA756" t="b">
        <v>1</v>
      </c>
      <c r="AB756" t="b">
        <v>0</v>
      </c>
      <c r="AC756" t="s">
        <v>62</v>
      </c>
      <c r="AD756" t="s">
        <v>53</v>
      </c>
      <c r="AE756">
        <v>4</v>
      </c>
    </row>
    <row r="757" spans="1:31" x14ac:dyDescent="0.3">
      <c r="A757" t="s">
        <v>1584</v>
      </c>
      <c r="B757">
        <v>38</v>
      </c>
      <c r="C757" t="str" cm="1">
        <f t="array" ref="C757">_xlfn.IFS(B757&lt;=18,"0-18",B757&lt;=29,"19-29",B757&gt;=49,"30-49",B757&gt;=69,"50-69",TRUE,"70+")</f>
        <v>70+</v>
      </c>
      <c r="D757" t="s">
        <v>29</v>
      </c>
      <c r="E757" t="s">
        <v>44</v>
      </c>
      <c r="F757" t="s">
        <v>31</v>
      </c>
      <c r="G757" t="s">
        <v>45</v>
      </c>
      <c r="H757" t="s">
        <v>44</v>
      </c>
      <c r="I757" t="s">
        <v>1585</v>
      </c>
      <c r="J757" t="s">
        <v>188</v>
      </c>
      <c r="K757" s="2">
        <v>193.32</v>
      </c>
      <c r="L757">
        <v>9</v>
      </c>
      <c r="M757" t="s">
        <v>35</v>
      </c>
      <c r="N757">
        <v>4</v>
      </c>
      <c r="O757">
        <v>3</v>
      </c>
      <c r="P757">
        <v>0</v>
      </c>
      <c r="Q757" t="s">
        <v>36</v>
      </c>
      <c r="R757" t="s">
        <v>85</v>
      </c>
      <c r="S757">
        <v>0</v>
      </c>
      <c r="T757">
        <v>8</v>
      </c>
      <c r="U757" t="s">
        <v>44</v>
      </c>
      <c r="V757" t="s">
        <v>38</v>
      </c>
      <c r="W757" t="s">
        <v>51</v>
      </c>
      <c r="X757" s="3">
        <v>46049</v>
      </c>
      <c r="Y757" s="1" t="str">
        <f t="shared" si="22"/>
        <v>Jan</v>
      </c>
      <c r="Z757" s="1" t="str">
        <f t="shared" si="23"/>
        <v>2026</v>
      </c>
      <c r="AA757" t="b">
        <v>0</v>
      </c>
      <c r="AB757" t="b">
        <v>1</v>
      </c>
      <c r="AC757" t="s">
        <v>52</v>
      </c>
      <c r="AD757" t="s">
        <v>67</v>
      </c>
      <c r="AE757">
        <v>6</v>
      </c>
    </row>
    <row r="758" spans="1:31" x14ac:dyDescent="0.3">
      <c r="A758" t="s">
        <v>1586</v>
      </c>
      <c r="B758">
        <v>34</v>
      </c>
      <c r="C758" t="str" cm="1">
        <f t="array" ref="C758">_xlfn.IFS(B758&lt;=18,"0-18",B758&lt;=29,"19-29",B758&gt;=49,"30-49",B758&gt;=69,"50-69",TRUE,"70+")</f>
        <v>70+</v>
      </c>
      <c r="D758" t="s">
        <v>43</v>
      </c>
      <c r="E758" t="s">
        <v>44</v>
      </c>
      <c r="F758" t="s">
        <v>69</v>
      </c>
      <c r="G758" t="s">
        <v>45</v>
      </c>
      <c r="H758" t="s">
        <v>44</v>
      </c>
      <c r="I758" t="s">
        <v>1587</v>
      </c>
      <c r="J758" t="s">
        <v>120</v>
      </c>
      <c r="K758" s="2">
        <v>282.24</v>
      </c>
      <c r="L758">
        <v>6</v>
      </c>
      <c r="M758" t="s">
        <v>78</v>
      </c>
      <c r="N758">
        <v>2</v>
      </c>
      <c r="O758">
        <v>3</v>
      </c>
      <c r="P758">
        <v>2</v>
      </c>
      <c r="Q758" t="s">
        <v>36</v>
      </c>
      <c r="R758" t="s">
        <v>50</v>
      </c>
      <c r="S758">
        <v>1</v>
      </c>
      <c r="T758">
        <v>7</v>
      </c>
      <c r="U758" t="s">
        <v>49</v>
      </c>
      <c r="V758" t="s">
        <v>79</v>
      </c>
      <c r="W758" t="s">
        <v>39</v>
      </c>
      <c r="X758" s="3">
        <v>46050</v>
      </c>
      <c r="Y758" s="1" t="str">
        <f t="shared" si="22"/>
        <v>Jan</v>
      </c>
      <c r="Z758" s="1" t="str">
        <f t="shared" si="23"/>
        <v>2026</v>
      </c>
      <c r="AA758" t="b">
        <v>1</v>
      </c>
      <c r="AB758" t="b">
        <v>1</v>
      </c>
      <c r="AC758" t="s">
        <v>40</v>
      </c>
      <c r="AD758" t="s">
        <v>41</v>
      </c>
      <c r="AE758">
        <v>1</v>
      </c>
    </row>
    <row r="759" spans="1:31" x14ac:dyDescent="0.3">
      <c r="A759" t="s">
        <v>1588</v>
      </c>
      <c r="B759">
        <v>29</v>
      </c>
      <c r="C759" t="str" cm="1">
        <f t="array" ref="C759">_xlfn.IFS(B759&lt;=18,"0-18",B759&lt;=29,"19-29",B759&gt;=49,"30-49",B759&gt;=69,"50-69",TRUE,"70+")</f>
        <v>19-29</v>
      </c>
      <c r="D759" t="s">
        <v>29</v>
      </c>
      <c r="E759" t="s">
        <v>44</v>
      </c>
      <c r="F759" t="s">
        <v>76</v>
      </c>
      <c r="G759" t="s">
        <v>56</v>
      </c>
      <c r="H759" t="s">
        <v>30</v>
      </c>
      <c r="I759" t="s">
        <v>1589</v>
      </c>
      <c r="J759" t="s">
        <v>107</v>
      </c>
      <c r="K759" s="2">
        <v>154.19</v>
      </c>
      <c r="L759">
        <v>6</v>
      </c>
      <c r="M759" t="s">
        <v>78</v>
      </c>
      <c r="N759">
        <v>5</v>
      </c>
      <c r="O759">
        <v>4</v>
      </c>
      <c r="P759">
        <v>1</v>
      </c>
      <c r="Q759" t="s">
        <v>49</v>
      </c>
      <c r="R759" t="s">
        <v>85</v>
      </c>
      <c r="S759">
        <v>2</v>
      </c>
      <c r="T759">
        <v>1</v>
      </c>
      <c r="U759" t="s">
        <v>36</v>
      </c>
      <c r="V759" t="s">
        <v>38</v>
      </c>
      <c r="W759" t="s">
        <v>51</v>
      </c>
      <c r="X759" s="3">
        <v>46051</v>
      </c>
      <c r="Y759" s="1" t="str">
        <f t="shared" si="22"/>
        <v>Jan</v>
      </c>
      <c r="Z759" s="1" t="str">
        <f t="shared" si="23"/>
        <v>2026</v>
      </c>
      <c r="AA759" t="b">
        <v>1</v>
      </c>
      <c r="AB759" t="b">
        <v>1</v>
      </c>
      <c r="AC759" t="s">
        <v>40</v>
      </c>
      <c r="AD759" t="s">
        <v>41</v>
      </c>
      <c r="AE759">
        <v>1</v>
      </c>
    </row>
    <row r="760" spans="1:31" x14ac:dyDescent="0.3">
      <c r="A760" t="s">
        <v>1590</v>
      </c>
      <c r="B760">
        <v>41</v>
      </c>
      <c r="C760" t="str" cm="1">
        <f t="array" ref="C760">_xlfn.IFS(B760&lt;=18,"0-18",B760&lt;=29,"19-29",B760&gt;=49,"30-49",B760&gt;=69,"50-69",TRUE,"70+")</f>
        <v>70+</v>
      </c>
      <c r="D760" t="s">
        <v>29</v>
      </c>
      <c r="E760" t="s">
        <v>30</v>
      </c>
      <c r="F760" t="s">
        <v>69</v>
      </c>
      <c r="G760" t="s">
        <v>32</v>
      </c>
      <c r="H760" t="s">
        <v>30</v>
      </c>
      <c r="I760" t="s">
        <v>1591</v>
      </c>
      <c r="J760" t="s">
        <v>71</v>
      </c>
      <c r="K760" s="2">
        <v>84.15</v>
      </c>
      <c r="L760">
        <v>10</v>
      </c>
      <c r="M760" t="s">
        <v>48</v>
      </c>
      <c r="N760">
        <v>1</v>
      </c>
      <c r="O760">
        <v>3</v>
      </c>
      <c r="P760">
        <v>1</v>
      </c>
      <c r="Q760" t="s">
        <v>44</v>
      </c>
      <c r="R760" t="s">
        <v>50</v>
      </c>
      <c r="S760">
        <v>2</v>
      </c>
      <c r="T760">
        <v>1</v>
      </c>
      <c r="U760" t="s">
        <v>44</v>
      </c>
      <c r="V760" t="s">
        <v>79</v>
      </c>
      <c r="W760" t="s">
        <v>51</v>
      </c>
      <c r="X760" s="3">
        <v>46052</v>
      </c>
      <c r="Y760" s="1" t="str">
        <f t="shared" si="22"/>
        <v>Jan</v>
      </c>
      <c r="Z760" s="1" t="str">
        <f t="shared" si="23"/>
        <v>2026</v>
      </c>
      <c r="AA760" t="b">
        <v>1</v>
      </c>
      <c r="AB760" t="b">
        <v>1</v>
      </c>
      <c r="AC760" t="s">
        <v>62</v>
      </c>
      <c r="AD760" t="s">
        <v>53</v>
      </c>
      <c r="AE760">
        <v>1</v>
      </c>
    </row>
    <row r="761" spans="1:31" x14ac:dyDescent="0.3">
      <c r="A761" t="s">
        <v>1592</v>
      </c>
      <c r="B761">
        <v>41</v>
      </c>
      <c r="C761" t="str" cm="1">
        <f t="array" ref="C761">_xlfn.IFS(B761&lt;=18,"0-18",B761&lt;=29,"19-29",B761&gt;=49,"30-49",B761&gt;=69,"50-69",TRUE,"70+")</f>
        <v>70+</v>
      </c>
      <c r="D761" t="s">
        <v>43</v>
      </c>
      <c r="E761" t="s">
        <v>30</v>
      </c>
      <c r="F761" t="s">
        <v>76</v>
      </c>
      <c r="G761" t="s">
        <v>45</v>
      </c>
      <c r="H761" t="s">
        <v>44</v>
      </c>
      <c r="I761" t="s">
        <v>1593</v>
      </c>
      <c r="J761" t="s">
        <v>142</v>
      </c>
      <c r="K761" s="2">
        <v>214.69</v>
      </c>
      <c r="L761">
        <v>7</v>
      </c>
      <c r="M761" t="s">
        <v>48</v>
      </c>
      <c r="N761">
        <v>4</v>
      </c>
      <c r="O761">
        <v>4</v>
      </c>
      <c r="P761">
        <v>0</v>
      </c>
      <c r="Q761" t="s">
        <v>49</v>
      </c>
      <c r="R761" t="s">
        <v>50</v>
      </c>
      <c r="S761">
        <v>1</v>
      </c>
      <c r="T761">
        <v>7</v>
      </c>
      <c r="U761" t="s">
        <v>36</v>
      </c>
      <c r="V761" t="s">
        <v>38</v>
      </c>
      <c r="W761" t="s">
        <v>39</v>
      </c>
      <c r="X761" s="3">
        <v>46053</v>
      </c>
      <c r="Y761" s="1" t="str">
        <f t="shared" si="22"/>
        <v>Jan</v>
      </c>
      <c r="Z761" s="1" t="str">
        <f t="shared" si="23"/>
        <v>2026</v>
      </c>
      <c r="AA761" t="b">
        <v>1</v>
      </c>
      <c r="AB761" t="b">
        <v>1</v>
      </c>
      <c r="AC761" t="s">
        <v>52</v>
      </c>
      <c r="AD761" t="s">
        <v>53</v>
      </c>
      <c r="AE761">
        <v>9</v>
      </c>
    </row>
    <row r="762" spans="1:31" x14ac:dyDescent="0.3">
      <c r="A762" t="s">
        <v>1594</v>
      </c>
      <c r="B762">
        <v>32</v>
      </c>
      <c r="C762" t="str" cm="1">
        <f t="array" ref="C762">_xlfn.IFS(B762&lt;=18,"0-18",B762&lt;=29,"19-29",B762&gt;=49,"30-49",B762&gt;=69,"50-69",TRUE,"70+")</f>
        <v>70+</v>
      </c>
      <c r="D762" t="s">
        <v>43</v>
      </c>
      <c r="E762" t="s">
        <v>44</v>
      </c>
      <c r="F762" t="s">
        <v>31</v>
      </c>
      <c r="G762" t="s">
        <v>32</v>
      </c>
      <c r="H762" t="s">
        <v>44</v>
      </c>
      <c r="I762" t="s">
        <v>1595</v>
      </c>
      <c r="J762" t="s">
        <v>101</v>
      </c>
      <c r="K762" s="2">
        <v>61.21</v>
      </c>
      <c r="L762">
        <v>12</v>
      </c>
      <c r="M762" t="s">
        <v>35</v>
      </c>
      <c r="N762">
        <v>5</v>
      </c>
      <c r="O762">
        <v>5</v>
      </c>
      <c r="P762">
        <v>0</v>
      </c>
      <c r="Q762" t="s">
        <v>36</v>
      </c>
      <c r="R762" t="s">
        <v>50</v>
      </c>
      <c r="S762">
        <v>0</v>
      </c>
      <c r="T762">
        <v>5</v>
      </c>
      <c r="U762" t="s">
        <v>59</v>
      </c>
      <c r="V762" t="s">
        <v>60</v>
      </c>
      <c r="W762" t="s">
        <v>39</v>
      </c>
      <c r="X762" s="3">
        <v>46054</v>
      </c>
      <c r="Y762" s="1" t="str">
        <f t="shared" si="22"/>
        <v>Feb</v>
      </c>
      <c r="Z762" s="1" t="str">
        <f t="shared" si="23"/>
        <v>2026</v>
      </c>
      <c r="AA762" t="b">
        <v>1</v>
      </c>
      <c r="AB762" t="b">
        <v>0</v>
      </c>
      <c r="AC762" t="s">
        <v>74</v>
      </c>
      <c r="AD762" t="s">
        <v>53</v>
      </c>
      <c r="AE762">
        <v>13</v>
      </c>
    </row>
    <row r="763" spans="1:31" x14ac:dyDescent="0.3">
      <c r="A763" t="s">
        <v>1596</v>
      </c>
      <c r="B763">
        <v>36</v>
      </c>
      <c r="C763" t="str" cm="1">
        <f t="array" ref="C763">_xlfn.IFS(B763&lt;=18,"0-18",B763&lt;=29,"19-29",B763&gt;=49,"30-49",B763&gt;=69,"50-69",TRUE,"70+")</f>
        <v>70+</v>
      </c>
      <c r="D763" t="s">
        <v>29</v>
      </c>
      <c r="E763" t="s">
        <v>30</v>
      </c>
      <c r="F763" t="s">
        <v>55</v>
      </c>
      <c r="G763" t="s">
        <v>45</v>
      </c>
      <c r="H763" t="s">
        <v>44</v>
      </c>
      <c r="I763" t="s">
        <v>1597</v>
      </c>
      <c r="J763" t="s">
        <v>114</v>
      </c>
      <c r="K763" s="2">
        <v>462.48</v>
      </c>
      <c r="L763">
        <v>11</v>
      </c>
      <c r="M763" t="s">
        <v>78</v>
      </c>
      <c r="N763">
        <v>1</v>
      </c>
      <c r="O763">
        <v>3</v>
      </c>
      <c r="P763">
        <v>0</v>
      </c>
      <c r="Q763" t="s">
        <v>49</v>
      </c>
      <c r="R763" t="s">
        <v>85</v>
      </c>
      <c r="S763">
        <v>2</v>
      </c>
      <c r="T763">
        <v>2</v>
      </c>
      <c r="U763" t="s">
        <v>59</v>
      </c>
      <c r="V763" t="s">
        <v>60</v>
      </c>
      <c r="W763" t="s">
        <v>61</v>
      </c>
      <c r="X763" s="3">
        <v>46055</v>
      </c>
      <c r="Y763" s="1" t="str">
        <f t="shared" si="22"/>
        <v>Feb</v>
      </c>
      <c r="Z763" s="1" t="str">
        <f t="shared" si="23"/>
        <v>2026</v>
      </c>
      <c r="AA763" t="b">
        <v>0</v>
      </c>
      <c r="AB763" t="b">
        <v>0</v>
      </c>
      <c r="AC763" t="s">
        <v>74</v>
      </c>
      <c r="AD763" t="s">
        <v>67</v>
      </c>
      <c r="AE763">
        <v>12</v>
      </c>
    </row>
    <row r="764" spans="1:31" x14ac:dyDescent="0.3">
      <c r="A764" t="s">
        <v>1598</v>
      </c>
      <c r="B764">
        <v>33</v>
      </c>
      <c r="C764" t="str" cm="1">
        <f t="array" ref="C764">_xlfn.IFS(B764&lt;=18,"0-18",B764&lt;=29,"19-29",B764&gt;=49,"30-49",B764&gt;=69,"50-69",TRUE,"70+")</f>
        <v>70+</v>
      </c>
      <c r="D764" t="s">
        <v>43</v>
      </c>
      <c r="E764" t="s">
        <v>30</v>
      </c>
      <c r="F764" t="s">
        <v>31</v>
      </c>
      <c r="G764" t="s">
        <v>32</v>
      </c>
      <c r="H764" t="s">
        <v>44</v>
      </c>
      <c r="I764" t="s">
        <v>1599</v>
      </c>
      <c r="J764" t="s">
        <v>120</v>
      </c>
      <c r="K764" s="2">
        <v>449.18</v>
      </c>
      <c r="L764">
        <v>3</v>
      </c>
      <c r="M764" t="s">
        <v>35</v>
      </c>
      <c r="N764">
        <v>5</v>
      </c>
      <c r="O764">
        <v>3</v>
      </c>
      <c r="P764">
        <v>2</v>
      </c>
      <c r="Q764" t="s">
        <v>49</v>
      </c>
      <c r="R764" t="s">
        <v>37</v>
      </c>
      <c r="S764">
        <v>0</v>
      </c>
      <c r="T764">
        <v>8</v>
      </c>
      <c r="U764" t="s">
        <v>44</v>
      </c>
      <c r="V764" t="s">
        <v>38</v>
      </c>
      <c r="W764" t="s">
        <v>39</v>
      </c>
      <c r="X764" s="3">
        <v>46056</v>
      </c>
      <c r="Y764" s="1" t="str">
        <f t="shared" si="22"/>
        <v>Feb</v>
      </c>
      <c r="Z764" s="1" t="str">
        <f t="shared" si="23"/>
        <v>2026</v>
      </c>
      <c r="AA764" t="b">
        <v>1</v>
      </c>
      <c r="AB764" t="b">
        <v>1</v>
      </c>
      <c r="AC764" t="s">
        <v>52</v>
      </c>
      <c r="AD764" t="s">
        <v>53</v>
      </c>
      <c r="AE764">
        <v>10</v>
      </c>
    </row>
    <row r="765" spans="1:31" x14ac:dyDescent="0.3">
      <c r="A765" t="s">
        <v>1600</v>
      </c>
      <c r="B765">
        <v>25</v>
      </c>
      <c r="C765" t="str" cm="1">
        <f t="array" ref="C765">_xlfn.IFS(B765&lt;=18,"0-18",B765&lt;=29,"19-29",B765&gt;=49,"30-49",B765&gt;=69,"50-69",TRUE,"70+")</f>
        <v>19-29</v>
      </c>
      <c r="D765" t="s">
        <v>29</v>
      </c>
      <c r="E765" t="s">
        <v>30</v>
      </c>
      <c r="F765" t="s">
        <v>31</v>
      </c>
      <c r="G765" t="s">
        <v>56</v>
      </c>
      <c r="H765" t="s">
        <v>30</v>
      </c>
      <c r="I765" t="s">
        <v>1601</v>
      </c>
      <c r="J765" t="s">
        <v>93</v>
      </c>
      <c r="K765" s="2">
        <v>314.36</v>
      </c>
      <c r="L765">
        <v>7</v>
      </c>
      <c r="M765" t="s">
        <v>48</v>
      </c>
      <c r="N765">
        <v>3</v>
      </c>
      <c r="O765">
        <v>5</v>
      </c>
      <c r="P765">
        <v>2</v>
      </c>
      <c r="Q765" t="s">
        <v>49</v>
      </c>
      <c r="R765" t="s">
        <v>85</v>
      </c>
      <c r="S765">
        <v>1</v>
      </c>
      <c r="T765">
        <v>4</v>
      </c>
      <c r="U765" t="s">
        <v>36</v>
      </c>
      <c r="V765" t="s">
        <v>79</v>
      </c>
      <c r="W765" t="s">
        <v>86</v>
      </c>
      <c r="X765" s="3">
        <v>46057</v>
      </c>
      <c r="Y765" s="1" t="str">
        <f t="shared" si="22"/>
        <v>Feb</v>
      </c>
      <c r="Z765" s="1" t="str">
        <f t="shared" si="23"/>
        <v>2026</v>
      </c>
      <c r="AA765" t="b">
        <v>1</v>
      </c>
      <c r="AB765" t="b">
        <v>0</v>
      </c>
      <c r="AC765" t="s">
        <v>62</v>
      </c>
      <c r="AD765" t="s">
        <v>67</v>
      </c>
      <c r="AE765">
        <v>1</v>
      </c>
    </row>
    <row r="766" spans="1:31" x14ac:dyDescent="0.3">
      <c r="A766" t="s">
        <v>1602</v>
      </c>
      <c r="B766">
        <v>46</v>
      </c>
      <c r="C766" t="str" cm="1">
        <f t="array" ref="C766">_xlfn.IFS(B766&lt;=18,"0-18",B766&lt;=29,"19-29",B766&gt;=49,"30-49",B766&gt;=69,"50-69",TRUE,"70+")</f>
        <v>70+</v>
      </c>
      <c r="D766" t="s">
        <v>29</v>
      </c>
      <c r="E766" t="s">
        <v>30</v>
      </c>
      <c r="F766" t="s">
        <v>31</v>
      </c>
      <c r="G766" t="s">
        <v>32</v>
      </c>
      <c r="H766" t="s">
        <v>30</v>
      </c>
      <c r="I766" t="s">
        <v>1603</v>
      </c>
      <c r="J766" t="s">
        <v>246</v>
      </c>
      <c r="K766" s="2">
        <v>367.7</v>
      </c>
      <c r="L766">
        <v>3</v>
      </c>
      <c r="M766" t="s">
        <v>35</v>
      </c>
      <c r="N766">
        <v>3</v>
      </c>
      <c r="O766">
        <v>5</v>
      </c>
      <c r="P766">
        <v>2</v>
      </c>
      <c r="Q766" t="s">
        <v>36</v>
      </c>
      <c r="R766" t="s">
        <v>37</v>
      </c>
      <c r="S766">
        <v>2</v>
      </c>
      <c r="T766">
        <v>3</v>
      </c>
      <c r="U766" t="s">
        <v>44</v>
      </c>
      <c r="V766" t="s">
        <v>79</v>
      </c>
      <c r="W766" t="s">
        <v>39</v>
      </c>
      <c r="X766" s="3">
        <v>46058</v>
      </c>
      <c r="Y766" s="1" t="str">
        <f t="shared" si="22"/>
        <v>Feb</v>
      </c>
      <c r="Z766" s="1" t="str">
        <f t="shared" si="23"/>
        <v>2026</v>
      </c>
      <c r="AA766" t="b">
        <v>1</v>
      </c>
      <c r="AB766" t="b">
        <v>1</v>
      </c>
      <c r="AC766" t="s">
        <v>40</v>
      </c>
      <c r="AD766" t="s">
        <v>41</v>
      </c>
      <c r="AE766">
        <v>3</v>
      </c>
    </row>
    <row r="767" spans="1:31" x14ac:dyDescent="0.3">
      <c r="A767" t="s">
        <v>1604</v>
      </c>
      <c r="B767">
        <v>41</v>
      </c>
      <c r="C767" t="str" cm="1">
        <f t="array" ref="C767">_xlfn.IFS(B767&lt;=18,"0-18",B767&lt;=29,"19-29",B767&gt;=49,"30-49",B767&gt;=69,"50-69",TRUE,"70+")</f>
        <v>70+</v>
      </c>
      <c r="D767" t="s">
        <v>29</v>
      </c>
      <c r="E767" t="s">
        <v>44</v>
      </c>
      <c r="F767" t="s">
        <v>55</v>
      </c>
      <c r="G767" t="s">
        <v>45</v>
      </c>
      <c r="H767" t="s">
        <v>30</v>
      </c>
      <c r="I767" t="s">
        <v>1605</v>
      </c>
      <c r="J767" t="s">
        <v>90</v>
      </c>
      <c r="K767" s="2">
        <v>229.97</v>
      </c>
      <c r="L767">
        <v>7</v>
      </c>
      <c r="M767" t="s">
        <v>35</v>
      </c>
      <c r="N767">
        <v>3</v>
      </c>
      <c r="O767">
        <v>4</v>
      </c>
      <c r="P767">
        <v>0</v>
      </c>
      <c r="Q767" t="s">
        <v>36</v>
      </c>
      <c r="R767" t="s">
        <v>85</v>
      </c>
      <c r="S767">
        <v>2</v>
      </c>
      <c r="T767">
        <v>9</v>
      </c>
      <c r="U767" t="s">
        <v>36</v>
      </c>
      <c r="V767" t="s">
        <v>79</v>
      </c>
      <c r="W767" t="s">
        <v>66</v>
      </c>
      <c r="X767" s="3">
        <v>46059</v>
      </c>
      <c r="Y767" s="1" t="str">
        <f t="shared" si="22"/>
        <v>Feb</v>
      </c>
      <c r="Z767" s="1" t="str">
        <f t="shared" si="23"/>
        <v>2026</v>
      </c>
      <c r="AA767" t="b">
        <v>0</v>
      </c>
      <c r="AB767" t="b">
        <v>1</v>
      </c>
      <c r="AC767" t="s">
        <v>40</v>
      </c>
      <c r="AD767" t="s">
        <v>53</v>
      </c>
      <c r="AE767">
        <v>6</v>
      </c>
    </row>
    <row r="768" spans="1:31" x14ac:dyDescent="0.3">
      <c r="A768" t="s">
        <v>1606</v>
      </c>
      <c r="B768">
        <v>28</v>
      </c>
      <c r="C768" t="str" cm="1">
        <f t="array" ref="C768">_xlfn.IFS(B768&lt;=18,"0-18",B768&lt;=29,"19-29",B768&gt;=49,"30-49",B768&gt;=69,"50-69",TRUE,"70+")</f>
        <v>19-29</v>
      </c>
      <c r="D768" t="s">
        <v>29</v>
      </c>
      <c r="E768" t="s">
        <v>30</v>
      </c>
      <c r="F768" t="s">
        <v>69</v>
      </c>
      <c r="G768" t="s">
        <v>32</v>
      </c>
      <c r="H768" t="s">
        <v>30</v>
      </c>
      <c r="I768" t="s">
        <v>1607</v>
      </c>
      <c r="J768" t="s">
        <v>65</v>
      </c>
      <c r="K768" s="2">
        <v>226.53</v>
      </c>
      <c r="L768">
        <v>3</v>
      </c>
      <c r="M768" t="s">
        <v>78</v>
      </c>
      <c r="N768">
        <v>3</v>
      </c>
      <c r="O768">
        <v>1</v>
      </c>
      <c r="P768">
        <v>1</v>
      </c>
      <c r="Q768" t="s">
        <v>44</v>
      </c>
      <c r="R768" t="s">
        <v>50</v>
      </c>
      <c r="S768">
        <v>1</v>
      </c>
      <c r="T768">
        <v>10</v>
      </c>
      <c r="U768" t="s">
        <v>49</v>
      </c>
      <c r="V768" t="s">
        <v>79</v>
      </c>
      <c r="W768" t="s">
        <v>51</v>
      </c>
      <c r="X768" s="3">
        <v>46060</v>
      </c>
      <c r="Y768" s="1" t="str">
        <f t="shared" si="22"/>
        <v>Feb</v>
      </c>
      <c r="Z768" s="1" t="str">
        <f t="shared" si="23"/>
        <v>2026</v>
      </c>
      <c r="AA768" t="b">
        <v>1</v>
      </c>
      <c r="AB768" t="b">
        <v>0</v>
      </c>
      <c r="AC768" t="s">
        <v>52</v>
      </c>
      <c r="AD768" t="s">
        <v>41</v>
      </c>
      <c r="AE768">
        <v>13</v>
      </c>
    </row>
    <row r="769" spans="1:31" x14ac:dyDescent="0.3">
      <c r="A769" t="s">
        <v>1608</v>
      </c>
      <c r="B769">
        <v>23</v>
      </c>
      <c r="C769" t="str" cm="1">
        <f t="array" ref="C769">_xlfn.IFS(B769&lt;=18,"0-18",B769&lt;=29,"19-29",B769&gt;=49,"30-49",B769&gt;=69,"50-69",TRUE,"70+")</f>
        <v>19-29</v>
      </c>
      <c r="D769" t="s">
        <v>43</v>
      </c>
      <c r="E769" t="s">
        <v>44</v>
      </c>
      <c r="F769" t="s">
        <v>76</v>
      </c>
      <c r="G769" t="s">
        <v>56</v>
      </c>
      <c r="H769" t="s">
        <v>30</v>
      </c>
      <c r="I769" t="s">
        <v>1609</v>
      </c>
      <c r="J769" t="s">
        <v>120</v>
      </c>
      <c r="K769" s="2">
        <v>218.32</v>
      </c>
      <c r="L769">
        <v>2</v>
      </c>
      <c r="M769" t="s">
        <v>35</v>
      </c>
      <c r="N769">
        <v>5</v>
      </c>
      <c r="O769">
        <v>3</v>
      </c>
      <c r="P769">
        <v>0</v>
      </c>
      <c r="Q769" t="s">
        <v>44</v>
      </c>
      <c r="R769" t="s">
        <v>50</v>
      </c>
      <c r="S769">
        <v>2</v>
      </c>
      <c r="T769">
        <v>7</v>
      </c>
      <c r="U769" t="s">
        <v>59</v>
      </c>
      <c r="V769" t="s">
        <v>79</v>
      </c>
      <c r="W769" t="s">
        <v>51</v>
      </c>
      <c r="X769" s="3">
        <v>46061</v>
      </c>
      <c r="Y769" s="1" t="str">
        <f t="shared" si="22"/>
        <v>Feb</v>
      </c>
      <c r="Z769" s="1" t="str">
        <f t="shared" si="23"/>
        <v>2026</v>
      </c>
      <c r="AA769" t="b">
        <v>0</v>
      </c>
      <c r="AB769" t="b">
        <v>0</v>
      </c>
      <c r="AC769" t="s">
        <v>40</v>
      </c>
      <c r="AD769" t="s">
        <v>67</v>
      </c>
      <c r="AE769">
        <v>3</v>
      </c>
    </row>
    <row r="770" spans="1:31" x14ac:dyDescent="0.3">
      <c r="A770" t="s">
        <v>1610</v>
      </c>
      <c r="B770">
        <v>48</v>
      </c>
      <c r="C770" t="str" cm="1">
        <f t="array" ref="C770">_xlfn.IFS(B770&lt;=18,"0-18",B770&lt;=29,"19-29",B770&gt;=49,"30-49",B770&gt;=69,"50-69",TRUE,"70+")</f>
        <v>70+</v>
      </c>
      <c r="D770" t="s">
        <v>29</v>
      </c>
      <c r="E770" t="s">
        <v>44</v>
      </c>
      <c r="F770" t="s">
        <v>69</v>
      </c>
      <c r="G770" t="s">
        <v>45</v>
      </c>
      <c r="H770" t="s">
        <v>44</v>
      </c>
      <c r="I770" t="s">
        <v>1611</v>
      </c>
      <c r="J770" t="s">
        <v>71</v>
      </c>
      <c r="K770" s="2">
        <v>132.66999999999999</v>
      </c>
      <c r="L770">
        <v>7</v>
      </c>
      <c r="M770" t="s">
        <v>48</v>
      </c>
      <c r="N770">
        <v>2</v>
      </c>
      <c r="O770">
        <v>5</v>
      </c>
      <c r="P770">
        <v>1</v>
      </c>
      <c r="Q770" t="s">
        <v>59</v>
      </c>
      <c r="R770" t="s">
        <v>85</v>
      </c>
      <c r="S770">
        <v>2</v>
      </c>
      <c r="T770">
        <v>3</v>
      </c>
      <c r="U770" t="s">
        <v>59</v>
      </c>
      <c r="V770" t="s">
        <v>60</v>
      </c>
      <c r="W770" t="s">
        <v>66</v>
      </c>
      <c r="X770" s="3">
        <v>46062</v>
      </c>
      <c r="Y770" s="1" t="str">
        <f t="shared" si="22"/>
        <v>Feb</v>
      </c>
      <c r="Z770" s="1" t="str">
        <f t="shared" si="23"/>
        <v>2026</v>
      </c>
      <c r="AA770" t="b">
        <v>1</v>
      </c>
      <c r="AB770" t="b">
        <v>0</v>
      </c>
      <c r="AC770" t="s">
        <v>62</v>
      </c>
      <c r="AD770" t="s">
        <v>67</v>
      </c>
      <c r="AE770">
        <v>1</v>
      </c>
    </row>
    <row r="771" spans="1:31" x14ac:dyDescent="0.3">
      <c r="A771" t="s">
        <v>1612</v>
      </c>
      <c r="B771">
        <v>26</v>
      </c>
      <c r="C771" t="str" cm="1">
        <f t="array" ref="C771">_xlfn.IFS(B771&lt;=18,"0-18",B771&lt;=29,"19-29",B771&gt;=49,"30-49",B771&gt;=69,"50-69",TRUE,"70+")</f>
        <v>19-29</v>
      </c>
      <c r="D771" t="s">
        <v>43</v>
      </c>
      <c r="E771" t="s">
        <v>44</v>
      </c>
      <c r="F771" t="s">
        <v>55</v>
      </c>
      <c r="G771" t="s">
        <v>56</v>
      </c>
      <c r="H771" t="s">
        <v>44</v>
      </c>
      <c r="I771" t="s">
        <v>1613</v>
      </c>
      <c r="J771" t="s">
        <v>135</v>
      </c>
      <c r="K771" s="2">
        <v>416.96</v>
      </c>
      <c r="L771">
        <v>7</v>
      </c>
      <c r="M771" t="s">
        <v>48</v>
      </c>
      <c r="N771">
        <v>5</v>
      </c>
      <c r="O771">
        <v>1</v>
      </c>
      <c r="P771">
        <v>1</v>
      </c>
      <c r="Q771" t="s">
        <v>44</v>
      </c>
      <c r="R771" t="s">
        <v>50</v>
      </c>
      <c r="S771">
        <v>0</v>
      </c>
      <c r="T771">
        <v>1</v>
      </c>
      <c r="U771" t="s">
        <v>44</v>
      </c>
      <c r="V771" t="s">
        <v>38</v>
      </c>
      <c r="W771" t="s">
        <v>66</v>
      </c>
      <c r="X771" s="3">
        <v>46063</v>
      </c>
      <c r="Y771" s="1" t="str">
        <f t="shared" ref="Y771:Y834" si="24">TEXT(X771,"mmm")</f>
        <v>Feb</v>
      </c>
      <c r="Z771" s="1" t="str">
        <f t="shared" ref="Z771:Z834" si="25">TEXT(X771,"yyyy")</f>
        <v>2026</v>
      </c>
      <c r="AA771" t="b">
        <v>0</v>
      </c>
      <c r="AB771" t="b">
        <v>0</v>
      </c>
      <c r="AC771" t="s">
        <v>74</v>
      </c>
      <c r="AD771" t="s">
        <v>67</v>
      </c>
      <c r="AE771">
        <v>7</v>
      </c>
    </row>
    <row r="772" spans="1:31" x14ac:dyDescent="0.3">
      <c r="A772" t="s">
        <v>1614</v>
      </c>
      <c r="B772">
        <v>39</v>
      </c>
      <c r="C772" t="str" cm="1">
        <f t="array" ref="C772">_xlfn.IFS(B772&lt;=18,"0-18",B772&lt;=29,"19-29",B772&gt;=49,"30-49",B772&gt;=69,"50-69",TRUE,"70+")</f>
        <v>70+</v>
      </c>
      <c r="D772" t="s">
        <v>29</v>
      </c>
      <c r="E772" t="s">
        <v>44</v>
      </c>
      <c r="F772" t="s">
        <v>31</v>
      </c>
      <c r="G772" t="s">
        <v>56</v>
      </c>
      <c r="H772" t="s">
        <v>30</v>
      </c>
      <c r="I772" t="s">
        <v>1615</v>
      </c>
      <c r="J772" t="s">
        <v>135</v>
      </c>
      <c r="K772" s="2">
        <v>459.51</v>
      </c>
      <c r="L772">
        <v>7</v>
      </c>
      <c r="M772" t="s">
        <v>48</v>
      </c>
      <c r="N772">
        <v>1</v>
      </c>
      <c r="O772">
        <v>2</v>
      </c>
      <c r="P772">
        <v>2</v>
      </c>
      <c r="Q772" t="s">
        <v>44</v>
      </c>
      <c r="R772" t="s">
        <v>50</v>
      </c>
      <c r="S772">
        <v>0</v>
      </c>
      <c r="T772">
        <v>5</v>
      </c>
      <c r="U772" t="s">
        <v>49</v>
      </c>
      <c r="V772" t="s">
        <v>38</v>
      </c>
      <c r="W772" t="s">
        <v>61</v>
      </c>
      <c r="X772" s="3">
        <v>46064</v>
      </c>
      <c r="Y772" s="1" t="str">
        <f t="shared" si="24"/>
        <v>Feb</v>
      </c>
      <c r="Z772" s="1" t="str">
        <f t="shared" si="25"/>
        <v>2026</v>
      </c>
      <c r="AA772" t="b">
        <v>1</v>
      </c>
      <c r="AB772" t="b">
        <v>0</v>
      </c>
      <c r="AC772" t="s">
        <v>40</v>
      </c>
      <c r="AD772" t="s">
        <v>41</v>
      </c>
      <c r="AE772">
        <v>11</v>
      </c>
    </row>
    <row r="773" spans="1:31" x14ac:dyDescent="0.3">
      <c r="A773" t="s">
        <v>1616</v>
      </c>
      <c r="B773">
        <v>45</v>
      </c>
      <c r="C773" t="str" cm="1">
        <f t="array" ref="C773">_xlfn.IFS(B773&lt;=18,"0-18",B773&lt;=29,"19-29",B773&gt;=49,"30-49",B773&gt;=69,"50-69",TRUE,"70+")</f>
        <v>70+</v>
      </c>
      <c r="D773" t="s">
        <v>43</v>
      </c>
      <c r="E773" t="s">
        <v>30</v>
      </c>
      <c r="F773" t="s">
        <v>31</v>
      </c>
      <c r="G773" t="s">
        <v>45</v>
      </c>
      <c r="H773" t="s">
        <v>44</v>
      </c>
      <c r="I773" t="s">
        <v>1617</v>
      </c>
      <c r="J773" t="s">
        <v>90</v>
      </c>
      <c r="K773" s="2">
        <v>487.96</v>
      </c>
      <c r="L773">
        <v>2</v>
      </c>
      <c r="M773" t="s">
        <v>35</v>
      </c>
      <c r="N773">
        <v>5</v>
      </c>
      <c r="O773">
        <v>3</v>
      </c>
      <c r="P773">
        <v>2</v>
      </c>
      <c r="Q773" t="s">
        <v>59</v>
      </c>
      <c r="R773" t="s">
        <v>85</v>
      </c>
      <c r="S773">
        <v>0</v>
      </c>
      <c r="T773">
        <v>2</v>
      </c>
      <c r="U773" t="s">
        <v>36</v>
      </c>
      <c r="V773" t="s">
        <v>79</v>
      </c>
      <c r="W773" t="s">
        <v>51</v>
      </c>
      <c r="X773" s="3">
        <v>46065</v>
      </c>
      <c r="Y773" s="1" t="str">
        <f t="shared" si="24"/>
        <v>Feb</v>
      </c>
      <c r="Z773" s="1" t="str">
        <f t="shared" si="25"/>
        <v>2026</v>
      </c>
      <c r="AA773" t="b">
        <v>1</v>
      </c>
      <c r="AB773" t="b">
        <v>1</v>
      </c>
      <c r="AC773" t="s">
        <v>40</v>
      </c>
      <c r="AD773" t="s">
        <v>41</v>
      </c>
      <c r="AE773">
        <v>12</v>
      </c>
    </row>
    <row r="774" spans="1:31" x14ac:dyDescent="0.3">
      <c r="A774" t="s">
        <v>1618</v>
      </c>
      <c r="B774">
        <v>22</v>
      </c>
      <c r="C774" t="str" cm="1">
        <f t="array" ref="C774">_xlfn.IFS(B774&lt;=18,"0-18",B774&lt;=29,"19-29",B774&gt;=49,"30-49",B774&gt;=69,"50-69",TRUE,"70+")</f>
        <v>19-29</v>
      </c>
      <c r="D774" t="s">
        <v>43</v>
      </c>
      <c r="E774" t="s">
        <v>30</v>
      </c>
      <c r="F774" t="s">
        <v>76</v>
      </c>
      <c r="G774" t="s">
        <v>45</v>
      </c>
      <c r="H774" t="s">
        <v>44</v>
      </c>
      <c r="I774" t="s">
        <v>1619</v>
      </c>
      <c r="J774" t="s">
        <v>126</v>
      </c>
      <c r="K774" s="2">
        <v>150.11000000000001</v>
      </c>
      <c r="L774">
        <v>7</v>
      </c>
      <c r="M774" t="s">
        <v>35</v>
      </c>
      <c r="N774">
        <v>4</v>
      </c>
      <c r="O774">
        <v>4</v>
      </c>
      <c r="P774">
        <v>1.5</v>
      </c>
      <c r="Q774" t="s">
        <v>59</v>
      </c>
      <c r="R774" t="s">
        <v>85</v>
      </c>
      <c r="S774">
        <v>0</v>
      </c>
      <c r="T774">
        <v>3</v>
      </c>
      <c r="U774" t="s">
        <v>44</v>
      </c>
      <c r="V774" t="s">
        <v>60</v>
      </c>
      <c r="W774" t="s">
        <v>39</v>
      </c>
      <c r="X774" s="3">
        <v>46066</v>
      </c>
      <c r="Y774" s="1" t="str">
        <f t="shared" si="24"/>
        <v>Feb</v>
      </c>
      <c r="Z774" s="1" t="str">
        <f t="shared" si="25"/>
        <v>2026</v>
      </c>
      <c r="AA774" t="b">
        <v>1</v>
      </c>
      <c r="AB774" t="b">
        <v>0</v>
      </c>
      <c r="AC774" t="s">
        <v>52</v>
      </c>
      <c r="AD774" t="s">
        <v>53</v>
      </c>
      <c r="AE774">
        <v>8</v>
      </c>
    </row>
    <row r="775" spans="1:31" x14ac:dyDescent="0.3">
      <c r="A775" t="s">
        <v>1620</v>
      </c>
      <c r="B775">
        <v>36</v>
      </c>
      <c r="C775" t="str" cm="1">
        <f t="array" ref="C775">_xlfn.IFS(B775&lt;=18,"0-18",B775&lt;=29,"19-29",B775&gt;=49,"30-49",B775&gt;=69,"50-69",TRUE,"70+")</f>
        <v>70+</v>
      </c>
      <c r="D775" t="s">
        <v>43</v>
      </c>
      <c r="E775" t="s">
        <v>44</v>
      </c>
      <c r="F775" t="s">
        <v>31</v>
      </c>
      <c r="G775" t="s">
        <v>45</v>
      </c>
      <c r="H775" t="s">
        <v>30</v>
      </c>
      <c r="I775" t="s">
        <v>1621</v>
      </c>
      <c r="J775" t="s">
        <v>107</v>
      </c>
      <c r="K775" s="2">
        <v>218.87</v>
      </c>
      <c r="L775">
        <v>5</v>
      </c>
      <c r="M775" t="s">
        <v>35</v>
      </c>
      <c r="N775">
        <v>4</v>
      </c>
      <c r="O775">
        <v>3</v>
      </c>
      <c r="P775">
        <v>0</v>
      </c>
      <c r="Q775" t="s">
        <v>49</v>
      </c>
      <c r="R775" t="s">
        <v>85</v>
      </c>
      <c r="S775">
        <v>0</v>
      </c>
      <c r="T775">
        <v>4</v>
      </c>
      <c r="U775" t="s">
        <v>49</v>
      </c>
      <c r="V775" t="s">
        <v>60</v>
      </c>
      <c r="W775" t="s">
        <v>86</v>
      </c>
      <c r="X775" s="3">
        <v>46067</v>
      </c>
      <c r="Y775" s="1" t="str">
        <f t="shared" si="24"/>
        <v>Feb</v>
      </c>
      <c r="Z775" s="1" t="str">
        <f t="shared" si="25"/>
        <v>2026</v>
      </c>
      <c r="AA775" t="b">
        <v>1</v>
      </c>
      <c r="AB775" t="b">
        <v>0</v>
      </c>
      <c r="AC775" t="s">
        <v>74</v>
      </c>
      <c r="AD775" t="s">
        <v>41</v>
      </c>
      <c r="AE775">
        <v>11</v>
      </c>
    </row>
    <row r="776" spans="1:31" x14ac:dyDescent="0.3">
      <c r="A776" t="s">
        <v>1622</v>
      </c>
      <c r="B776">
        <v>29</v>
      </c>
      <c r="C776" t="str" cm="1">
        <f t="array" ref="C776">_xlfn.IFS(B776&lt;=18,"0-18",B776&lt;=29,"19-29",B776&gt;=49,"30-49",B776&gt;=69,"50-69",TRUE,"70+")</f>
        <v>19-29</v>
      </c>
      <c r="D776" t="s">
        <v>29</v>
      </c>
      <c r="E776" t="s">
        <v>30</v>
      </c>
      <c r="F776" t="s">
        <v>31</v>
      </c>
      <c r="G776" t="s">
        <v>32</v>
      </c>
      <c r="H776" t="s">
        <v>44</v>
      </c>
      <c r="I776" t="s">
        <v>1623</v>
      </c>
      <c r="J776" t="s">
        <v>93</v>
      </c>
      <c r="K776" s="2">
        <v>437.06</v>
      </c>
      <c r="L776">
        <v>7</v>
      </c>
      <c r="M776" t="s">
        <v>48</v>
      </c>
      <c r="N776">
        <v>3</v>
      </c>
      <c r="O776">
        <v>5</v>
      </c>
      <c r="P776">
        <v>2</v>
      </c>
      <c r="Q776" t="s">
        <v>59</v>
      </c>
      <c r="R776" t="s">
        <v>85</v>
      </c>
      <c r="S776">
        <v>0</v>
      </c>
      <c r="T776">
        <v>6</v>
      </c>
      <c r="U776" t="s">
        <v>59</v>
      </c>
      <c r="V776" t="s">
        <v>60</v>
      </c>
      <c r="W776" t="s">
        <v>86</v>
      </c>
      <c r="X776" s="3">
        <v>46068</v>
      </c>
      <c r="Y776" s="1" t="str">
        <f t="shared" si="24"/>
        <v>Feb</v>
      </c>
      <c r="Z776" s="1" t="str">
        <f t="shared" si="25"/>
        <v>2026</v>
      </c>
      <c r="AA776" t="b">
        <v>0</v>
      </c>
      <c r="AB776" t="b">
        <v>0</v>
      </c>
      <c r="AC776" t="s">
        <v>62</v>
      </c>
      <c r="AD776" t="s">
        <v>67</v>
      </c>
      <c r="AE776">
        <v>11</v>
      </c>
    </row>
    <row r="777" spans="1:31" x14ac:dyDescent="0.3">
      <c r="A777" t="s">
        <v>1624</v>
      </c>
      <c r="B777">
        <v>33</v>
      </c>
      <c r="C777" t="str" cm="1">
        <f t="array" ref="C777">_xlfn.IFS(B777&lt;=18,"0-18",B777&lt;=29,"19-29",B777&gt;=49,"30-49",B777&gt;=69,"50-69",TRUE,"70+")</f>
        <v>70+</v>
      </c>
      <c r="D777" t="s">
        <v>43</v>
      </c>
      <c r="E777" t="s">
        <v>44</v>
      </c>
      <c r="F777" t="s">
        <v>31</v>
      </c>
      <c r="G777" t="s">
        <v>32</v>
      </c>
      <c r="H777" t="s">
        <v>44</v>
      </c>
      <c r="I777" t="s">
        <v>1625</v>
      </c>
      <c r="J777" t="s">
        <v>188</v>
      </c>
      <c r="K777" s="2">
        <v>122.58</v>
      </c>
      <c r="L777">
        <v>2</v>
      </c>
      <c r="M777" t="s">
        <v>48</v>
      </c>
      <c r="N777">
        <v>5</v>
      </c>
      <c r="O777">
        <v>4</v>
      </c>
      <c r="P777">
        <v>1.5</v>
      </c>
      <c r="Q777" t="s">
        <v>59</v>
      </c>
      <c r="R777" t="s">
        <v>50</v>
      </c>
      <c r="S777">
        <v>2</v>
      </c>
      <c r="T777">
        <v>5</v>
      </c>
      <c r="U777" t="s">
        <v>36</v>
      </c>
      <c r="V777" t="s">
        <v>38</v>
      </c>
      <c r="W777" t="s">
        <v>66</v>
      </c>
      <c r="X777" s="3">
        <v>46069</v>
      </c>
      <c r="Y777" s="1" t="str">
        <f t="shared" si="24"/>
        <v>Feb</v>
      </c>
      <c r="Z777" s="1" t="str">
        <f t="shared" si="25"/>
        <v>2026</v>
      </c>
      <c r="AA777" t="b">
        <v>1</v>
      </c>
      <c r="AB777" t="b">
        <v>0</v>
      </c>
      <c r="AC777" t="s">
        <v>62</v>
      </c>
      <c r="AD777" t="s">
        <v>67</v>
      </c>
      <c r="AE777">
        <v>12</v>
      </c>
    </row>
    <row r="778" spans="1:31" x14ac:dyDescent="0.3">
      <c r="A778" t="s">
        <v>1626</v>
      </c>
      <c r="B778">
        <v>35</v>
      </c>
      <c r="C778" t="str" cm="1">
        <f t="array" ref="C778">_xlfn.IFS(B778&lt;=18,"0-18",B778&lt;=29,"19-29",B778&gt;=49,"30-49",B778&gt;=69,"50-69",TRUE,"70+")</f>
        <v>70+</v>
      </c>
      <c r="D778" t="s">
        <v>43</v>
      </c>
      <c r="E778" t="s">
        <v>44</v>
      </c>
      <c r="F778" t="s">
        <v>31</v>
      </c>
      <c r="G778" t="s">
        <v>56</v>
      </c>
      <c r="H778" t="s">
        <v>30</v>
      </c>
      <c r="I778" t="s">
        <v>1627</v>
      </c>
      <c r="J778" t="s">
        <v>47</v>
      </c>
      <c r="K778" s="2">
        <v>195.07</v>
      </c>
      <c r="L778">
        <v>8</v>
      </c>
      <c r="M778" t="s">
        <v>78</v>
      </c>
      <c r="N778">
        <v>3</v>
      </c>
      <c r="O778">
        <v>1</v>
      </c>
      <c r="P778">
        <v>1</v>
      </c>
      <c r="Q778" t="s">
        <v>44</v>
      </c>
      <c r="R778" t="s">
        <v>37</v>
      </c>
      <c r="S778">
        <v>0</v>
      </c>
      <c r="T778">
        <v>6</v>
      </c>
      <c r="U778" t="s">
        <v>36</v>
      </c>
      <c r="V778" t="s">
        <v>60</v>
      </c>
      <c r="W778" t="s">
        <v>61</v>
      </c>
      <c r="X778" s="3">
        <v>46070</v>
      </c>
      <c r="Y778" s="1" t="str">
        <f t="shared" si="24"/>
        <v>Feb</v>
      </c>
      <c r="Z778" s="1" t="str">
        <f t="shared" si="25"/>
        <v>2026</v>
      </c>
      <c r="AA778" t="b">
        <v>0</v>
      </c>
      <c r="AB778" t="b">
        <v>0</v>
      </c>
      <c r="AC778" t="s">
        <v>62</v>
      </c>
      <c r="AD778" t="s">
        <v>41</v>
      </c>
      <c r="AE778">
        <v>10</v>
      </c>
    </row>
    <row r="779" spans="1:31" x14ac:dyDescent="0.3">
      <c r="A779" t="s">
        <v>1628</v>
      </c>
      <c r="B779">
        <v>39</v>
      </c>
      <c r="C779" t="str" cm="1">
        <f t="array" ref="C779">_xlfn.IFS(B779&lt;=18,"0-18",B779&lt;=29,"19-29",B779&gt;=49,"30-49",B779&gt;=69,"50-69",TRUE,"70+")</f>
        <v>70+</v>
      </c>
      <c r="D779" t="s">
        <v>29</v>
      </c>
      <c r="E779" t="s">
        <v>30</v>
      </c>
      <c r="F779" t="s">
        <v>55</v>
      </c>
      <c r="G779" t="s">
        <v>45</v>
      </c>
      <c r="H779" t="s">
        <v>44</v>
      </c>
      <c r="I779" t="s">
        <v>1629</v>
      </c>
      <c r="J779" t="s">
        <v>82</v>
      </c>
      <c r="K779" s="2">
        <v>190.06</v>
      </c>
      <c r="L779">
        <v>9</v>
      </c>
      <c r="M779" t="s">
        <v>48</v>
      </c>
      <c r="N779">
        <v>5</v>
      </c>
      <c r="O779">
        <v>1</v>
      </c>
      <c r="P779">
        <v>1</v>
      </c>
      <c r="Q779" t="s">
        <v>36</v>
      </c>
      <c r="R779" t="s">
        <v>37</v>
      </c>
      <c r="S779">
        <v>1</v>
      </c>
      <c r="T779">
        <v>2</v>
      </c>
      <c r="U779" t="s">
        <v>59</v>
      </c>
      <c r="V779" t="s">
        <v>60</v>
      </c>
      <c r="W779" t="s">
        <v>66</v>
      </c>
      <c r="X779" s="3">
        <v>46071</v>
      </c>
      <c r="Y779" s="1" t="str">
        <f t="shared" si="24"/>
        <v>Feb</v>
      </c>
      <c r="Z779" s="1" t="str">
        <f t="shared" si="25"/>
        <v>2026</v>
      </c>
      <c r="AA779" t="b">
        <v>1</v>
      </c>
      <c r="AB779" t="b">
        <v>1</v>
      </c>
      <c r="AC779" t="s">
        <v>74</v>
      </c>
      <c r="AD779" t="s">
        <v>53</v>
      </c>
      <c r="AE779">
        <v>12</v>
      </c>
    </row>
    <row r="780" spans="1:31" x14ac:dyDescent="0.3">
      <c r="A780" t="s">
        <v>1630</v>
      </c>
      <c r="B780">
        <v>38</v>
      </c>
      <c r="C780" t="str" cm="1">
        <f t="array" ref="C780">_xlfn.IFS(B780&lt;=18,"0-18",B780&lt;=29,"19-29",B780&gt;=49,"30-49",B780&gt;=69,"50-69",TRUE,"70+")</f>
        <v>70+</v>
      </c>
      <c r="D780" t="s">
        <v>29</v>
      </c>
      <c r="E780" t="s">
        <v>30</v>
      </c>
      <c r="F780" t="s">
        <v>55</v>
      </c>
      <c r="G780" t="s">
        <v>45</v>
      </c>
      <c r="H780" t="s">
        <v>30</v>
      </c>
      <c r="I780" t="s">
        <v>1631</v>
      </c>
      <c r="J780" t="s">
        <v>158</v>
      </c>
      <c r="K780" s="2">
        <v>485.76</v>
      </c>
      <c r="L780">
        <v>10</v>
      </c>
      <c r="M780" t="s">
        <v>48</v>
      </c>
      <c r="N780">
        <v>3</v>
      </c>
      <c r="O780">
        <v>4</v>
      </c>
      <c r="P780">
        <v>0</v>
      </c>
      <c r="Q780" t="s">
        <v>49</v>
      </c>
      <c r="R780" t="s">
        <v>37</v>
      </c>
      <c r="S780">
        <v>0</v>
      </c>
      <c r="T780">
        <v>4</v>
      </c>
      <c r="U780" t="s">
        <v>44</v>
      </c>
      <c r="V780" t="s">
        <v>79</v>
      </c>
      <c r="W780" t="s">
        <v>61</v>
      </c>
      <c r="X780" s="3">
        <v>46072</v>
      </c>
      <c r="Y780" s="1" t="str">
        <f t="shared" si="24"/>
        <v>Feb</v>
      </c>
      <c r="Z780" s="1" t="str">
        <f t="shared" si="25"/>
        <v>2026</v>
      </c>
      <c r="AA780" t="b">
        <v>1</v>
      </c>
      <c r="AB780" t="b">
        <v>1</v>
      </c>
      <c r="AC780" t="s">
        <v>52</v>
      </c>
      <c r="AD780" t="s">
        <v>41</v>
      </c>
      <c r="AE780">
        <v>4</v>
      </c>
    </row>
    <row r="781" spans="1:31" x14ac:dyDescent="0.3">
      <c r="A781" t="s">
        <v>1632</v>
      </c>
      <c r="B781">
        <v>27</v>
      </c>
      <c r="C781" t="str" cm="1">
        <f t="array" ref="C781">_xlfn.IFS(B781&lt;=18,"0-18",B781&lt;=29,"19-29",B781&gt;=49,"30-49",B781&gt;=69,"50-69",TRUE,"70+")</f>
        <v>19-29</v>
      </c>
      <c r="D781" t="s">
        <v>29</v>
      </c>
      <c r="E781" t="s">
        <v>44</v>
      </c>
      <c r="F781" t="s">
        <v>55</v>
      </c>
      <c r="G781" t="s">
        <v>32</v>
      </c>
      <c r="H781" t="s">
        <v>44</v>
      </c>
      <c r="I781" t="s">
        <v>1633</v>
      </c>
      <c r="J781" t="s">
        <v>82</v>
      </c>
      <c r="K781" s="2">
        <v>242.57</v>
      </c>
      <c r="L781">
        <v>7</v>
      </c>
      <c r="M781" t="s">
        <v>48</v>
      </c>
      <c r="N781">
        <v>1</v>
      </c>
      <c r="O781">
        <v>1</v>
      </c>
      <c r="P781">
        <v>1</v>
      </c>
      <c r="Q781" t="s">
        <v>59</v>
      </c>
      <c r="R781" t="s">
        <v>50</v>
      </c>
      <c r="S781">
        <v>0</v>
      </c>
      <c r="T781">
        <v>10</v>
      </c>
      <c r="U781" t="s">
        <v>59</v>
      </c>
      <c r="V781" t="s">
        <v>60</v>
      </c>
      <c r="W781" t="s">
        <v>51</v>
      </c>
      <c r="X781" s="3">
        <v>46073</v>
      </c>
      <c r="Y781" s="1" t="str">
        <f t="shared" si="24"/>
        <v>Feb</v>
      </c>
      <c r="Z781" s="1" t="str">
        <f t="shared" si="25"/>
        <v>2026</v>
      </c>
      <c r="AA781" t="b">
        <v>1</v>
      </c>
      <c r="AB781" t="b">
        <v>0</v>
      </c>
      <c r="AC781" t="s">
        <v>52</v>
      </c>
      <c r="AD781" t="s">
        <v>41</v>
      </c>
      <c r="AE781">
        <v>1</v>
      </c>
    </row>
    <row r="782" spans="1:31" x14ac:dyDescent="0.3">
      <c r="A782" t="s">
        <v>1634</v>
      </c>
      <c r="B782">
        <v>35</v>
      </c>
      <c r="C782" t="str" cm="1">
        <f t="array" ref="C782">_xlfn.IFS(B782&lt;=18,"0-18",B782&lt;=29,"19-29",B782&gt;=49,"30-49",B782&gt;=69,"50-69",TRUE,"70+")</f>
        <v>70+</v>
      </c>
      <c r="D782" t="s">
        <v>43</v>
      </c>
      <c r="E782" t="s">
        <v>30</v>
      </c>
      <c r="F782" t="s">
        <v>69</v>
      </c>
      <c r="G782" t="s">
        <v>45</v>
      </c>
      <c r="H782" t="s">
        <v>44</v>
      </c>
      <c r="I782" t="s">
        <v>1635</v>
      </c>
      <c r="J782" t="s">
        <v>135</v>
      </c>
      <c r="K782" s="2">
        <v>303.13</v>
      </c>
      <c r="L782">
        <v>2</v>
      </c>
      <c r="M782" t="s">
        <v>78</v>
      </c>
      <c r="N782">
        <v>1</v>
      </c>
      <c r="O782">
        <v>1</v>
      </c>
      <c r="P782">
        <v>1</v>
      </c>
      <c r="Q782" t="s">
        <v>44</v>
      </c>
      <c r="R782" t="s">
        <v>50</v>
      </c>
      <c r="S782">
        <v>0</v>
      </c>
      <c r="T782">
        <v>7</v>
      </c>
      <c r="U782" t="s">
        <v>49</v>
      </c>
      <c r="V782" t="s">
        <v>79</v>
      </c>
      <c r="W782" t="s">
        <v>61</v>
      </c>
      <c r="X782" s="3">
        <v>46074</v>
      </c>
      <c r="Y782" s="1" t="str">
        <f t="shared" si="24"/>
        <v>Feb</v>
      </c>
      <c r="Z782" s="1" t="str">
        <f t="shared" si="25"/>
        <v>2026</v>
      </c>
      <c r="AA782" t="b">
        <v>0</v>
      </c>
      <c r="AB782" t="b">
        <v>1</v>
      </c>
      <c r="AC782" t="s">
        <v>40</v>
      </c>
      <c r="AD782" t="s">
        <v>53</v>
      </c>
      <c r="AE782">
        <v>10</v>
      </c>
    </row>
    <row r="783" spans="1:31" x14ac:dyDescent="0.3">
      <c r="A783" t="s">
        <v>1636</v>
      </c>
      <c r="B783">
        <v>43</v>
      </c>
      <c r="C783" t="str" cm="1">
        <f t="array" ref="C783">_xlfn.IFS(B783&lt;=18,"0-18",B783&lt;=29,"19-29",B783&gt;=49,"30-49",B783&gt;=69,"50-69",TRUE,"70+")</f>
        <v>70+</v>
      </c>
      <c r="D783" t="s">
        <v>29</v>
      </c>
      <c r="E783" t="s">
        <v>30</v>
      </c>
      <c r="F783" t="s">
        <v>69</v>
      </c>
      <c r="G783" t="s">
        <v>56</v>
      </c>
      <c r="H783" t="s">
        <v>30</v>
      </c>
      <c r="I783" t="s">
        <v>1637</v>
      </c>
      <c r="J783" t="s">
        <v>126</v>
      </c>
      <c r="K783" s="2">
        <v>136.1</v>
      </c>
      <c r="L783">
        <v>5</v>
      </c>
      <c r="M783" t="s">
        <v>48</v>
      </c>
      <c r="N783">
        <v>3</v>
      </c>
      <c r="O783">
        <v>5</v>
      </c>
      <c r="P783">
        <v>2</v>
      </c>
      <c r="Q783" t="s">
        <v>59</v>
      </c>
      <c r="R783" t="s">
        <v>85</v>
      </c>
      <c r="S783">
        <v>0</v>
      </c>
      <c r="T783">
        <v>2</v>
      </c>
      <c r="U783" t="s">
        <v>44</v>
      </c>
      <c r="V783" t="s">
        <v>38</v>
      </c>
      <c r="W783" t="s">
        <v>61</v>
      </c>
      <c r="X783" s="3">
        <v>46075</v>
      </c>
      <c r="Y783" s="1" t="str">
        <f t="shared" si="24"/>
        <v>Feb</v>
      </c>
      <c r="Z783" s="1" t="str">
        <f t="shared" si="25"/>
        <v>2026</v>
      </c>
      <c r="AA783" t="b">
        <v>0</v>
      </c>
      <c r="AB783" t="b">
        <v>1</v>
      </c>
      <c r="AC783" t="s">
        <v>74</v>
      </c>
      <c r="AD783" t="s">
        <v>67</v>
      </c>
      <c r="AE783">
        <v>14</v>
      </c>
    </row>
    <row r="784" spans="1:31" x14ac:dyDescent="0.3">
      <c r="A784" t="s">
        <v>1638</v>
      </c>
      <c r="B784">
        <v>40</v>
      </c>
      <c r="C784" t="str" cm="1">
        <f t="array" ref="C784">_xlfn.IFS(B784&lt;=18,"0-18",B784&lt;=29,"19-29",B784&gt;=49,"30-49",B784&gt;=69,"50-69",TRUE,"70+")</f>
        <v>70+</v>
      </c>
      <c r="D784" t="s">
        <v>88</v>
      </c>
      <c r="E784" t="s">
        <v>44</v>
      </c>
      <c r="F784" t="s">
        <v>55</v>
      </c>
      <c r="G784" t="s">
        <v>32</v>
      </c>
      <c r="H784" t="s">
        <v>30</v>
      </c>
      <c r="I784" t="s">
        <v>1639</v>
      </c>
      <c r="J784" t="s">
        <v>117</v>
      </c>
      <c r="K784" s="2">
        <v>249.02</v>
      </c>
      <c r="L784">
        <v>11</v>
      </c>
      <c r="M784" t="s">
        <v>35</v>
      </c>
      <c r="N784">
        <v>3</v>
      </c>
      <c r="O784">
        <v>2</v>
      </c>
      <c r="P784">
        <v>0.3</v>
      </c>
      <c r="Q784" t="s">
        <v>49</v>
      </c>
      <c r="R784" t="s">
        <v>50</v>
      </c>
      <c r="S784">
        <v>1</v>
      </c>
      <c r="T784">
        <v>1</v>
      </c>
      <c r="U784" t="s">
        <v>49</v>
      </c>
      <c r="V784" t="s">
        <v>60</v>
      </c>
      <c r="W784" t="s">
        <v>51</v>
      </c>
      <c r="X784" s="3">
        <v>46076</v>
      </c>
      <c r="Y784" s="1" t="str">
        <f t="shared" si="24"/>
        <v>Feb</v>
      </c>
      <c r="Z784" s="1" t="str">
        <f t="shared" si="25"/>
        <v>2026</v>
      </c>
      <c r="AA784" t="b">
        <v>1</v>
      </c>
      <c r="AB784" t="b">
        <v>1</v>
      </c>
      <c r="AC784" t="s">
        <v>74</v>
      </c>
      <c r="AD784" t="s">
        <v>67</v>
      </c>
      <c r="AE784">
        <v>14</v>
      </c>
    </row>
    <row r="785" spans="1:31" x14ac:dyDescent="0.3">
      <c r="A785" t="s">
        <v>1640</v>
      </c>
      <c r="B785">
        <v>19</v>
      </c>
      <c r="C785" t="str" cm="1">
        <f t="array" ref="C785">_xlfn.IFS(B785&lt;=18,"0-18",B785&lt;=29,"19-29",B785&gt;=49,"30-49",B785&gt;=69,"50-69",TRUE,"70+")</f>
        <v>19-29</v>
      </c>
      <c r="D785" t="s">
        <v>43</v>
      </c>
      <c r="E785" t="s">
        <v>30</v>
      </c>
      <c r="F785" t="s">
        <v>76</v>
      </c>
      <c r="G785" t="s">
        <v>45</v>
      </c>
      <c r="H785" t="s">
        <v>30</v>
      </c>
      <c r="I785" t="s">
        <v>1641</v>
      </c>
      <c r="J785" t="s">
        <v>58</v>
      </c>
      <c r="K785" s="2">
        <v>466.74</v>
      </c>
      <c r="L785">
        <v>7</v>
      </c>
      <c r="M785" t="s">
        <v>48</v>
      </c>
      <c r="N785">
        <v>3</v>
      </c>
      <c r="O785">
        <v>4</v>
      </c>
      <c r="P785">
        <v>0.2</v>
      </c>
      <c r="Q785" t="s">
        <v>49</v>
      </c>
      <c r="R785" t="s">
        <v>50</v>
      </c>
      <c r="S785">
        <v>2</v>
      </c>
      <c r="T785">
        <v>3</v>
      </c>
      <c r="U785" t="s">
        <v>44</v>
      </c>
      <c r="V785" t="s">
        <v>38</v>
      </c>
      <c r="W785" t="s">
        <v>61</v>
      </c>
      <c r="X785" s="3">
        <v>46077</v>
      </c>
      <c r="Y785" s="1" t="str">
        <f t="shared" si="24"/>
        <v>Feb</v>
      </c>
      <c r="Z785" s="1" t="str">
        <f t="shared" si="25"/>
        <v>2026</v>
      </c>
      <c r="AA785" t="b">
        <v>1</v>
      </c>
      <c r="AB785" t="b">
        <v>1</v>
      </c>
      <c r="AC785" t="s">
        <v>40</v>
      </c>
      <c r="AD785" t="s">
        <v>67</v>
      </c>
      <c r="AE785">
        <v>5</v>
      </c>
    </row>
    <row r="786" spans="1:31" x14ac:dyDescent="0.3">
      <c r="A786" t="s">
        <v>1642</v>
      </c>
      <c r="B786">
        <v>46</v>
      </c>
      <c r="C786" t="str" cm="1">
        <f t="array" ref="C786">_xlfn.IFS(B786&lt;=18,"0-18",B786&lt;=29,"19-29",B786&gt;=49,"30-49",B786&gt;=69,"50-69",TRUE,"70+")</f>
        <v>70+</v>
      </c>
      <c r="D786" t="s">
        <v>274</v>
      </c>
      <c r="E786" t="s">
        <v>44</v>
      </c>
      <c r="F786" t="s">
        <v>31</v>
      </c>
      <c r="G786" t="s">
        <v>45</v>
      </c>
      <c r="H786" t="s">
        <v>44</v>
      </c>
      <c r="I786" t="s">
        <v>1643</v>
      </c>
      <c r="J786" t="s">
        <v>101</v>
      </c>
      <c r="K786" s="2">
        <v>229.3</v>
      </c>
      <c r="L786">
        <v>6</v>
      </c>
      <c r="M786" t="s">
        <v>48</v>
      </c>
      <c r="N786">
        <v>4</v>
      </c>
      <c r="O786">
        <v>5</v>
      </c>
      <c r="P786">
        <v>2</v>
      </c>
      <c r="Q786" t="s">
        <v>36</v>
      </c>
      <c r="R786" t="s">
        <v>37</v>
      </c>
      <c r="S786">
        <v>0</v>
      </c>
      <c r="T786">
        <v>6</v>
      </c>
      <c r="U786" t="s">
        <v>36</v>
      </c>
      <c r="V786" t="s">
        <v>60</v>
      </c>
      <c r="W786" t="s">
        <v>66</v>
      </c>
      <c r="X786" s="3">
        <v>46078</v>
      </c>
      <c r="Y786" s="1" t="str">
        <f t="shared" si="24"/>
        <v>Feb</v>
      </c>
      <c r="Z786" s="1" t="str">
        <f t="shared" si="25"/>
        <v>2026</v>
      </c>
      <c r="AA786" t="b">
        <v>0</v>
      </c>
      <c r="AB786" t="b">
        <v>0</v>
      </c>
      <c r="AC786" t="s">
        <v>74</v>
      </c>
      <c r="AD786" t="s">
        <v>67</v>
      </c>
      <c r="AE786">
        <v>6</v>
      </c>
    </row>
    <row r="787" spans="1:31" x14ac:dyDescent="0.3">
      <c r="A787" t="s">
        <v>1644</v>
      </c>
      <c r="B787">
        <v>30</v>
      </c>
      <c r="C787" t="str" cm="1">
        <f t="array" ref="C787">_xlfn.IFS(B787&lt;=18,"0-18",B787&lt;=29,"19-29",B787&gt;=49,"30-49",B787&gt;=69,"50-69",TRUE,"70+")</f>
        <v>70+</v>
      </c>
      <c r="D787" t="s">
        <v>29</v>
      </c>
      <c r="E787" t="s">
        <v>44</v>
      </c>
      <c r="F787" t="s">
        <v>55</v>
      </c>
      <c r="G787" t="s">
        <v>45</v>
      </c>
      <c r="H787" t="s">
        <v>44</v>
      </c>
      <c r="I787" t="s">
        <v>1645</v>
      </c>
      <c r="J787" t="s">
        <v>114</v>
      </c>
      <c r="K787" s="2">
        <v>450.52</v>
      </c>
      <c r="L787">
        <v>8</v>
      </c>
      <c r="M787" t="s">
        <v>78</v>
      </c>
      <c r="N787">
        <v>2</v>
      </c>
      <c r="O787">
        <v>2</v>
      </c>
      <c r="P787">
        <v>0.2</v>
      </c>
      <c r="Q787" t="s">
        <v>44</v>
      </c>
      <c r="R787" t="s">
        <v>37</v>
      </c>
      <c r="S787">
        <v>0</v>
      </c>
      <c r="T787">
        <v>6</v>
      </c>
      <c r="U787" t="s">
        <v>59</v>
      </c>
      <c r="V787" t="s">
        <v>79</v>
      </c>
      <c r="W787" t="s">
        <v>51</v>
      </c>
      <c r="X787" s="3">
        <v>46079</v>
      </c>
      <c r="Y787" s="1" t="str">
        <f t="shared" si="24"/>
        <v>Feb</v>
      </c>
      <c r="Z787" s="1" t="str">
        <f t="shared" si="25"/>
        <v>2026</v>
      </c>
      <c r="AA787" t="b">
        <v>1</v>
      </c>
      <c r="AB787" t="b">
        <v>1</v>
      </c>
      <c r="AC787" t="s">
        <v>40</v>
      </c>
      <c r="AD787" t="s">
        <v>41</v>
      </c>
      <c r="AE787">
        <v>8</v>
      </c>
    </row>
    <row r="788" spans="1:31" x14ac:dyDescent="0.3">
      <c r="A788" t="s">
        <v>1646</v>
      </c>
      <c r="B788">
        <v>35</v>
      </c>
      <c r="C788" t="str" cm="1">
        <f t="array" ref="C788">_xlfn.IFS(B788&lt;=18,"0-18",B788&lt;=29,"19-29",B788&gt;=49,"30-49",B788&gt;=69,"50-69",TRUE,"70+")</f>
        <v>70+</v>
      </c>
      <c r="D788" t="s">
        <v>43</v>
      </c>
      <c r="E788" t="s">
        <v>44</v>
      </c>
      <c r="F788" t="s">
        <v>76</v>
      </c>
      <c r="G788" t="s">
        <v>32</v>
      </c>
      <c r="H788" t="s">
        <v>30</v>
      </c>
      <c r="I788" t="s">
        <v>1647</v>
      </c>
      <c r="J788" t="s">
        <v>158</v>
      </c>
      <c r="K788" s="2">
        <v>246.44</v>
      </c>
      <c r="L788">
        <v>4</v>
      </c>
      <c r="M788" t="s">
        <v>35</v>
      </c>
      <c r="N788">
        <v>3</v>
      </c>
      <c r="O788">
        <v>1</v>
      </c>
      <c r="P788">
        <v>1</v>
      </c>
      <c r="Q788" t="s">
        <v>49</v>
      </c>
      <c r="R788" t="s">
        <v>37</v>
      </c>
      <c r="S788">
        <v>0</v>
      </c>
      <c r="T788">
        <v>3</v>
      </c>
      <c r="U788" t="s">
        <v>49</v>
      </c>
      <c r="V788" t="s">
        <v>60</v>
      </c>
      <c r="W788" t="s">
        <v>61</v>
      </c>
      <c r="X788" s="3">
        <v>46080</v>
      </c>
      <c r="Y788" s="1" t="str">
        <f t="shared" si="24"/>
        <v>Feb</v>
      </c>
      <c r="Z788" s="1" t="str">
        <f t="shared" si="25"/>
        <v>2026</v>
      </c>
      <c r="AA788" t="b">
        <v>0</v>
      </c>
      <c r="AB788" t="b">
        <v>1</v>
      </c>
      <c r="AC788" t="s">
        <v>52</v>
      </c>
      <c r="AD788" t="s">
        <v>41</v>
      </c>
      <c r="AE788">
        <v>5</v>
      </c>
    </row>
    <row r="789" spans="1:31" x14ac:dyDescent="0.3">
      <c r="A789" t="s">
        <v>1648</v>
      </c>
      <c r="B789">
        <v>34</v>
      </c>
      <c r="C789" t="str" cm="1">
        <f t="array" ref="C789">_xlfn.IFS(B789&lt;=18,"0-18",B789&lt;=29,"19-29",B789&gt;=49,"30-49",B789&gt;=69,"50-69",TRUE,"70+")</f>
        <v>70+</v>
      </c>
      <c r="D789" t="s">
        <v>43</v>
      </c>
      <c r="E789" t="s">
        <v>44</v>
      </c>
      <c r="F789" t="s">
        <v>69</v>
      </c>
      <c r="G789" t="s">
        <v>45</v>
      </c>
      <c r="H789" t="s">
        <v>30</v>
      </c>
      <c r="I789" t="s">
        <v>1649</v>
      </c>
      <c r="J789" t="s">
        <v>65</v>
      </c>
      <c r="K789" s="2">
        <v>93.52</v>
      </c>
      <c r="L789">
        <v>2</v>
      </c>
      <c r="M789" t="s">
        <v>78</v>
      </c>
      <c r="N789">
        <v>1</v>
      </c>
      <c r="O789">
        <v>5</v>
      </c>
      <c r="P789">
        <v>1</v>
      </c>
      <c r="Q789" t="s">
        <v>36</v>
      </c>
      <c r="R789" t="s">
        <v>37</v>
      </c>
      <c r="S789">
        <v>1</v>
      </c>
      <c r="T789">
        <v>2</v>
      </c>
      <c r="U789" t="s">
        <v>44</v>
      </c>
      <c r="V789" t="s">
        <v>79</v>
      </c>
      <c r="W789" t="s">
        <v>51</v>
      </c>
      <c r="X789" s="3">
        <v>46081</v>
      </c>
      <c r="Y789" s="1" t="str">
        <f t="shared" si="24"/>
        <v>Feb</v>
      </c>
      <c r="Z789" s="1" t="str">
        <f t="shared" si="25"/>
        <v>2026</v>
      </c>
      <c r="AA789" t="b">
        <v>0</v>
      </c>
      <c r="AB789" t="b">
        <v>1</v>
      </c>
      <c r="AC789" t="s">
        <v>74</v>
      </c>
      <c r="AD789" t="s">
        <v>41</v>
      </c>
      <c r="AE789">
        <v>12</v>
      </c>
    </row>
    <row r="790" spans="1:31" x14ac:dyDescent="0.3">
      <c r="A790" t="s">
        <v>1650</v>
      </c>
      <c r="B790">
        <v>28</v>
      </c>
      <c r="C790" t="str" cm="1">
        <f t="array" ref="C790">_xlfn.IFS(B790&lt;=18,"0-18",B790&lt;=29,"19-29",B790&gt;=49,"30-49",B790&gt;=69,"50-69",TRUE,"70+")</f>
        <v>19-29</v>
      </c>
      <c r="D790" t="s">
        <v>29</v>
      </c>
      <c r="E790" t="s">
        <v>30</v>
      </c>
      <c r="F790" t="s">
        <v>31</v>
      </c>
      <c r="G790" t="s">
        <v>45</v>
      </c>
      <c r="H790" t="s">
        <v>44</v>
      </c>
      <c r="I790" t="s">
        <v>1651</v>
      </c>
      <c r="J790" t="s">
        <v>158</v>
      </c>
      <c r="K790" s="2">
        <v>137.75</v>
      </c>
      <c r="L790">
        <v>6</v>
      </c>
      <c r="M790" t="s">
        <v>78</v>
      </c>
      <c r="N790">
        <v>3</v>
      </c>
      <c r="O790">
        <v>3</v>
      </c>
      <c r="P790">
        <v>2</v>
      </c>
      <c r="Q790" t="s">
        <v>44</v>
      </c>
      <c r="R790" t="s">
        <v>85</v>
      </c>
      <c r="S790">
        <v>0</v>
      </c>
      <c r="T790">
        <v>1</v>
      </c>
      <c r="U790" t="s">
        <v>49</v>
      </c>
      <c r="V790" t="s">
        <v>60</v>
      </c>
      <c r="W790" t="s">
        <v>86</v>
      </c>
      <c r="X790" s="3">
        <v>46082</v>
      </c>
      <c r="Y790" s="1" t="str">
        <f t="shared" si="24"/>
        <v>Mar</v>
      </c>
      <c r="Z790" s="1" t="str">
        <f t="shared" si="25"/>
        <v>2026</v>
      </c>
      <c r="AA790" t="b">
        <v>0</v>
      </c>
      <c r="AB790" t="b">
        <v>1</v>
      </c>
      <c r="AC790" t="s">
        <v>40</v>
      </c>
      <c r="AD790" t="s">
        <v>41</v>
      </c>
      <c r="AE790">
        <v>4</v>
      </c>
    </row>
    <row r="791" spans="1:31" x14ac:dyDescent="0.3">
      <c r="A791" t="s">
        <v>1652</v>
      </c>
      <c r="B791">
        <v>44</v>
      </c>
      <c r="C791" t="str" cm="1">
        <f t="array" ref="C791">_xlfn.IFS(B791&lt;=18,"0-18",B791&lt;=29,"19-29",B791&gt;=49,"30-49",B791&gt;=69,"50-69",TRUE,"70+")</f>
        <v>70+</v>
      </c>
      <c r="D791" t="s">
        <v>29</v>
      </c>
      <c r="E791" t="s">
        <v>30</v>
      </c>
      <c r="F791" t="s">
        <v>31</v>
      </c>
      <c r="G791" t="s">
        <v>56</v>
      </c>
      <c r="H791" t="s">
        <v>30</v>
      </c>
      <c r="I791" t="s">
        <v>1653</v>
      </c>
      <c r="J791" t="s">
        <v>65</v>
      </c>
      <c r="K791" s="2">
        <v>78.64</v>
      </c>
      <c r="L791">
        <v>5</v>
      </c>
      <c r="M791" t="s">
        <v>35</v>
      </c>
      <c r="N791">
        <v>3</v>
      </c>
      <c r="O791">
        <v>4</v>
      </c>
      <c r="P791">
        <v>2</v>
      </c>
      <c r="Q791" t="s">
        <v>44</v>
      </c>
      <c r="R791" t="s">
        <v>37</v>
      </c>
      <c r="S791">
        <v>0</v>
      </c>
      <c r="T791">
        <v>3</v>
      </c>
      <c r="U791" t="s">
        <v>44</v>
      </c>
      <c r="V791" t="s">
        <v>38</v>
      </c>
      <c r="W791" t="s">
        <v>51</v>
      </c>
      <c r="X791" s="3">
        <v>46083</v>
      </c>
      <c r="Y791" s="1" t="str">
        <f t="shared" si="24"/>
        <v>Mar</v>
      </c>
      <c r="Z791" s="1" t="str">
        <f t="shared" si="25"/>
        <v>2026</v>
      </c>
      <c r="AA791" t="b">
        <v>1</v>
      </c>
      <c r="AB791" t="b">
        <v>0</v>
      </c>
      <c r="AC791" t="s">
        <v>74</v>
      </c>
      <c r="AD791" t="s">
        <v>53</v>
      </c>
      <c r="AE791">
        <v>12</v>
      </c>
    </row>
    <row r="792" spans="1:31" x14ac:dyDescent="0.3">
      <c r="A792" t="s">
        <v>1654</v>
      </c>
      <c r="B792">
        <v>25</v>
      </c>
      <c r="C792" t="str" cm="1">
        <f t="array" ref="C792">_xlfn.IFS(B792&lt;=18,"0-18",B792&lt;=29,"19-29",B792&gt;=49,"30-49",B792&gt;=69,"50-69",TRUE,"70+")</f>
        <v>19-29</v>
      </c>
      <c r="D792" t="s">
        <v>43</v>
      </c>
      <c r="E792" t="s">
        <v>44</v>
      </c>
      <c r="F792" t="s">
        <v>76</v>
      </c>
      <c r="G792" t="s">
        <v>56</v>
      </c>
      <c r="H792" t="s">
        <v>30</v>
      </c>
      <c r="I792" t="s">
        <v>1655</v>
      </c>
      <c r="J792" t="s">
        <v>120</v>
      </c>
      <c r="K792" s="2">
        <v>214.82</v>
      </c>
      <c r="L792">
        <v>9</v>
      </c>
      <c r="M792" t="s">
        <v>35</v>
      </c>
      <c r="N792">
        <v>5</v>
      </c>
      <c r="O792">
        <v>4</v>
      </c>
      <c r="P792">
        <v>0.3</v>
      </c>
      <c r="Q792" t="s">
        <v>36</v>
      </c>
      <c r="R792" t="s">
        <v>85</v>
      </c>
      <c r="S792">
        <v>1</v>
      </c>
      <c r="T792">
        <v>9</v>
      </c>
      <c r="U792" t="s">
        <v>49</v>
      </c>
      <c r="V792" t="s">
        <v>38</v>
      </c>
      <c r="W792" t="s">
        <v>66</v>
      </c>
      <c r="X792" s="3">
        <v>46084</v>
      </c>
      <c r="Y792" s="1" t="str">
        <f t="shared" si="24"/>
        <v>Mar</v>
      </c>
      <c r="Z792" s="1" t="str">
        <f t="shared" si="25"/>
        <v>2026</v>
      </c>
      <c r="AA792" t="b">
        <v>1</v>
      </c>
      <c r="AB792" t="b">
        <v>0</v>
      </c>
      <c r="AC792" t="s">
        <v>74</v>
      </c>
      <c r="AD792" t="s">
        <v>41</v>
      </c>
      <c r="AE792">
        <v>11</v>
      </c>
    </row>
    <row r="793" spans="1:31" x14ac:dyDescent="0.3">
      <c r="A793" t="s">
        <v>1656</v>
      </c>
      <c r="B793">
        <v>45</v>
      </c>
      <c r="C793" t="str" cm="1">
        <f t="array" ref="C793">_xlfn.IFS(B793&lt;=18,"0-18",B793&lt;=29,"19-29",B793&gt;=49,"30-49",B793&gt;=69,"50-69",TRUE,"70+")</f>
        <v>70+</v>
      </c>
      <c r="D793" t="s">
        <v>43</v>
      </c>
      <c r="E793" t="s">
        <v>30</v>
      </c>
      <c r="F793" t="s">
        <v>31</v>
      </c>
      <c r="G793" t="s">
        <v>32</v>
      </c>
      <c r="H793" t="s">
        <v>44</v>
      </c>
      <c r="I793" t="s">
        <v>1657</v>
      </c>
      <c r="J793" t="s">
        <v>93</v>
      </c>
      <c r="K793" s="2">
        <v>57.39</v>
      </c>
      <c r="L793">
        <v>3</v>
      </c>
      <c r="M793" t="s">
        <v>35</v>
      </c>
      <c r="N793">
        <v>2</v>
      </c>
      <c r="O793">
        <v>5</v>
      </c>
      <c r="P793">
        <v>0.25</v>
      </c>
      <c r="Q793" t="s">
        <v>36</v>
      </c>
      <c r="R793" t="s">
        <v>37</v>
      </c>
      <c r="S793">
        <v>0</v>
      </c>
      <c r="T793">
        <v>10</v>
      </c>
      <c r="U793" t="s">
        <v>49</v>
      </c>
      <c r="V793" t="s">
        <v>79</v>
      </c>
      <c r="W793" t="s">
        <v>39</v>
      </c>
      <c r="X793" s="3">
        <v>46085</v>
      </c>
      <c r="Y793" s="1" t="str">
        <f t="shared" si="24"/>
        <v>Mar</v>
      </c>
      <c r="Z793" s="1" t="str">
        <f t="shared" si="25"/>
        <v>2026</v>
      </c>
      <c r="AA793" t="b">
        <v>0</v>
      </c>
      <c r="AB793" t="b">
        <v>0</v>
      </c>
      <c r="AC793" t="s">
        <v>62</v>
      </c>
      <c r="AD793" t="s">
        <v>53</v>
      </c>
      <c r="AE793">
        <v>3</v>
      </c>
    </row>
    <row r="794" spans="1:31" x14ac:dyDescent="0.3">
      <c r="A794" t="s">
        <v>1658</v>
      </c>
      <c r="B794">
        <v>47</v>
      </c>
      <c r="C794" t="str" cm="1">
        <f t="array" ref="C794">_xlfn.IFS(B794&lt;=18,"0-18",B794&lt;=29,"19-29",B794&gt;=49,"30-49",B794&gt;=69,"50-69",TRUE,"70+")</f>
        <v>70+</v>
      </c>
      <c r="D794" t="s">
        <v>29</v>
      </c>
      <c r="E794" t="s">
        <v>44</v>
      </c>
      <c r="F794" t="s">
        <v>55</v>
      </c>
      <c r="G794" t="s">
        <v>45</v>
      </c>
      <c r="H794" t="s">
        <v>30</v>
      </c>
      <c r="I794" t="s">
        <v>311</v>
      </c>
      <c r="J794" t="s">
        <v>188</v>
      </c>
      <c r="K794" s="2">
        <v>363.91</v>
      </c>
      <c r="L794">
        <v>10</v>
      </c>
      <c r="M794" t="s">
        <v>78</v>
      </c>
      <c r="N794">
        <v>1</v>
      </c>
      <c r="O794">
        <v>1</v>
      </c>
      <c r="P794">
        <v>0.3</v>
      </c>
      <c r="Q794" t="s">
        <v>49</v>
      </c>
      <c r="R794" t="s">
        <v>85</v>
      </c>
      <c r="S794">
        <v>0</v>
      </c>
      <c r="T794">
        <v>2</v>
      </c>
      <c r="U794" t="s">
        <v>59</v>
      </c>
      <c r="V794" t="s">
        <v>60</v>
      </c>
      <c r="W794" t="s">
        <v>86</v>
      </c>
      <c r="X794" s="3">
        <v>46086</v>
      </c>
      <c r="Y794" s="1" t="str">
        <f t="shared" si="24"/>
        <v>Mar</v>
      </c>
      <c r="Z794" s="1" t="str">
        <f t="shared" si="25"/>
        <v>2026</v>
      </c>
      <c r="AA794" t="b">
        <v>1</v>
      </c>
      <c r="AB794" t="b">
        <v>1</v>
      </c>
      <c r="AC794" t="s">
        <v>74</v>
      </c>
      <c r="AD794" t="s">
        <v>53</v>
      </c>
      <c r="AE794">
        <v>9</v>
      </c>
    </row>
    <row r="795" spans="1:31" x14ac:dyDescent="0.3">
      <c r="A795" t="s">
        <v>1659</v>
      </c>
      <c r="B795">
        <v>39</v>
      </c>
      <c r="C795" t="str" cm="1">
        <f t="array" ref="C795">_xlfn.IFS(B795&lt;=18,"0-18",B795&lt;=29,"19-29",B795&gt;=49,"30-49",B795&gt;=69,"50-69",TRUE,"70+")</f>
        <v>70+</v>
      </c>
      <c r="D795" t="s">
        <v>43</v>
      </c>
      <c r="E795" t="s">
        <v>30</v>
      </c>
      <c r="F795" t="s">
        <v>55</v>
      </c>
      <c r="G795" t="s">
        <v>45</v>
      </c>
      <c r="H795" t="s">
        <v>30</v>
      </c>
      <c r="I795" t="s">
        <v>1660</v>
      </c>
      <c r="J795" t="s">
        <v>194</v>
      </c>
      <c r="K795" s="2">
        <v>304.79000000000002</v>
      </c>
      <c r="L795">
        <v>12</v>
      </c>
      <c r="M795" t="s">
        <v>48</v>
      </c>
      <c r="N795">
        <v>2</v>
      </c>
      <c r="O795">
        <v>4</v>
      </c>
      <c r="P795">
        <v>2</v>
      </c>
      <c r="Q795" t="s">
        <v>59</v>
      </c>
      <c r="R795" t="s">
        <v>37</v>
      </c>
      <c r="S795">
        <v>1</v>
      </c>
      <c r="T795">
        <v>9</v>
      </c>
      <c r="U795" t="s">
        <v>44</v>
      </c>
      <c r="V795" t="s">
        <v>79</v>
      </c>
      <c r="W795" t="s">
        <v>66</v>
      </c>
      <c r="X795" s="3">
        <v>46087</v>
      </c>
      <c r="Y795" s="1" t="str">
        <f t="shared" si="24"/>
        <v>Mar</v>
      </c>
      <c r="Z795" s="1" t="str">
        <f t="shared" si="25"/>
        <v>2026</v>
      </c>
      <c r="AA795" t="b">
        <v>1</v>
      </c>
      <c r="AB795" t="b">
        <v>1</v>
      </c>
      <c r="AC795" t="s">
        <v>52</v>
      </c>
      <c r="AD795" t="s">
        <v>53</v>
      </c>
      <c r="AE795">
        <v>10</v>
      </c>
    </row>
    <row r="796" spans="1:31" x14ac:dyDescent="0.3">
      <c r="A796" t="s">
        <v>1661</v>
      </c>
      <c r="B796">
        <v>32</v>
      </c>
      <c r="C796" t="str" cm="1">
        <f t="array" ref="C796">_xlfn.IFS(B796&lt;=18,"0-18",B796&lt;=29,"19-29",B796&gt;=49,"30-49",B796&gt;=69,"50-69",TRUE,"70+")</f>
        <v>70+</v>
      </c>
      <c r="D796" t="s">
        <v>43</v>
      </c>
      <c r="E796" t="s">
        <v>44</v>
      </c>
      <c r="F796" t="s">
        <v>76</v>
      </c>
      <c r="G796" t="s">
        <v>45</v>
      </c>
      <c r="H796" t="s">
        <v>30</v>
      </c>
      <c r="I796" t="s">
        <v>1662</v>
      </c>
      <c r="J796" t="s">
        <v>246</v>
      </c>
      <c r="K796" s="2">
        <v>363.98</v>
      </c>
      <c r="L796">
        <v>4</v>
      </c>
      <c r="M796" t="s">
        <v>78</v>
      </c>
      <c r="N796">
        <v>4</v>
      </c>
      <c r="O796">
        <v>4</v>
      </c>
      <c r="P796">
        <v>1</v>
      </c>
      <c r="Q796" t="s">
        <v>36</v>
      </c>
      <c r="R796" t="s">
        <v>37</v>
      </c>
      <c r="S796">
        <v>2</v>
      </c>
      <c r="T796">
        <v>7</v>
      </c>
      <c r="U796" t="s">
        <v>36</v>
      </c>
      <c r="V796" t="s">
        <v>38</v>
      </c>
      <c r="W796" t="s">
        <v>51</v>
      </c>
      <c r="X796" s="3">
        <v>46088</v>
      </c>
      <c r="Y796" s="1" t="str">
        <f t="shared" si="24"/>
        <v>Mar</v>
      </c>
      <c r="Z796" s="1" t="str">
        <f t="shared" si="25"/>
        <v>2026</v>
      </c>
      <c r="AA796" t="b">
        <v>1</v>
      </c>
      <c r="AB796" t="b">
        <v>1</v>
      </c>
      <c r="AC796" t="s">
        <v>74</v>
      </c>
      <c r="AD796" t="s">
        <v>67</v>
      </c>
      <c r="AE796">
        <v>1</v>
      </c>
    </row>
    <row r="797" spans="1:31" x14ac:dyDescent="0.3">
      <c r="A797" t="s">
        <v>1663</v>
      </c>
      <c r="B797">
        <v>47</v>
      </c>
      <c r="C797" t="str" cm="1">
        <f t="array" ref="C797">_xlfn.IFS(B797&lt;=18,"0-18",B797&lt;=29,"19-29",B797&gt;=49,"30-49",B797&gt;=69,"50-69",TRUE,"70+")</f>
        <v>70+</v>
      </c>
      <c r="D797" t="s">
        <v>43</v>
      </c>
      <c r="E797" t="s">
        <v>30</v>
      </c>
      <c r="F797" t="s">
        <v>69</v>
      </c>
      <c r="G797" t="s">
        <v>32</v>
      </c>
      <c r="H797" t="s">
        <v>44</v>
      </c>
      <c r="I797" t="s">
        <v>1664</v>
      </c>
      <c r="J797" t="s">
        <v>82</v>
      </c>
      <c r="K797" s="2">
        <v>249.6</v>
      </c>
      <c r="L797">
        <v>7</v>
      </c>
      <c r="M797" t="s">
        <v>35</v>
      </c>
      <c r="N797">
        <v>4</v>
      </c>
      <c r="O797">
        <v>1</v>
      </c>
      <c r="P797">
        <v>1</v>
      </c>
      <c r="Q797" t="s">
        <v>59</v>
      </c>
      <c r="R797" t="s">
        <v>37</v>
      </c>
      <c r="S797">
        <v>2</v>
      </c>
      <c r="T797">
        <v>7</v>
      </c>
      <c r="U797" t="s">
        <v>44</v>
      </c>
      <c r="V797" t="s">
        <v>60</v>
      </c>
      <c r="W797" t="s">
        <v>61</v>
      </c>
      <c r="X797" s="3">
        <v>46089</v>
      </c>
      <c r="Y797" s="1" t="str">
        <f t="shared" si="24"/>
        <v>Mar</v>
      </c>
      <c r="Z797" s="1" t="str">
        <f t="shared" si="25"/>
        <v>2026</v>
      </c>
      <c r="AA797" t="b">
        <v>1</v>
      </c>
      <c r="AB797" t="b">
        <v>0</v>
      </c>
      <c r="AC797" t="s">
        <v>52</v>
      </c>
      <c r="AD797" t="s">
        <v>53</v>
      </c>
      <c r="AE797">
        <v>11</v>
      </c>
    </row>
    <row r="798" spans="1:31" x14ac:dyDescent="0.3">
      <c r="A798" t="s">
        <v>1665</v>
      </c>
      <c r="B798">
        <v>19</v>
      </c>
      <c r="C798" t="str" cm="1">
        <f t="array" ref="C798">_xlfn.IFS(B798&lt;=18,"0-18",B798&lt;=29,"19-29",B798&gt;=49,"30-49",B798&gt;=69,"50-69",TRUE,"70+")</f>
        <v>19-29</v>
      </c>
      <c r="D798" t="s">
        <v>43</v>
      </c>
      <c r="E798" t="s">
        <v>44</v>
      </c>
      <c r="F798" t="s">
        <v>31</v>
      </c>
      <c r="G798" t="s">
        <v>32</v>
      </c>
      <c r="H798" t="s">
        <v>30</v>
      </c>
      <c r="I798" t="s">
        <v>1666</v>
      </c>
      <c r="J798" t="s">
        <v>117</v>
      </c>
      <c r="K798" s="2">
        <v>345.04</v>
      </c>
      <c r="L798">
        <v>12</v>
      </c>
      <c r="M798" t="s">
        <v>48</v>
      </c>
      <c r="N798">
        <v>1</v>
      </c>
      <c r="O798">
        <v>5</v>
      </c>
      <c r="P798">
        <v>1</v>
      </c>
      <c r="Q798" t="s">
        <v>59</v>
      </c>
      <c r="R798" t="s">
        <v>37</v>
      </c>
      <c r="S798">
        <v>0</v>
      </c>
      <c r="T798">
        <v>8</v>
      </c>
      <c r="U798" t="s">
        <v>49</v>
      </c>
      <c r="V798" t="s">
        <v>38</v>
      </c>
      <c r="W798" t="s">
        <v>39</v>
      </c>
      <c r="X798" s="3">
        <v>46090</v>
      </c>
      <c r="Y798" s="1" t="str">
        <f t="shared" si="24"/>
        <v>Mar</v>
      </c>
      <c r="Z798" s="1" t="str">
        <f t="shared" si="25"/>
        <v>2026</v>
      </c>
      <c r="AA798" t="b">
        <v>1</v>
      </c>
      <c r="AB798" t="b">
        <v>1</v>
      </c>
      <c r="AC798" t="s">
        <v>74</v>
      </c>
      <c r="AD798" t="s">
        <v>67</v>
      </c>
      <c r="AE798">
        <v>13</v>
      </c>
    </row>
    <row r="799" spans="1:31" x14ac:dyDescent="0.3">
      <c r="A799" t="s">
        <v>1667</v>
      </c>
      <c r="B799">
        <v>48</v>
      </c>
      <c r="C799" t="str" cm="1">
        <f t="array" ref="C799">_xlfn.IFS(B799&lt;=18,"0-18",B799&lt;=29,"19-29",B799&gt;=49,"30-49",B799&gt;=69,"50-69",TRUE,"70+")</f>
        <v>70+</v>
      </c>
      <c r="D799" t="s">
        <v>29</v>
      </c>
      <c r="E799" t="s">
        <v>30</v>
      </c>
      <c r="F799" t="s">
        <v>55</v>
      </c>
      <c r="G799" t="s">
        <v>45</v>
      </c>
      <c r="H799" t="s">
        <v>44</v>
      </c>
      <c r="I799" t="s">
        <v>1668</v>
      </c>
      <c r="J799" t="s">
        <v>135</v>
      </c>
      <c r="K799" s="2">
        <v>59.15</v>
      </c>
      <c r="L799">
        <v>3</v>
      </c>
      <c r="M799" t="s">
        <v>48</v>
      </c>
      <c r="N799">
        <v>4</v>
      </c>
      <c r="O799">
        <v>2</v>
      </c>
      <c r="P799">
        <v>1</v>
      </c>
      <c r="Q799" t="s">
        <v>36</v>
      </c>
      <c r="R799" t="s">
        <v>50</v>
      </c>
      <c r="S799">
        <v>0</v>
      </c>
      <c r="T799">
        <v>1</v>
      </c>
      <c r="U799" t="s">
        <v>44</v>
      </c>
      <c r="V799" t="s">
        <v>79</v>
      </c>
      <c r="W799" t="s">
        <v>61</v>
      </c>
      <c r="X799" s="3">
        <v>46091</v>
      </c>
      <c r="Y799" s="1" t="str">
        <f t="shared" si="24"/>
        <v>Mar</v>
      </c>
      <c r="Z799" s="1" t="str">
        <f t="shared" si="25"/>
        <v>2026</v>
      </c>
      <c r="AA799" t="b">
        <v>0</v>
      </c>
      <c r="AB799" t="b">
        <v>0</v>
      </c>
      <c r="AC799" t="s">
        <v>40</v>
      </c>
      <c r="AD799" t="s">
        <v>53</v>
      </c>
      <c r="AE799">
        <v>8</v>
      </c>
    </row>
    <row r="800" spans="1:31" x14ac:dyDescent="0.3">
      <c r="A800" t="s">
        <v>1669</v>
      </c>
      <c r="B800">
        <v>27</v>
      </c>
      <c r="C800" t="str" cm="1">
        <f t="array" ref="C800">_xlfn.IFS(B800&lt;=18,"0-18",B800&lt;=29,"19-29",B800&gt;=49,"30-49",B800&gt;=69,"50-69",TRUE,"70+")</f>
        <v>19-29</v>
      </c>
      <c r="D800" t="s">
        <v>43</v>
      </c>
      <c r="E800" t="s">
        <v>44</v>
      </c>
      <c r="F800" t="s">
        <v>55</v>
      </c>
      <c r="G800" t="s">
        <v>56</v>
      </c>
      <c r="H800" t="s">
        <v>44</v>
      </c>
      <c r="I800" t="s">
        <v>1670</v>
      </c>
      <c r="J800" t="s">
        <v>65</v>
      </c>
      <c r="K800" s="2">
        <v>461.81</v>
      </c>
      <c r="L800">
        <v>12</v>
      </c>
      <c r="M800" t="s">
        <v>35</v>
      </c>
      <c r="N800">
        <v>4</v>
      </c>
      <c r="O800">
        <v>3</v>
      </c>
      <c r="P800">
        <v>0</v>
      </c>
      <c r="Q800" t="s">
        <v>49</v>
      </c>
      <c r="R800" t="s">
        <v>85</v>
      </c>
      <c r="S800">
        <v>0</v>
      </c>
      <c r="T800">
        <v>8</v>
      </c>
      <c r="U800" t="s">
        <v>59</v>
      </c>
      <c r="V800" t="s">
        <v>79</v>
      </c>
      <c r="W800" t="s">
        <v>66</v>
      </c>
      <c r="X800" s="3">
        <v>46092</v>
      </c>
      <c r="Y800" s="1" t="str">
        <f t="shared" si="24"/>
        <v>Mar</v>
      </c>
      <c r="Z800" s="1" t="str">
        <f t="shared" si="25"/>
        <v>2026</v>
      </c>
      <c r="AA800" t="b">
        <v>1</v>
      </c>
      <c r="AB800" t="b">
        <v>0</v>
      </c>
      <c r="AC800" t="s">
        <v>52</v>
      </c>
      <c r="AD800" t="s">
        <v>41</v>
      </c>
      <c r="AE800">
        <v>8</v>
      </c>
    </row>
    <row r="801" spans="1:31" x14ac:dyDescent="0.3">
      <c r="A801" t="s">
        <v>1671</v>
      </c>
      <c r="B801">
        <v>31</v>
      </c>
      <c r="C801" t="str" cm="1">
        <f t="array" ref="C801">_xlfn.IFS(B801&lt;=18,"0-18",B801&lt;=29,"19-29",B801&gt;=49,"30-49",B801&gt;=69,"50-69",TRUE,"70+")</f>
        <v>70+</v>
      </c>
      <c r="D801" t="s">
        <v>29</v>
      </c>
      <c r="E801" t="s">
        <v>44</v>
      </c>
      <c r="F801" t="s">
        <v>76</v>
      </c>
      <c r="G801" t="s">
        <v>32</v>
      </c>
      <c r="H801" t="s">
        <v>44</v>
      </c>
      <c r="I801" t="s">
        <v>1672</v>
      </c>
      <c r="J801" t="s">
        <v>104</v>
      </c>
      <c r="K801" s="2">
        <v>280.88</v>
      </c>
      <c r="L801">
        <v>4</v>
      </c>
      <c r="M801" t="s">
        <v>35</v>
      </c>
      <c r="N801">
        <v>3</v>
      </c>
      <c r="O801">
        <v>4</v>
      </c>
      <c r="P801">
        <v>1</v>
      </c>
      <c r="Q801" t="s">
        <v>44</v>
      </c>
      <c r="R801" t="s">
        <v>50</v>
      </c>
      <c r="S801">
        <v>0</v>
      </c>
      <c r="T801">
        <v>2</v>
      </c>
      <c r="U801" t="s">
        <v>44</v>
      </c>
      <c r="V801" t="s">
        <v>60</v>
      </c>
      <c r="W801" t="s">
        <v>39</v>
      </c>
      <c r="X801" s="3">
        <v>46093</v>
      </c>
      <c r="Y801" s="1" t="str">
        <f t="shared" si="24"/>
        <v>Mar</v>
      </c>
      <c r="Z801" s="1" t="str">
        <f t="shared" si="25"/>
        <v>2026</v>
      </c>
      <c r="AA801" t="b">
        <v>1</v>
      </c>
      <c r="AB801" t="b">
        <v>1</v>
      </c>
      <c r="AC801" t="s">
        <v>74</v>
      </c>
      <c r="AD801" t="s">
        <v>41</v>
      </c>
      <c r="AE801">
        <v>2</v>
      </c>
    </row>
    <row r="802" spans="1:31" x14ac:dyDescent="0.3">
      <c r="A802" t="s">
        <v>1673</v>
      </c>
      <c r="B802">
        <v>44</v>
      </c>
      <c r="C802" t="str" cm="1">
        <f t="array" ref="C802">_xlfn.IFS(B802&lt;=18,"0-18",B802&lt;=29,"19-29",B802&gt;=49,"30-49",B802&gt;=69,"50-69",TRUE,"70+")</f>
        <v>70+</v>
      </c>
      <c r="D802" t="s">
        <v>43</v>
      </c>
      <c r="E802" t="s">
        <v>30</v>
      </c>
      <c r="F802" t="s">
        <v>31</v>
      </c>
      <c r="G802" t="s">
        <v>56</v>
      </c>
      <c r="H802" t="s">
        <v>30</v>
      </c>
      <c r="I802" t="s">
        <v>1674</v>
      </c>
      <c r="J802" t="s">
        <v>98</v>
      </c>
      <c r="K802" s="2">
        <v>283.7</v>
      </c>
      <c r="L802">
        <v>8</v>
      </c>
      <c r="M802" t="s">
        <v>35</v>
      </c>
      <c r="N802">
        <v>2</v>
      </c>
      <c r="O802">
        <v>5</v>
      </c>
      <c r="P802">
        <v>1</v>
      </c>
      <c r="Q802" t="s">
        <v>49</v>
      </c>
      <c r="R802" t="s">
        <v>50</v>
      </c>
      <c r="S802">
        <v>1</v>
      </c>
      <c r="T802">
        <v>3</v>
      </c>
      <c r="U802" t="s">
        <v>59</v>
      </c>
      <c r="V802" t="s">
        <v>60</v>
      </c>
      <c r="W802" t="s">
        <v>86</v>
      </c>
      <c r="X802" s="3">
        <v>46094</v>
      </c>
      <c r="Y802" s="1" t="str">
        <f t="shared" si="24"/>
        <v>Mar</v>
      </c>
      <c r="Z802" s="1" t="str">
        <f t="shared" si="25"/>
        <v>2026</v>
      </c>
      <c r="AA802" t="b">
        <v>0</v>
      </c>
      <c r="AB802" t="b">
        <v>0</v>
      </c>
      <c r="AC802" t="s">
        <v>62</v>
      </c>
      <c r="AD802" t="s">
        <v>67</v>
      </c>
      <c r="AE802">
        <v>8</v>
      </c>
    </row>
    <row r="803" spans="1:31" x14ac:dyDescent="0.3">
      <c r="A803" t="s">
        <v>1675</v>
      </c>
      <c r="B803">
        <v>24</v>
      </c>
      <c r="C803" t="str" cm="1">
        <f t="array" ref="C803">_xlfn.IFS(B803&lt;=18,"0-18",B803&lt;=29,"19-29",B803&gt;=49,"30-49",B803&gt;=69,"50-69",TRUE,"70+")</f>
        <v>19-29</v>
      </c>
      <c r="D803" t="s">
        <v>29</v>
      </c>
      <c r="E803" t="s">
        <v>44</v>
      </c>
      <c r="F803" t="s">
        <v>69</v>
      </c>
      <c r="G803" t="s">
        <v>45</v>
      </c>
      <c r="H803" t="s">
        <v>30</v>
      </c>
      <c r="I803" t="s">
        <v>1676</v>
      </c>
      <c r="J803" t="s">
        <v>98</v>
      </c>
      <c r="K803" s="2">
        <v>411.95</v>
      </c>
      <c r="L803">
        <v>10</v>
      </c>
      <c r="M803" t="s">
        <v>48</v>
      </c>
      <c r="N803">
        <v>5</v>
      </c>
      <c r="O803">
        <v>3</v>
      </c>
      <c r="P803">
        <v>1</v>
      </c>
      <c r="Q803" t="s">
        <v>36</v>
      </c>
      <c r="R803" t="s">
        <v>50</v>
      </c>
      <c r="S803">
        <v>0</v>
      </c>
      <c r="T803">
        <v>4</v>
      </c>
      <c r="U803" t="s">
        <v>36</v>
      </c>
      <c r="V803" t="s">
        <v>60</v>
      </c>
      <c r="W803" t="s">
        <v>51</v>
      </c>
      <c r="X803" s="3">
        <v>46095</v>
      </c>
      <c r="Y803" s="1" t="str">
        <f t="shared" si="24"/>
        <v>Mar</v>
      </c>
      <c r="Z803" s="1" t="str">
        <f t="shared" si="25"/>
        <v>2026</v>
      </c>
      <c r="AA803" t="b">
        <v>1</v>
      </c>
      <c r="AB803" t="b">
        <v>1</v>
      </c>
      <c r="AC803" t="s">
        <v>62</v>
      </c>
      <c r="AD803" t="s">
        <v>53</v>
      </c>
      <c r="AE803">
        <v>5</v>
      </c>
    </row>
    <row r="804" spans="1:31" x14ac:dyDescent="0.3">
      <c r="A804" t="s">
        <v>1677</v>
      </c>
      <c r="B804">
        <v>32</v>
      </c>
      <c r="C804" t="str" cm="1">
        <f t="array" ref="C804">_xlfn.IFS(B804&lt;=18,"0-18",B804&lt;=29,"19-29",B804&gt;=49,"30-49",B804&gt;=69,"50-69",TRUE,"70+")</f>
        <v>70+</v>
      </c>
      <c r="D804" t="s">
        <v>29</v>
      </c>
      <c r="E804" t="s">
        <v>30</v>
      </c>
      <c r="F804" t="s">
        <v>69</v>
      </c>
      <c r="G804" t="s">
        <v>56</v>
      </c>
      <c r="H804" t="s">
        <v>30</v>
      </c>
      <c r="I804" t="s">
        <v>1678</v>
      </c>
      <c r="J804" t="s">
        <v>34</v>
      </c>
      <c r="K804" s="2">
        <v>476.11</v>
      </c>
      <c r="L804">
        <v>5</v>
      </c>
      <c r="M804" t="s">
        <v>48</v>
      </c>
      <c r="N804">
        <v>1</v>
      </c>
      <c r="O804">
        <v>4</v>
      </c>
      <c r="P804">
        <v>1</v>
      </c>
      <c r="Q804" t="s">
        <v>36</v>
      </c>
      <c r="R804" t="s">
        <v>85</v>
      </c>
      <c r="S804">
        <v>2</v>
      </c>
      <c r="T804">
        <v>10</v>
      </c>
      <c r="U804" t="s">
        <v>44</v>
      </c>
      <c r="V804" t="s">
        <v>79</v>
      </c>
      <c r="W804" t="s">
        <v>61</v>
      </c>
      <c r="X804" s="3">
        <v>46096</v>
      </c>
      <c r="Y804" s="1" t="str">
        <f t="shared" si="24"/>
        <v>Mar</v>
      </c>
      <c r="Z804" s="1" t="str">
        <f t="shared" si="25"/>
        <v>2026</v>
      </c>
      <c r="AA804" t="b">
        <v>1</v>
      </c>
      <c r="AB804" t="b">
        <v>0</v>
      </c>
      <c r="AC804" t="s">
        <v>52</v>
      </c>
      <c r="AD804" t="s">
        <v>53</v>
      </c>
      <c r="AE804">
        <v>1</v>
      </c>
    </row>
    <row r="805" spans="1:31" x14ac:dyDescent="0.3">
      <c r="A805" t="s">
        <v>1679</v>
      </c>
      <c r="B805">
        <v>28</v>
      </c>
      <c r="C805" t="str" cm="1">
        <f t="array" ref="C805">_xlfn.IFS(B805&lt;=18,"0-18",B805&lt;=29,"19-29",B805&gt;=49,"30-49",B805&gt;=69,"50-69",TRUE,"70+")</f>
        <v>19-29</v>
      </c>
      <c r="D805" t="s">
        <v>29</v>
      </c>
      <c r="E805" t="s">
        <v>30</v>
      </c>
      <c r="F805" t="s">
        <v>31</v>
      </c>
      <c r="G805" t="s">
        <v>56</v>
      </c>
      <c r="H805" t="s">
        <v>44</v>
      </c>
      <c r="I805" t="s">
        <v>1680</v>
      </c>
      <c r="J805" t="s">
        <v>34</v>
      </c>
      <c r="K805" s="2">
        <v>399.24</v>
      </c>
      <c r="L805">
        <v>7</v>
      </c>
      <c r="M805" t="s">
        <v>48</v>
      </c>
      <c r="N805">
        <v>4</v>
      </c>
      <c r="O805">
        <v>2</v>
      </c>
      <c r="P805">
        <v>1</v>
      </c>
      <c r="Q805" t="s">
        <v>49</v>
      </c>
      <c r="R805" t="s">
        <v>85</v>
      </c>
      <c r="S805">
        <v>1</v>
      </c>
      <c r="T805">
        <v>2</v>
      </c>
      <c r="U805" t="s">
        <v>49</v>
      </c>
      <c r="V805" t="s">
        <v>60</v>
      </c>
      <c r="W805" t="s">
        <v>61</v>
      </c>
      <c r="X805" s="3">
        <v>46097</v>
      </c>
      <c r="Y805" s="1" t="str">
        <f t="shared" si="24"/>
        <v>Mar</v>
      </c>
      <c r="Z805" s="1" t="str">
        <f t="shared" si="25"/>
        <v>2026</v>
      </c>
      <c r="AA805" t="b">
        <v>0</v>
      </c>
      <c r="AB805" t="b">
        <v>0</v>
      </c>
      <c r="AC805" t="s">
        <v>40</v>
      </c>
      <c r="AD805" t="s">
        <v>53</v>
      </c>
      <c r="AE805">
        <v>10</v>
      </c>
    </row>
    <row r="806" spans="1:31" x14ac:dyDescent="0.3">
      <c r="A806" t="s">
        <v>1681</v>
      </c>
      <c r="B806">
        <v>26</v>
      </c>
      <c r="C806" t="str" cm="1">
        <f t="array" ref="C806">_xlfn.IFS(B806&lt;=18,"0-18",B806&lt;=29,"19-29",B806&gt;=49,"30-49",B806&gt;=69,"50-69",TRUE,"70+")</f>
        <v>19-29</v>
      </c>
      <c r="D806" t="s">
        <v>43</v>
      </c>
      <c r="E806" t="s">
        <v>30</v>
      </c>
      <c r="F806" t="s">
        <v>76</v>
      </c>
      <c r="G806" t="s">
        <v>56</v>
      </c>
      <c r="H806" t="s">
        <v>30</v>
      </c>
      <c r="I806" t="s">
        <v>1682</v>
      </c>
      <c r="J806" t="s">
        <v>246</v>
      </c>
      <c r="K806" s="2">
        <v>90.79</v>
      </c>
      <c r="L806">
        <v>12</v>
      </c>
      <c r="M806" t="s">
        <v>48</v>
      </c>
      <c r="N806">
        <v>4</v>
      </c>
      <c r="O806">
        <v>1</v>
      </c>
      <c r="P806">
        <v>2</v>
      </c>
      <c r="Q806" t="s">
        <v>49</v>
      </c>
      <c r="R806" t="s">
        <v>37</v>
      </c>
      <c r="S806">
        <v>0</v>
      </c>
      <c r="T806">
        <v>2</v>
      </c>
      <c r="U806" t="s">
        <v>49</v>
      </c>
      <c r="V806" t="s">
        <v>38</v>
      </c>
      <c r="W806" t="s">
        <v>66</v>
      </c>
      <c r="X806" s="3">
        <v>46098</v>
      </c>
      <c r="Y806" s="1" t="str">
        <f t="shared" si="24"/>
        <v>Mar</v>
      </c>
      <c r="Z806" s="1" t="str">
        <f t="shared" si="25"/>
        <v>2026</v>
      </c>
      <c r="AA806" t="b">
        <v>0</v>
      </c>
      <c r="AB806" t="b">
        <v>0</v>
      </c>
      <c r="AC806" t="s">
        <v>74</v>
      </c>
      <c r="AD806" t="s">
        <v>41</v>
      </c>
      <c r="AE806">
        <v>6</v>
      </c>
    </row>
    <row r="807" spans="1:31" x14ac:dyDescent="0.3">
      <c r="A807" t="s">
        <v>1683</v>
      </c>
      <c r="B807">
        <v>38</v>
      </c>
      <c r="C807" t="str" cm="1">
        <f t="array" ref="C807">_xlfn.IFS(B807&lt;=18,"0-18",B807&lt;=29,"19-29",B807&gt;=49,"30-49",B807&gt;=69,"50-69",TRUE,"70+")</f>
        <v>70+</v>
      </c>
      <c r="D807" t="s">
        <v>29</v>
      </c>
      <c r="E807" t="s">
        <v>30</v>
      </c>
      <c r="F807" t="s">
        <v>31</v>
      </c>
      <c r="G807" t="s">
        <v>56</v>
      </c>
      <c r="H807" t="s">
        <v>30</v>
      </c>
      <c r="I807" t="s">
        <v>1684</v>
      </c>
      <c r="J807" t="s">
        <v>101</v>
      </c>
      <c r="K807" s="2">
        <v>229.56</v>
      </c>
      <c r="L807">
        <v>9</v>
      </c>
      <c r="M807" t="s">
        <v>78</v>
      </c>
      <c r="N807">
        <v>1</v>
      </c>
      <c r="O807">
        <v>2</v>
      </c>
      <c r="P807">
        <v>1</v>
      </c>
      <c r="Q807" t="s">
        <v>36</v>
      </c>
      <c r="R807" t="s">
        <v>37</v>
      </c>
      <c r="S807">
        <v>0</v>
      </c>
      <c r="T807">
        <v>9</v>
      </c>
      <c r="U807" t="s">
        <v>59</v>
      </c>
      <c r="V807" t="s">
        <v>38</v>
      </c>
      <c r="W807" t="s">
        <v>51</v>
      </c>
      <c r="X807" s="3">
        <v>46099</v>
      </c>
      <c r="Y807" s="1" t="str">
        <f t="shared" si="24"/>
        <v>Mar</v>
      </c>
      <c r="Z807" s="1" t="str">
        <f t="shared" si="25"/>
        <v>2026</v>
      </c>
      <c r="AA807" t="b">
        <v>1</v>
      </c>
      <c r="AB807" t="b">
        <v>1</v>
      </c>
      <c r="AC807" t="s">
        <v>40</v>
      </c>
      <c r="AD807" t="s">
        <v>41</v>
      </c>
      <c r="AE807">
        <v>11</v>
      </c>
    </row>
    <row r="808" spans="1:31" x14ac:dyDescent="0.3">
      <c r="A808" t="s">
        <v>1685</v>
      </c>
      <c r="B808">
        <v>28</v>
      </c>
      <c r="C808" t="str" cm="1">
        <f t="array" ref="C808">_xlfn.IFS(B808&lt;=18,"0-18",B808&lt;=29,"19-29",B808&gt;=49,"30-49",B808&gt;=69,"50-69",TRUE,"70+")</f>
        <v>19-29</v>
      </c>
      <c r="D808" t="s">
        <v>29</v>
      </c>
      <c r="E808" t="s">
        <v>30</v>
      </c>
      <c r="F808" t="s">
        <v>76</v>
      </c>
      <c r="G808" t="s">
        <v>45</v>
      </c>
      <c r="H808" t="s">
        <v>30</v>
      </c>
      <c r="I808" t="s">
        <v>1686</v>
      </c>
      <c r="J808" t="s">
        <v>90</v>
      </c>
      <c r="K808" s="2">
        <v>160.47</v>
      </c>
      <c r="L808">
        <v>7</v>
      </c>
      <c r="M808" t="s">
        <v>35</v>
      </c>
      <c r="N808">
        <v>1</v>
      </c>
      <c r="O808">
        <v>5</v>
      </c>
      <c r="P808">
        <v>0</v>
      </c>
      <c r="Q808" t="s">
        <v>36</v>
      </c>
      <c r="R808" t="s">
        <v>50</v>
      </c>
      <c r="S808">
        <v>0</v>
      </c>
      <c r="T808">
        <v>3</v>
      </c>
      <c r="U808" t="s">
        <v>36</v>
      </c>
      <c r="V808" t="s">
        <v>60</v>
      </c>
      <c r="W808" t="s">
        <v>61</v>
      </c>
      <c r="X808" s="3">
        <v>46100</v>
      </c>
      <c r="Y808" s="1" t="str">
        <f t="shared" si="24"/>
        <v>Mar</v>
      </c>
      <c r="Z808" s="1" t="str">
        <f t="shared" si="25"/>
        <v>2026</v>
      </c>
      <c r="AA808" t="b">
        <v>1</v>
      </c>
      <c r="AB808" t="b">
        <v>0</v>
      </c>
      <c r="AC808" t="s">
        <v>52</v>
      </c>
      <c r="AD808" t="s">
        <v>41</v>
      </c>
      <c r="AE808">
        <v>6</v>
      </c>
    </row>
    <row r="809" spans="1:31" x14ac:dyDescent="0.3">
      <c r="A809" t="s">
        <v>1687</v>
      </c>
      <c r="B809">
        <v>30</v>
      </c>
      <c r="C809" t="str" cm="1">
        <f t="array" ref="C809">_xlfn.IFS(B809&lt;=18,"0-18",B809&lt;=29,"19-29",B809&gt;=49,"30-49",B809&gt;=69,"50-69",TRUE,"70+")</f>
        <v>70+</v>
      </c>
      <c r="D809" t="s">
        <v>352</v>
      </c>
      <c r="E809" t="s">
        <v>44</v>
      </c>
      <c r="F809" t="s">
        <v>31</v>
      </c>
      <c r="G809" t="s">
        <v>45</v>
      </c>
      <c r="H809" t="s">
        <v>44</v>
      </c>
      <c r="I809" t="s">
        <v>1688</v>
      </c>
      <c r="J809" t="s">
        <v>120</v>
      </c>
      <c r="K809" s="2">
        <v>104.74</v>
      </c>
      <c r="L809">
        <v>6</v>
      </c>
      <c r="M809" t="s">
        <v>78</v>
      </c>
      <c r="N809">
        <v>2</v>
      </c>
      <c r="O809">
        <v>4</v>
      </c>
      <c r="P809">
        <v>2</v>
      </c>
      <c r="Q809" t="s">
        <v>36</v>
      </c>
      <c r="R809" t="s">
        <v>85</v>
      </c>
      <c r="S809">
        <v>0</v>
      </c>
      <c r="T809">
        <v>4</v>
      </c>
      <c r="U809" t="s">
        <v>59</v>
      </c>
      <c r="V809" t="s">
        <v>60</v>
      </c>
      <c r="W809" t="s">
        <v>51</v>
      </c>
      <c r="X809" s="3">
        <v>46101</v>
      </c>
      <c r="Y809" s="1" t="str">
        <f t="shared" si="24"/>
        <v>Mar</v>
      </c>
      <c r="Z809" s="1" t="str">
        <f t="shared" si="25"/>
        <v>2026</v>
      </c>
      <c r="AA809" t="b">
        <v>0</v>
      </c>
      <c r="AB809" t="b">
        <v>0</v>
      </c>
      <c r="AC809" t="s">
        <v>62</v>
      </c>
      <c r="AD809" t="s">
        <v>41</v>
      </c>
      <c r="AE809">
        <v>1</v>
      </c>
    </row>
    <row r="810" spans="1:31" x14ac:dyDescent="0.3">
      <c r="A810" t="s">
        <v>1689</v>
      </c>
      <c r="B810">
        <v>37</v>
      </c>
      <c r="C810" t="str" cm="1">
        <f t="array" ref="C810">_xlfn.IFS(B810&lt;=18,"0-18",B810&lt;=29,"19-29",B810&gt;=49,"30-49",B810&gt;=69,"50-69",TRUE,"70+")</f>
        <v>70+</v>
      </c>
      <c r="D810" t="s">
        <v>29</v>
      </c>
      <c r="E810" t="s">
        <v>44</v>
      </c>
      <c r="F810" t="s">
        <v>69</v>
      </c>
      <c r="G810" t="s">
        <v>56</v>
      </c>
      <c r="H810" t="s">
        <v>30</v>
      </c>
      <c r="I810" t="s">
        <v>1690</v>
      </c>
      <c r="J810" t="s">
        <v>47</v>
      </c>
      <c r="K810" s="2">
        <v>399.95</v>
      </c>
      <c r="L810">
        <v>10</v>
      </c>
      <c r="M810" t="s">
        <v>48</v>
      </c>
      <c r="N810">
        <v>2</v>
      </c>
      <c r="O810">
        <v>1</v>
      </c>
      <c r="P810">
        <v>0</v>
      </c>
      <c r="Q810" t="s">
        <v>59</v>
      </c>
      <c r="R810" t="s">
        <v>50</v>
      </c>
      <c r="S810">
        <v>1</v>
      </c>
      <c r="T810">
        <v>2</v>
      </c>
      <c r="U810" t="s">
        <v>44</v>
      </c>
      <c r="V810" t="s">
        <v>60</v>
      </c>
      <c r="W810" t="s">
        <v>86</v>
      </c>
      <c r="X810" s="3">
        <v>46102</v>
      </c>
      <c r="Y810" s="1" t="str">
        <f t="shared" si="24"/>
        <v>Mar</v>
      </c>
      <c r="Z810" s="1" t="str">
        <f t="shared" si="25"/>
        <v>2026</v>
      </c>
      <c r="AA810" t="b">
        <v>1</v>
      </c>
      <c r="AB810" t="b">
        <v>0</v>
      </c>
      <c r="AC810" t="s">
        <v>40</v>
      </c>
      <c r="AD810" t="s">
        <v>67</v>
      </c>
      <c r="AE810">
        <v>10</v>
      </c>
    </row>
    <row r="811" spans="1:31" x14ac:dyDescent="0.3">
      <c r="A811" t="s">
        <v>1691</v>
      </c>
      <c r="B811">
        <v>47</v>
      </c>
      <c r="C811" t="str" cm="1">
        <f t="array" ref="C811">_xlfn.IFS(B811&lt;=18,"0-18",B811&lt;=29,"19-29",B811&gt;=49,"30-49",B811&gt;=69,"50-69",TRUE,"70+")</f>
        <v>70+</v>
      </c>
      <c r="D811" t="s">
        <v>29</v>
      </c>
      <c r="E811" t="s">
        <v>44</v>
      </c>
      <c r="F811" t="s">
        <v>76</v>
      </c>
      <c r="G811" t="s">
        <v>32</v>
      </c>
      <c r="H811" t="s">
        <v>30</v>
      </c>
      <c r="I811" t="s">
        <v>1692</v>
      </c>
      <c r="J811" t="s">
        <v>123</v>
      </c>
      <c r="K811" s="2">
        <v>337.33</v>
      </c>
      <c r="L811">
        <v>8</v>
      </c>
      <c r="M811" t="s">
        <v>48</v>
      </c>
      <c r="N811">
        <v>1</v>
      </c>
      <c r="O811">
        <v>4</v>
      </c>
      <c r="P811">
        <v>1</v>
      </c>
      <c r="Q811" t="s">
        <v>36</v>
      </c>
      <c r="R811" t="s">
        <v>37</v>
      </c>
      <c r="S811">
        <v>0</v>
      </c>
      <c r="T811">
        <v>5</v>
      </c>
      <c r="U811" t="s">
        <v>49</v>
      </c>
      <c r="V811" t="s">
        <v>79</v>
      </c>
      <c r="W811" t="s">
        <v>61</v>
      </c>
      <c r="X811" s="3">
        <v>46103</v>
      </c>
      <c r="Y811" s="1" t="str">
        <f t="shared" si="24"/>
        <v>Mar</v>
      </c>
      <c r="Z811" s="1" t="str">
        <f t="shared" si="25"/>
        <v>2026</v>
      </c>
      <c r="AA811" t="b">
        <v>0</v>
      </c>
      <c r="AB811" t="b">
        <v>0</v>
      </c>
      <c r="AC811" t="s">
        <v>74</v>
      </c>
      <c r="AD811" t="s">
        <v>67</v>
      </c>
      <c r="AE811">
        <v>10</v>
      </c>
    </row>
    <row r="812" spans="1:31" x14ac:dyDescent="0.3">
      <c r="A812" t="s">
        <v>1693</v>
      </c>
      <c r="B812">
        <v>41</v>
      </c>
      <c r="C812" t="str" cm="1">
        <f t="array" ref="C812">_xlfn.IFS(B812&lt;=18,"0-18",B812&lt;=29,"19-29",B812&gt;=49,"30-49",B812&gt;=69,"50-69",TRUE,"70+")</f>
        <v>70+</v>
      </c>
      <c r="D812" t="s">
        <v>29</v>
      </c>
      <c r="E812" t="s">
        <v>44</v>
      </c>
      <c r="F812" t="s">
        <v>69</v>
      </c>
      <c r="G812" t="s">
        <v>56</v>
      </c>
      <c r="H812" t="s">
        <v>30</v>
      </c>
      <c r="I812" t="s">
        <v>1694</v>
      </c>
      <c r="J812" t="s">
        <v>246</v>
      </c>
      <c r="K812" s="2">
        <v>204.83</v>
      </c>
      <c r="L812">
        <v>6</v>
      </c>
      <c r="M812" t="s">
        <v>48</v>
      </c>
      <c r="N812">
        <v>5</v>
      </c>
      <c r="O812">
        <v>1</v>
      </c>
      <c r="P812">
        <v>0</v>
      </c>
      <c r="Q812" t="s">
        <v>44</v>
      </c>
      <c r="R812" t="s">
        <v>85</v>
      </c>
      <c r="S812">
        <v>1</v>
      </c>
      <c r="T812">
        <v>5</v>
      </c>
      <c r="U812" t="s">
        <v>49</v>
      </c>
      <c r="V812" t="s">
        <v>60</v>
      </c>
      <c r="W812" t="s">
        <v>61</v>
      </c>
      <c r="X812" s="3">
        <v>46104</v>
      </c>
      <c r="Y812" s="1" t="str">
        <f t="shared" si="24"/>
        <v>Mar</v>
      </c>
      <c r="Z812" s="1" t="str">
        <f t="shared" si="25"/>
        <v>2026</v>
      </c>
      <c r="AA812" t="b">
        <v>1</v>
      </c>
      <c r="AB812" t="b">
        <v>0</v>
      </c>
      <c r="AC812" t="s">
        <v>52</v>
      </c>
      <c r="AD812" t="s">
        <v>53</v>
      </c>
      <c r="AE812">
        <v>5</v>
      </c>
    </row>
    <row r="813" spans="1:31" x14ac:dyDescent="0.3">
      <c r="A813" t="s">
        <v>1695</v>
      </c>
      <c r="B813">
        <v>22</v>
      </c>
      <c r="C813" t="str" cm="1">
        <f t="array" ref="C813">_xlfn.IFS(B813&lt;=18,"0-18",B813&lt;=29,"19-29",B813&gt;=49,"30-49",B813&gt;=69,"50-69",TRUE,"70+")</f>
        <v>19-29</v>
      </c>
      <c r="D813" t="s">
        <v>29</v>
      </c>
      <c r="E813" t="s">
        <v>30</v>
      </c>
      <c r="F813" t="s">
        <v>69</v>
      </c>
      <c r="G813" t="s">
        <v>56</v>
      </c>
      <c r="H813" t="s">
        <v>44</v>
      </c>
      <c r="I813" t="s">
        <v>1696</v>
      </c>
      <c r="J813" t="s">
        <v>114</v>
      </c>
      <c r="K813" s="2">
        <v>193.94</v>
      </c>
      <c r="L813">
        <v>11</v>
      </c>
      <c r="M813" t="s">
        <v>35</v>
      </c>
      <c r="N813">
        <v>4</v>
      </c>
      <c r="O813">
        <v>1</v>
      </c>
      <c r="P813">
        <v>0</v>
      </c>
      <c r="Q813" t="s">
        <v>36</v>
      </c>
      <c r="R813" t="s">
        <v>50</v>
      </c>
      <c r="S813">
        <v>0</v>
      </c>
      <c r="T813">
        <v>3</v>
      </c>
      <c r="U813" t="s">
        <v>44</v>
      </c>
      <c r="V813" t="s">
        <v>79</v>
      </c>
      <c r="W813" t="s">
        <v>66</v>
      </c>
      <c r="X813" s="3">
        <v>46105</v>
      </c>
      <c r="Y813" s="1" t="str">
        <f t="shared" si="24"/>
        <v>Mar</v>
      </c>
      <c r="Z813" s="1" t="str">
        <f t="shared" si="25"/>
        <v>2026</v>
      </c>
      <c r="AA813" t="b">
        <v>0</v>
      </c>
      <c r="AB813" t="b">
        <v>0</v>
      </c>
      <c r="AC813" t="s">
        <v>52</v>
      </c>
      <c r="AD813" t="s">
        <v>53</v>
      </c>
      <c r="AE813">
        <v>9</v>
      </c>
    </row>
    <row r="814" spans="1:31" x14ac:dyDescent="0.3">
      <c r="A814" t="s">
        <v>1697</v>
      </c>
      <c r="B814">
        <v>46</v>
      </c>
      <c r="C814" t="str" cm="1">
        <f t="array" ref="C814">_xlfn.IFS(B814&lt;=18,"0-18",B814&lt;=29,"19-29",B814&gt;=49,"30-49",B814&gt;=69,"50-69",TRUE,"70+")</f>
        <v>70+</v>
      </c>
      <c r="D814" t="s">
        <v>43</v>
      </c>
      <c r="E814" t="s">
        <v>44</v>
      </c>
      <c r="F814" t="s">
        <v>31</v>
      </c>
      <c r="G814" t="s">
        <v>56</v>
      </c>
      <c r="H814" t="s">
        <v>30</v>
      </c>
      <c r="I814" t="s">
        <v>1698</v>
      </c>
      <c r="J814" t="s">
        <v>93</v>
      </c>
      <c r="K814" s="2">
        <v>460.37</v>
      </c>
      <c r="L814">
        <v>10</v>
      </c>
      <c r="M814" t="s">
        <v>78</v>
      </c>
      <c r="N814">
        <v>5</v>
      </c>
      <c r="O814">
        <v>4</v>
      </c>
      <c r="P814">
        <v>2</v>
      </c>
      <c r="Q814" t="s">
        <v>59</v>
      </c>
      <c r="R814" t="s">
        <v>85</v>
      </c>
      <c r="S814">
        <v>2</v>
      </c>
      <c r="T814">
        <v>7</v>
      </c>
      <c r="U814" t="s">
        <v>44</v>
      </c>
      <c r="V814" t="s">
        <v>79</v>
      </c>
      <c r="W814" t="s">
        <v>39</v>
      </c>
      <c r="X814" s="3">
        <v>46106</v>
      </c>
      <c r="Y814" s="1" t="str">
        <f t="shared" si="24"/>
        <v>Mar</v>
      </c>
      <c r="Z814" s="1" t="str">
        <f t="shared" si="25"/>
        <v>2026</v>
      </c>
      <c r="AA814" t="b">
        <v>1</v>
      </c>
      <c r="AB814" t="b">
        <v>1</v>
      </c>
      <c r="AC814" t="s">
        <v>52</v>
      </c>
      <c r="AD814" t="s">
        <v>67</v>
      </c>
      <c r="AE814">
        <v>12</v>
      </c>
    </row>
    <row r="815" spans="1:31" x14ac:dyDescent="0.3">
      <c r="A815" t="s">
        <v>1699</v>
      </c>
      <c r="B815">
        <v>34</v>
      </c>
      <c r="C815" t="str" cm="1">
        <f t="array" ref="C815">_xlfn.IFS(B815&lt;=18,"0-18",B815&lt;=29,"19-29",B815&gt;=49,"30-49",B815&gt;=69,"50-69",TRUE,"70+")</f>
        <v>70+</v>
      </c>
      <c r="D815" t="s">
        <v>190</v>
      </c>
      <c r="E815" t="s">
        <v>30</v>
      </c>
      <c r="F815" t="s">
        <v>55</v>
      </c>
      <c r="G815" t="s">
        <v>32</v>
      </c>
      <c r="H815" t="s">
        <v>30</v>
      </c>
      <c r="I815" t="s">
        <v>637</v>
      </c>
      <c r="J815" t="s">
        <v>135</v>
      </c>
      <c r="K815" s="2">
        <v>297.29000000000002</v>
      </c>
      <c r="L815">
        <v>9</v>
      </c>
      <c r="M815" t="s">
        <v>78</v>
      </c>
      <c r="N815">
        <v>5</v>
      </c>
      <c r="O815">
        <v>4</v>
      </c>
      <c r="P815">
        <v>2</v>
      </c>
      <c r="Q815" t="s">
        <v>36</v>
      </c>
      <c r="R815" t="s">
        <v>50</v>
      </c>
      <c r="S815">
        <v>0</v>
      </c>
      <c r="T815">
        <v>9</v>
      </c>
      <c r="U815" t="s">
        <v>59</v>
      </c>
      <c r="V815" t="s">
        <v>60</v>
      </c>
      <c r="W815" t="s">
        <v>86</v>
      </c>
      <c r="X815" s="3">
        <v>46107</v>
      </c>
      <c r="Y815" s="1" t="str">
        <f t="shared" si="24"/>
        <v>Mar</v>
      </c>
      <c r="Z815" s="1" t="str">
        <f t="shared" si="25"/>
        <v>2026</v>
      </c>
      <c r="AA815" t="b">
        <v>1</v>
      </c>
      <c r="AB815" t="b">
        <v>1</v>
      </c>
      <c r="AC815" t="s">
        <v>40</v>
      </c>
      <c r="AD815" t="s">
        <v>53</v>
      </c>
      <c r="AE815">
        <v>3</v>
      </c>
    </row>
    <row r="816" spans="1:31" x14ac:dyDescent="0.3">
      <c r="A816" t="s">
        <v>1700</v>
      </c>
      <c r="B816">
        <v>31</v>
      </c>
      <c r="C816" t="str" cm="1">
        <f t="array" ref="C816">_xlfn.IFS(B816&lt;=18,"0-18",B816&lt;=29,"19-29",B816&gt;=49,"30-49",B816&gt;=69,"50-69",TRUE,"70+")</f>
        <v>70+</v>
      </c>
      <c r="D816" t="s">
        <v>43</v>
      </c>
      <c r="E816" t="s">
        <v>30</v>
      </c>
      <c r="F816" t="s">
        <v>55</v>
      </c>
      <c r="G816" t="s">
        <v>32</v>
      </c>
      <c r="H816" t="s">
        <v>30</v>
      </c>
      <c r="I816" t="s">
        <v>1701</v>
      </c>
      <c r="J816" t="s">
        <v>82</v>
      </c>
      <c r="K816" s="2">
        <v>389.47</v>
      </c>
      <c r="L816">
        <v>4</v>
      </c>
      <c r="M816" t="s">
        <v>48</v>
      </c>
      <c r="N816">
        <v>5</v>
      </c>
      <c r="O816">
        <v>3</v>
      </c>
      <c r="P816">
        <v>2</v>
      </c>
      <c r="Q816" t="s">
        <v>59</v>
      </c>
      <c r="R816" t="s">
        <v>50</v>
      </c>
      <c r="S816">
        <v>1</v>
      </c>
      <c r="T816">
        <v>9</v>
      </c>
      <c r="U816" t="s">
        <v>44</v>
      </c>
      <c r="V816" t="s">
        <v>79</v>
      </c>
      <c r="W816" t="s">
        <v>39</v>
      </c>
      <c r="X816" s="3">
        <v>46108</v>
      </c>
      <c r="Y816" s="1" t="str">
        <f t="shared" si="24"/>
        <v>Mar</v>
      </c>
      <c r="Z816" s="1" t="str">
        <f t="shared" si="25"/>
        <v>2026</v>
      </c>
      <c r="AA816" t="b">
        <v>1</v>
      </c>
      <c r="AB816" t="b">
        <v>1</v>
      </c>
      <c r="AC816" t="s">
        <v>52</v>
      </c>
      <c r="AD816" t="s">
        <v>53</v>
      </c>
      <c r="AE816">
        <v>6</v>
      </c>
    </row>
    <row r="817" spans="1:31" x14ac:dyDescent="0.3">
      <c r="A817" t="s">
        <v>1702</v>
      </c>
      <c r="B817">
        <v>38</v>
      </c>
      <c r="C817" t="str" cm="1">
        <f t="array" ref="C817">_xlfn.IFS(B817&lt;=18,"0-18",B817&lt;=29,"19-29",B817&gt;=49,"30-49",B817&gt;=69,"50-69",TRUE,"70+")</f>
        <v>70+</v>
      </c>
      <c r="D817" t="s">
        <v>43</v>
      </c>
      <c r="E817" t="s">
        <v>44</v>
      </c>
      <c r="F817" t="s">
        <v>55</v>
      </c>
      <c r="G817" t="s">
        <v>56</v>
      </c>
      <c r="H817" t="s">
        <v>44</v>
      </c>
      <c r="I817" t="s">
        <v>1703</v>
      </c>
      <c r="J817" t="s">
        <v>65</v>
      </c>
      <c r="K817" s="2">
        <v>370.05</v>
      </c>
      <c r="L817">
        <v>11</v>
      </c>
      <c r="M817" t="s">
        <v>35</v>
      </c>
      <c r="N817">
        <v>5</v>
      </c>
      <c r="O817">
        <v>3</v>
      </c>
      <c r="P817">
        <v>0</v>
      </c>
      <c r="Q817" t="s">
        <v>49</v>
      </c>
      <c r="R817" t="s">
        <v>85</v>
      </c>
      <c r="S817">
        <v>1</v>
      </c>
      <c r="T817">
        <v>10</v>
      </c>
      <c r="U817" t="s">
        <v>44</v>
      </c>
      <c r="V817" t="s">
        <v>60</v>
      </c>
      <c r="W817" t="s">
        <v>86</v>
      </c>
      <c r="X817" s="3">
        <v>46109</v>
      </c>
      <c r="Y817" s="1" t="str">
        <f t="shared" si="24"/>
        <v>Mar</v>
      </c>
      <c r="Z817" s="1" t="str">
        <f t="shared" si="25"/>
        <v>2026</v>
      </c>
      <c r="AA817" t="b">
        <v>1</v>
      </c>
      <c r="AB817" t="b">
        <v>1</v>
      </c>
      <c r="AC817" t="s">
        <v>62</v>
      </c>
      <c r="AD817" t="s">
        <v>41</v>
      </c>
      <c r="AE817">
        <v>10</v>
      </c>
    </row>
    <row r="818" spans="1:31" x14ac:dyDescent="0.3">
      <c r="A818" t="s">
        <v>1704</v>
      </c>
      <c r="B818">
        <v>45</v>
      </c>
      <c r="C818" t="str" cm="1">
        <f t="array" ref="C818">_xlfn.IFS(B818&lt;=18,"0-18",B818&lt;=29,"19-29",B818&gt;=49,"30-49",B818&gt;=69,"50-69",TRUE,"70+")</f>
        <v>70+</v>
      </c>
      <c r="D818" t="s">
        <v>43</v>
      </c>
      <c r="E818" t="s">
        <v>44</v>
      </c>
      <c r="F818" t="s">
        <v>55</v>
      </c>
      <c r="G818" t="s">
        <v>56</v>
      </c>
      <c r="H818" t="s">
        <v>30</v>
      </c>
      <c r="I818" t="s">
        <v>1705</v>
      </c>
      <c r="J818" t="s">
        <v>246</v>
      </c>
      <c r="K818" s="2">
        <v>462.24</v>
      </c>
      <c r="L818">
        <v>2</v>
      </c>
      <c r="M818" t="s">
        <v>35</v>
      </c>
      <c r="N818">
        <v>4</v>
      </c>
      <c r="O818">
        <v>5</v>
      </c>
      <c r="P818">
        <v>0</v>
      </c>
      <c r="Q818" t="s">
        <v>59</v>
      </c>
      <c r="R818" t="s">
        <v>50</v>
      </c>
      <c r="S818">
        <v>2</v>
      </c>
      <c r="T818">
        <v>1</v>
      </c>
      <c r="U818" t="s">
        <v>36</v>
      </c>
      <c r="V818" t="s">
        <v>60</v>
      </c>
      <c r="W818" t="s">
        <v>66</v>
      </c>
      <c r="X818" s="3">
        <v>46110</v>
      </c>
      <c r="Y818" s="1" t="str">
        <f t="shared" si="24"/>
        <v>Mar</v>
      </c>
      <c r="Z818" s="1" t="str">
        <f t="shared" si="25"/>
        <v>2026</v>
      </c>
      <c r="AA818" t="b">
        <v>1</v>
      </c>
      <c r="AB818" t="b">
        <v>1</v>
      </c>
      <c r="AC818" t="s">
        <v>52</v>
      </c>
      <c r="AD818" t="s">
        <v>67</v>
      </c>
      <c r="AE818">
        <v>13</v>
      </c>
    </row>
    <row r="819" spans="1:31" x14ac:dyDescent="0.3">
      <c r="A819" t="s">
        <v>1706</v>
      </c>
      <c r="B819">
        <v>30</v>
      </c>
      <c r="C819" t="str" cm="1">
        <f t="array" ref="C819">_xlfn.IFS(B819&lt;=18,"0-18",B819&lt;=29,"19-29",B819&gt;=49,"30-49",B819&gt;=69,"50-69",TRUE,"70+")</f>
        <v>70+</v>
      </c>
      <c r="D819" t="s">
        <v>29</v>
      </c>
      <c r="E819" t="s">
        <v>44</v>
      </c>
      <c r="F819" t="s">
        <v>31</v>
      </c>
      <c r="G819" t="s">
        <v>45</v>
      </c>
      <c r="H819" t="s">
        <v>44</v>
      </c>
      <c r="I819" t="s">
        <v>1707</v>
      </c>
      <c r="J819" t="s">
        <v>47</v>
      </c>
      <c r="K819" s="2">
        <v>472.53</v>
      </c>
      <c r="L819">
        <v>11</v>
      </c>
      <c r="M819" t="s">
        <v>78</v>
      </c>
      <c r="N819">
        <v>4</v>
      </c>
      <c r="O819">
        <v>1</v>
      </c>
      <c r="P819">
        <v>1</v>
      </c>
      <c r="Q819" t="s">
        <v>49</v>
      </c>
      <c r="R819" t="s">
        <v>37</v>
      </c>
      <c r="S819">
        <v>2</v>
      </c>
      <c r="T819">
        <v>7</v>
      </c>
      <c r="U819" t="s">
        <v>49</v>
      </c>
      <c r="V819" t="s">
        <v>60</v>
      </c>
      <c r="W819" t="s">
        <v>61</v>
      </c>
      <c r="X819" s="3">
        <v>46111</v>
      </c>
      <c r="Y819" s="1" t="str">
        <f t="shared" si="24"/>
        <v>Mar</v>
      </c>
      <c r="Z819" s="1" t="str">
        <f t="shared" si="25"/>
        <v>2026</v>
      </c>
      <c r="AA819" t="b">
        <v>0</v>
      </c>
      <c r="AB819" t="b">
        <v>0</v>
      </c>
      <c r="AC819" t="s">
        <v>52</v>
      </c>
      <c r="AD819" t="s">
        <v>67</v>
      </c>
      <c r="AE819">
        <v>4</v>
      </c>
    </row>
    <row r="820" spans="1:31" x14ac:dyDescent="0.3">
      <c r="A820" t="s">
        <v>1708</v>
      </c>
      <c r="B820">
        <v>45</v>
      </c>
      <c r="C820" t="str" cm="1">
        <f t="array" ref="C820">_xlfn.IFS(B820&lt;=18,"0-18",B820&lt;=29,"19-29",B820&gt;=49,"30-49",B820&gt;=69,"50-69",TRUE,"70+")</f>
        <v>70+</v>
      </c>
      <c r="D820" t="s">
        <v>29</v>
      </c>
      <c r="E820" t="s">
        <v>30</v>
      </c>
      <c r="F820" t="s">
        <v>31</v>
      </c>
      <c r="G820" t="s">
        <v>45</v>
      </c>
      <c r="H820" t="s">
        <v>30</v>
      </c>
      <c r="I820" t="s">
        <v>1709</v>
      </c>
      <c r="J820" t="s">
        <v>65</v>
      </c>
      <c r="K820" s="2">
        <v>407.29</v>
      </c>
      <c r="L820">
        <v>3</v>
      </c>
      <c r="M820" t="s">
        <v>48</v>
      </c>
      <c r="N820">
        <v>5</v>
      </c>
      <c r="O820">
        <v>5</v>
      </c>
      <c r="P820">
        <v>0</v>
      </c>
      <c r="Q820" t="s">
        <v>59</v>
      </c>
      <c r="R820" t="s">
        <v>50</v>
      </c>
      <c r="S820">
        <v>0</v>
      </c>
      <c r="T820">
        <v>5</v>
      </c>
      <c r="U820" t="s">
        <v>59</v>
      </c>
      <c r="V820" t="s">
        <v>38</v>
      </c>
      <c r="W820" t="s">
        <v>66</v>
      </c>
      <c r="X820" s="3">
        <v>46112</v>
      </c>
      <c r="Y820" s="1" t="str">
        <f t="shared" si="24"/>
        <v>Mar</v>
      </c>
      <c r="Z820" s="1" t="str">
        <f t="shared" si="25"/>
        <v>2026</v>
      </c>
      <c r="AA820" t="b">
        <v>0</v>
      </c>
      <c r="AB820" t="b">
        <v>0</v>
      </c>
      <c r="AC820" t="s">
        <v>74</v>
      </c>
      <c r="AD820" t="s">
        <v>67</v>
      </c>
      <c r="AE820">
        <v>3</v>
      </c>
    </row>
    <row r="821" spans="1:31" x14ac:dyDescent="0.3">
      <c r="A821" t="s">
        <v>1710</v>
      </c>
      <c r="B821">
        <v>18</v>
      </c>
      <c r="C821" t="str" cm="1">
        <f t="array" ref="C821">_xlfn.IFS(B821&lt;=18,"0-18",B821&lt;=29,"19-29",B821&gt;=49,"30-49",B821&gt;=69,"50-69",TRUE,"70+")</f>
        <v>0-18</v>
      </c>
      <c r="D821" t="s">
        <v>43</v>
      </c>
      <c r="E821" t="s">
        <v>44</v>
      </c>
      <c r="F821" t="s">
        <v>31</v>
      </c>
      <c r="G821" t="s">
        <v>32</v>
      </c>
      <c r="H821" t="s">
        <v>44</v>
      </c>
      <c r="I821" t="s">
        <v>1711</v>
      </c>
      <c r="J821" t="s">
        <v>93</v>
      </c>
      <c r="K821" s="2">
        <v>135.65</v>
      </c>
      <c r="L821">
        <v>8</v>
      </c>
      <c r="M821" t="s">
        <v>78</v>
      </c>
      <c r="N821">
        <v>4</v>
      </c>
      <c r="O821">
        <v>1</v>
      </c>
      <c r="P821">
        <v>1</v>
      </c>
      <c r="Q821" t="s">
        <v>59</v>
      </c>
      <c r="R821" t="s">
        <v>85</v>
      </c>
      <c r="S821">
        <v>0</v>
      </c>
      <c r="T821">
        <v>9</v>
      </c>
      <c r="U821" t="s">
        <v>36</v>
      </c>
      <c r="V821" t="s">
        <v>79</v>
      </c>
      <c r="W821" t="s">
        <v>66</v>
      </c>
      <c r="X821" s="3">
        <v>46113</v>
      </c>
      <c r="Y821" s="1" t="str">
        <f t="shared" si="24"/>
        <v>Apr</v>
      </c>
      <c r="Z821" s="1" t="str">
        <f t="shared" si="25"/>
        <v>2026</v>
      </c>
      <c r="AA821" t="b">
        <v>0</v>
      </c>
      <c r="AB821" t="b">
        <v>0</v>
      </c>
      <c r="AC821" t="s">
        <v>62</v>
      </c>
      <c r="AD821" t="s">
        <v>53</v>
      </c>
      <c r="AE821">
        <v>14</v>
      </c>
    </row>
    <row r="822" spans="1:31" x14ac:dyDescent="0.3">
      <c r="A822" t="s">
        <v>1712</v>
      </c>
      <c r="B822">
        <v>36</v>
      </c>
      <c r="C822" t="str" cm="1">
        <f t="array" ref="C822">_xlfn.IFS(B822&lt;=18,"0-18",B822&lt;=29,"19-29",B822&gt;=49,"30-49",B822&gt;=69,"50-69",TRUE,"70+")</f>
        <v>70+</v>
      </c>
      <c r="D822" t="s">
        <v>43</v>
      </c>
      <c r="E822" t="s">
        <v>44</v>
      </c>
      <c r="F822" t="s">
        <v>55</v>
      </c>
      <c r="G822" t="s">
        <v>32</v>
      </c>
      <c r="H822" t="s">
        <v>30</v>
      </c>
      <c r="I822" t="s">
        <v>1713</v>
      </c>
      <c r="J822" t="s">
        <v>101</v>
      </c>
      <c r="K822" s="2">
        <v>352.35</v>
      </c>
      <c r="L822">
        <v>4</v>
      </c>
      <c r="M822" t="s">
        <v>78</v>
      </c>
      <c r="N822">
        <v>2</v>
      </c>
      <c r="O822">
        <v>2</v>
      </c>
      <c r="P822">
        <v>0</v>
      </c>
      <c r="Q822" t="s">
        <v>59</v>
      </c>
      <c r="R822" t="s">
        <v>85</v>
      </c>
      <c r="S822">
        <v>1</v>
      </c>
      <c r="T822">
        <v>1</v>
      </c>
      <c r="U822" t="s">
        <v>59</v>
      </c>
      <c r="V822" t="s">
        <v>60</v>
      </c>
      <c r="W822" t="s">
        <v>39</v>
      </c>
      <c r="X822" s="3">
        <v>46114</v>
      </c>
      <c r="Y822" s="1" t="str">
        <f t="shared" si="24"/>
        <v>Apr</v>
      </c>
      <c r="Z822" s="1" t="str">
        <f t="shared" si="25"/>
        <v>2026</v>
      </c>
      <c r="AA822" t="b">
        <v>0</v>
      </c>
      <c r="AB822" t="b">
        <v>0</v>
      </c>
      <c r="AC822" t="s">
        <v>74</v>
      </c>
      <c r="AD822" t="s">
        <v>67</v>
      </c>
      <c r="AE822">
        <v>14</v>
      </c>
    </row>
    <row r="823" spans="1:31" x14ac:dyDescent="0.3">
      <c r="A823" t="s">
        <v>1714</v>
      </c>
      <c r="B823">
        <v>25</v>
      </c>
      <c r="C823" t="str" cm="1">
        <f t="array" ref="C823">_xlfn.IFS(B823&lt;=18,"0-18",B823&lt;=29,"19-29",B823&gt;=49,"30-49",B823&gt;=69,"50-69",TRUE,"70+")</f>
        <v>19-29</v>
      </c>
      <c r="D823" t="s">
        <v>29</v>
      </c>
      <c r="E823" t="s">
        <v>44</v>
      </c>
      <c r="F823" t="s">
        <v>55</v>
      </c>
      <c r="G823" t="s">
        <v>45</v>
      </c>
      <c r="H823" t="s">
        <v>44</v>
      </c>
      <c r="I823" t="s">
        <v>520</v>
      </c>
      <c r="J823" t="s">
        <v>82</v>
      </c>
      <c r="K823" s="2">
        <v>441.73</v>
      </c>
      <c r="L823">
        <v>12</v>
      </c>
      <c r="M823" t="s">
        <v>78</v>
      </c>
      <c r="N823">
        <v>1</v>
      </c>
      <c r="O823">
        <v>4</v>
      </c>
      <c r="P823">
        <v>2</v>
      </c>
      <c r="Q823" t="s">
        <v>59</v>
      </c>
      <c r="R823" t="s">
        <v>37</v>
      </c>
      <c r="S823">
        <v>0</v>
      </c>
      <c r="T823">
        <v>8</v>
      </c>
      <c r="U823" t="s">
        <v>49</v>
      </c>
      <c r="V823" t="s">
        <v>60</v>
      </c>
      <c r="W823" t="s">
        <v>39</v>
      </c>
      <c r="X823" s="3">
        <v>46115</v>
      </c>
      <c r="Y823" s="1" t="str">
        <f t="shared" si="24"/>
        <v>Apr</v>
      </c>
      <c r="Z823" s="1" t="str">
        <f t="shared" si="25"/>
        <v>2026</v>
      </c>
      <c r="AA823" t="b">
        <v>1</v>
      </c>
      <c r="AB823" t="b">
        <v>0</v>
      </c>
      <c r="AC823" t="s">
        <v>74</v>
      </c>
      <c r="AD823" t="s">
        <v>53</v>
      </c>
      <c r="AE823">
        <v>8</v>
      </c>
    </row>
    <row r="824" spans="1:31" x14ac:dyDescent="0.3">
      <c r="A824" t="s">
        <v>1715</v>
      </c>
      <c r="B824">
        <v>21</v>
      </c>
      <c r="C824" t="str" cm="1">
        <f t="array" ref="C824">_xlfn.IFS(B824&lt;=18,"0-18",B824&lt;=29,"19-29",B824&gt;=49,"30-49",B824&gt;=69,"50-69",TRUE,"70+")</f>
        <v>19-29</v>
      </c>
      <c r="D824" t="s">
        <v>29</v>
      </c>
      <c r="E824" t="s">
        <v>44</v>
      </c>
      <c r="F824" t="s">
        <v>76</v>
      </c>
      <c r="G824" t="s">
        <v>45</v>
      </c>
      <c r="H824" t="s">
        <v>30</v>
      </c>
      <c r="I824" t="s">
        <v>1716</v>
      </c>
      <c r="J824" t="s">
        <v>98</v>
      </c>
      <c r="K824" s="2">
        <v>105.95</v>
      </c>
      <c r="L824">
        <v>12</v>
      </c>
      <c r="M824" t="s">
        <v>35</v>
      </c>
      <c r="N824">
        <v>1</v>
      </c>
      <c r="O824">
        <v>4</v>
      </c>
      <c r="P824">
        <v>2</v>
      </c>
      <c r="Q824" t="s">
        <v>59</v>
      </c>
      <c r="R824" t="s">
        <v>85</v>
      </c>
      <c r="S824">
        <v>1</v>
      </c>
      <c r="T824">
        <v>7</v>
      </c>
      <c r="U824" t="s">
        <v>49</v>
      </c>
      <c r="V824" t="s">
        <v>79</v>
      </c>
      <c r="W824" t="s">
        <v>86</v>
      </c>
      <c r="X824" s="3">
        <v>46116</v>
      </c>
      <c r="Y824" s="1" t="str">
        <f t="shared" si="24"/>
        <v>Apr</v>
      </c>
      <c r="Z824" s="1" t="str">
        <f t="shared" si="25"/>
        <v>2026</v>
      </c>
      <c r="AA824" t="b">
        <v>0</v>
      </c>
      <c r="AB824" t="b">
        <v>0</v>
      </c>
      <c r="AC824" t="s">
        <v>62</v>
      </c>
      <c r="AD824" t="s">
        <v>53</v>
      </c>
      <c r="AE824">
        <v>11</v>
      </c>
    </row>
    <row r="825" spans="1:31" x14ac:dyDescent="0.3">
      <c r="A825" t="s">
        <v>1717</v>
      </c>
      <c r="B825">
        <v>26</v>
      </c>
      <c r="C825" t="str" cm="1">
        <f t="array" ref="C825">_xlfn.IFS(B825&lt;=18,"0-18",B825&lt;=29,"19-29",B825&gt;=49,"30-49",B825&gt;=69,"50-69",TRUE,"70+")</f>
        <v>19-29</v>
      </c>
      <c r="D825" t="s">
        <v>43</v>
      </c>
      <c r="E825" t="s">
        <v>44</v>
      </c>
      <c r="F825" t="s">
        <v>55</v>
      </c>
      <c r="G825" t="s">
        <v>56</v>
      </c>
      <c r="H825" t="s">
        <v>44</v>
      </c>
      <c r="I825" t="s">
        <v>1718</v>
      </c>
      <c r="J825" t="s">
        <v>158</v>
      </c>
      <c r="K825" s="2">
        <v>351.54</v>
      </c>
      <c r="L825">
        <v>11</v>
      </c>
      <c r="M825" t="s">
        <v>35</v>
      </c>
      <c r="N825">
        <v>1</v>
      </c>
      <c r="O825">
        <v>3</v>
      </c>
      <c r="P825">
        <v>2</v>
      </c>
      <c r="Q825" t="s">
        <v>36</v>
      </c>
      <c r="R825" t="s">
        <v>37</v>
      </c>
      <c r="S825">
        <v>0</v>
      </c>
      <c r="T825">
        <v>8</v>
      </c>
      <c r="U825" t="s">
        <v>36</v>
      </c>
      <c r="V825" t="s">
        <v>38</v>
      </c>
      <c r="W825" t="s">
        <v>51</v>
      </c>
      <c r="X825" s="3">
        <v>46117</v>
      </c>
      <c r="Y825" s="1" t="str">
        <f t="shared" si="24"/>
        <v>Apr</v>
      </c>
      <c r="Z825" s="1" t="str">
        <f t="shared" si="25"/>
        <v>2026</v>
      </c>
      <c r="AA825" t="b">
        <v>1</v>
      </c>
      <c r="AB825" t="b">
        <v>0</v>
      </c>
      <c r="AC825" t="s">
        <v>74</v>
      </c>
      <c r="AD825" t="s">
        <v>67</v>
      </c>
      <c r="AE825">
        <v>12</v>
      </c>
    </row>
    <row r="826" spans="1:31" x14ac:dyDescent="0.3">
      <c r="A826" t="s">
        <v>1719</v>
      </c>
      <c r="B826">
        <v>40</v>
      </c>
      <c r="C826" t="str" cm="1">
        <f t="array" ref="C826">_xlfn.IFS(B826&lt;=18,"0-18",B826&lt;=29,"19-29",B826&gt;=49,"30-49",B826&gt;=69,"50-69",TRUE,"70+")</f>
        <v>70+</v>
      </c>
      <c r="D826" t="s">
        <v>43</v>
      </c>
      <c r="E826" t="s">
        <v>44</v>
      </c>
      <c r="F826" t="s">
        <v>76</v>
      </c>
      <c r="G826" t="s">
        <v>32</v>
      </c>
      <c r="H826" t="s">
        <v>44</v>
      </c>
      <c r="I826" t="s">
        <v>1720</v>
      </c>
      <c r="J826" t="s">
        <v>65</v>
      </c>
      <c r="K826" s="2">
        <v>321.26</v>
      </c>
      <c r="L826">
        <v>12</v>
      </c>
      <c r="M826" t="s">
        <v>78</v>
      </c>
      <c r="N826">
        <v>4</v>
      </c>
      <c r="O826">
        <v>1</v>
      </c>
      <c r="P826">
        <v>0</v>
      </c>
      <c r="Q826" t="s">
        <v>36</v>
      </c>
      <c r="R826" t="s">
        <v>85</v>
      </c>
      <c r="S826">
        <v>0</v>
      </c>
      <c r="T826">
        <v>6</v>
      </c>
      <c r="U826" t="s">
        <v>36</v>
      </c>
      <c r="V826" t="s">
        <v>79</v>
      </c>
      <c r="W826" t="s">
        <v>61</v>
      </c>
      <c r="X826" s="3">
        <v>46118</v>
      </c>
      <c r="Y826" s="1" t="str">
        <f t="shared" si="24"/>
        <v>Apr</v>
      </c>
      <c r="Z826" s="1" t="str">
        <f t="shared" si="25"/>
        <v>2026</v>
      </c>
      <c r="AA826" t="b">
        <v>0</v>
      </c>
      <c r="AB826" t="b">
        <v>0</v>
      </c>
      <c r="AC826" t="s">
        <v>40</v>
      </c>
      <c r="AD826" t="s">
        <v>53</v>
      </c>
      <c r="AE826">
        <v>14</v>
      </c>
    </row>
    <row r="827" spans="1:31" x14ac:dyDescent="0.3">
      <c r="A827" t="s">
        <v>1721</v>
      </c>
      <c r="B827">
        <v>47</v>
      </c>
      <c r="C827" t="str" cm="1">
        <f t="array" ref="C827">_xlfn.IFS(B827&lt;=18,"0-18",B827&lt;=29,"19-29",B827&gt;=49,"30-49",B827&gt;=69,"50-69",TRUE,"70+")</f>
        <v>70+</v>
      </c>
      <c r="D827" t="s">
        <v>29</v>
      </c>
      <c r="E827" t="s">
        <v>44</v>
      </c>
      <c r="F827" t="s">
        <v>76</v>
      </c>
      <c r="G827" t="s">
        <v>45</v>
      </c>
      <c r="H827" t="s">
        <v>30</v>
      </c>
      <c r="I827" t="s">
        <v>1722</v>
      </c>
      <c r="J827" t="s">
        <v>101</v>
      </c>
      <c r="K827" s="2">
        <v>421.5</v>
      </c>
      <c r="L827">
        <v>11</v>
      </c>
      <c r="M827" t="s">
        <v>78</v>
      </c>
      <c r="N827">
        <v>5</v>
      </c>
      <c r="O827">
        <v>1</v>
      </c>
      <c r="P827">
        <v>2</v>
      </c>
      <c r="Q827" t="s">
        <v>59</v>
      </c>
      <c r="R827" t="s">
        <v>37</v>
      </c>
      <c r="S827">
        <v>0</v>
      </c>
      <c r="T827">
        <v>8</v>
      </c>
      <c r="U827" t="s">
        <v>36</v>
      </c>
      <c r="V827" t="s">
        <v>79</v>
      </c>
      <c r="W827" t="s">
        <v>51</v>
      </c>
      <c r="X827" s="3">
        <v>46119</v>
      </c>
      <c r="Y827" s="1" t="str">
        <f t="shared" si="24"/>
        <v>Apr</v>
      </c>
      <c r="Z827" s="1" t="str">
        <f t="shared" si="25"/>
        <v>2026</v>
      </c>
      <c r="AA827" t="b">
        <v>1</v>
      </c>
      <c r="AB827" t="b">
        <v>1</v>
      </c>
      <c r="AC827" t="s">
        <v>40</v>
      </c>
      <c r="AD827" t="s">
        <v>67</v>
      </c>
      <c r="AE827">
        <v>3</v>
      </c>
    </row>
    <row r="828" spans="1:31" x14ac:dyDescent="0.3">
      <c r="A828" t="s">
        <v>1723</v>
      </c>
      <c r="B828">
        <v>27</v>
      </c>
      <c r="C828" t="str" cm="1">
        <f t="array" ref="C828">_xlfn.IFS(B828&lt;=18,"0-18",B828&lt;=29,"19-29",B828&gt;=49,"30-49",B828&gt;=69,"50-69",TRUE,"70+")</f>
        <v>19-29</v>
      </c>
      <c r="D828" t="s">
        <v>88</v>
      </c>
      <c r="E828" t="s">
        <v>44</v>
      </c>
      <c r="F828" t="s">
        <v>69</v>
      </c>
      <c r="G828" t="s">
        <v>45</v>
      </c>
      <c r="H828" t="s">
        <v>30</v>
      </c>
      <c r="I828" t="s">
        <v>1724</v>
      </c>
      <c r="J828" t="s">
        <v>47</v>
      </c>
      <c r="K828" s="2">
        <v>253.29</v>
      </c>
      <c r="L828">
        <v>6</v>
      </c>
      <c r="M828" t="s">
        <v>35</v>
      </c>
      <c r="N828">
        <v>3</v>
      </c>
      <c r="O828">
        <v>2</v>
      </c>
      <c r="P828">
        <v>2</v>
      </c>
      <c r="Q828" t="s">
        <v>36</v>
      </c>
      <c r="R828" t="s">
        <v>37</v>
      </c>
      <c r="S828">
        <v>1</v>
      </c>
      <c r="T828">
        <v>4</v>
      </c>
      <c r="U828" t="s">
        <v>36</v>
      </c>
      <c r="V828" t="s">
        <v>79</v>
      </c>
      <c r="W828" t="s">
        <v>51</v>
      </c>
      <c r="X828" s="3">
        <v>46120</v>
      </c>
      <c r="Y828" s="1" t="str">
        <f t="shared" si="24"/>
        <v>Apr</v>
      </c>
      <c r="Z828" s="1" t="str">
        <f t="shared" si="25"/>
        <v>2026</v>
      </c>
      <c r="AA828" t="b">
        <v>1</v>
      </c>
      <c r="AB828" t="b">
        <v>0</v>
      </c>
      <c r="AC828" t="s">
        <v>74</v>
      </c>
      <c r="AD828" t="s">
        <v>53</v>
      </c>
      <c r="AE828">
        <v>8</v>
      </c>
    </row>
    <row r="829" spans="1:31" x14ac:dyDescent="0.3">
      <c r="A829" t="s">
        <v>1725</v>
      </c>
      <c r="B829">
        <v>29</v>
      </c>
      <c r="C829" t="str" cm="1">
        <f t="array" ref="C829">_xlfn.IFS(B829&lt;=18,"0-18",B829&lt;=29,"19-29",B829&gt;=49,"30-49",B829&gt;=69,"50-69",TRUE,"70+")</f>
        <v>19-29</v>
      </c>
      <c r="D829" t="s">
        <v>29</v>
      </c>
      <c r="E829" t="s">
        <v>30</v>
      </c>
      <c r="F829" t="s">
        <v>76</v>
      </c>
      <c r="G829" t="s">
        <v>45</v>
      </c>
      <c r="H829" t="s">
        <v>44</v>
      </c>
      <c r="I829" t="s">
        <v>1726</v>
      </c>
      <c r="J829" t="s">
        <v>246</v>
      </c>
      <c r="K829" s="2">
        <v>217.62</v>
      </c>
      <c r="L829">
        <v>3</v>
      </c>
      <c r="M829" t="s">
        <v>78</v>
      </c>
      <c r="N829">
        <v>5</v>
      </c>
      <c r="O829">
        <v>2</v>
      </c>
      <c r="P829">
        <v>1</v>
      </c>
      <c r="Q829" t="s">
        <v>44</v>
      </c>
      <c r="R829" t="s">
        <v>85</v>
      </c>
      <c r="S829">
        <v>2</v>
      </c>
      <c r="T829">
        <v>3</v>
      </c>
      <c r="U829" t="s">
        <v>59</v>
      </c>
      <c r="V829" t="s">
        <v>60</v>
      </c>
      <c r="W829" t="s">
        <v>51</v>
      </c>
      <c r="X829" s="3">
        <v>46121</v>
      </c>
      <c r="Y829" s="1" t="str">
        <f t="shared" si="24"/>
        <v>Apr</v>
      </c>
      <c r="Z829" s="1" t="str">
        <f t="shared" si="25"/>
        <v>2026</v>
      </c>
      <c r="AA829" t="b">
        <v>0</v>
      </c>
      <c r="AB829" t="b">
        <v>1</v>
      </c>
      <c r="AC829" t="s">
        <v>62</v>
      </c>
      <c r="AD829" t="s">
        <v>41</v>
      </c>
      <c r="AE829">
        <v>5</v>
      </c>
    </row>
    <row r="830" spans="1:31" x14ac:dyDescent="0.3">
      <c r="A830" t="s">
        <v>1727</v>
      </c>
      <c r="B830">
        <v>21</v>
      </c>
      <c r="C830" t="str" cm="1">
        <f t="array" ref="C830">_xlfn.IFS(B830&lt;=18,"0-18",B830&lt;=29,"19-29",B830&gt;=49,"30-49",B830&gt;=69,"50-69",TRUE,"70+")</f>
        <v>19-29</v>
      </c>
      <c r="D830" t="s">
        <v>43</v>
      </c>
      <c r="E830" t="s">
        <v>30</v>
      </c>
      <c r="F830" t="s">
        <v>55</v>
      </c>
      <c r="G830" t="s">
        <v>32</v>
      </c>
      <c r="H830" t="s">
        <v>44</v>
      </c>
      <c r="I830" t="s">
        <v>1728</v>
      </c>
      <c r="J830" t="s">
        <v>82</v>
      </c>
      <c r="K830" s="2">
        <v>226.04</v>
      </c>
      <c r="L830">
        <v>11</v>
      </c>
      <c r="M830" t="s">
        <v>78</v>
      </c>
      <c r="N830">
        <v>4</v>
      </c>
      <c r="O830">
        <v>1</v>
      </c>
      <c r="P830">
        <v>1</v>
      </c>
      <c r="Q830" t="s">
        <v>36</v>
      </c>
      <c r="R830" t="s">
        <v>85</v>
      </c>
      <c r="S830">
        <v>0</v>
      </c>
      <c r="T830">
        <v>9</v>
      </c>
      <c r="U830" t="s">
        <v>49</v>
      </c>
      <c r="V830" t="s">
        <v>79</v>
      </c>
      <c r="W830" t="s">
        <v>51</v>
      </c>
      <c r="X830" s="3">
        <v>46122</v>
      </c>
      <c r="Y830" s="1" t="str">
        <f t="shared" si="24"/>
        <v>Apr</v>
      </c>
      <c r="Z830" s="1" t="str">
        <f t="shared" si="25"/>
        <v>2026</v>
      </c>
      <c r="AA830" t="b">
        <v>1</v>
      </c>
      <c r="AB830" t="b">
        <v>0</v>
      </c>
      <c r="AC830" t="s">
        <v>52</v>
      </c>
      <c r="AD830" t="s">
        <v>67</v>
      </c>
      <c r="AE830">
        <v>12</v>
      </c>
    </row>
    <row r="831" spans="1:31" x14ac:dyDescent="0.3">
      <c r="A831" t="s">
        <v>1729</v>
      </c>
      <c r="B831">
        <v>41</v>
      </c>
      <c r="C831" t="str" cm="1">
        <f t="array" ref="C831">_xlfn.IFS(B831&lt;=18,"0-18",B831&lt;=29,"19-29",B831&gt;=49,"30-49",B831&gt;=69,"50-69",TRUE,"70+")</f>
        <v>70+</v>
      </c>
      <c r="D831" t="s">
        <v>148</v>
      </c>
      <c r="E831" t="s">
        <v>44</v>
      </c>
      <c r="F831" t="s">
        <v>55</v>
      </c>
      <c r="G831" t="s">
        <v>32</v>
      </c>
      <c r="H831" t="s">
        <v>44</v>
      </c>
      <c r="I831" t="s">
        <v>1730</v>
      </c>
      <c r="J831" t="s">
        <v>114</v>
      </c>
      <c r="K831" s="2">
        <v>52.79</v>
      </c>
      <c r="L831">
        <v>4</v>
      </c>
      <c r="M831" t="s">
        <v>78</v>
      </c>
      <c r="N831">
        <v>2</v>
      </c>
      <c r="O831">
        <v>2</v>
      </c>
      <c r="P831">
        <v>0</v>
      </c>
      <c r="Q831" t="s">
        <v>59</v>
      </c>
      <c r="R831" t="s">
        <v>50</v>
      </c>
      <c r="S831">
        <v>1</v>
      </c>
      <c r="T831">
        <v>7</v>
      </c>
      <c r="U831" t="s">
        <v>36</v>
      </c>
      <c r="V831" t="s">
        <v>38</v>
      </c>
      <c r="W831" t="s">
        <v>61</v>
      </c>
      <c r="X831" s="3">
        <v>46123</v>
      </c>
      <c r="Y831" s="1" t="str">
        <f t="shared" si="24"/>
        <v>Apr</v>
      </c>
      <c r="Z831" s="1" t="str">
        <f t="shared" si="25"/>
        <v>2026</v>
      </c>
      <c r="AA831" t="b">
        <v>1</v>
      </c>
      <c r="AB831" t="b">
        <v>1</v>
      </c>
      <c r="AC831" t="s">
        <v>62</v>
      </c>
      <c r="AD831" t="s">
        <v>67</v>
      </c>
      <c r="AE831">
        <v>4</v>
      </c>
    </row>
    <row r="832" spans="1:31" x14ac:dyDescent="0.3">
      <c r="A832" t="s">
        <v>1731</v>
      </c>
      <c r="B832">
        <v>43</v>
      </c>
      <c r="C832" t="str" cm="1">
        <f t="array" ref="C832">_xlfn.IFS(B832&lt;=18,"0-18",B832&lt;=29,"19-29",B832&gt;=49,"30-49",B832&gt;=69,"50-69",TRUE,"70+")</f>
        <v>70+</v>
      </c>
      <c r="D832" t="s">
        <v>43</v>
      </c>
      <c r="E832" t="s">
        <v>30</v>
      </c>
      <c r="F832" t="s">
        <v>69</v>
      </c>
      <c r="G832" t="s">
        <v>45</v>
      </c>
      <c r="H832" t="s">
        <v>44</v>
      </c>
      <c r="I832" t="s">
        <v>1732</v>
      </c>
      <c r="J832" t="s">
        <v>246</v>
      </c>
      <c r="K832" s="2">
        <v>385.08</v>
      </c>
      <c r="L832">
        <v>7</v>
      </c>
      <c r="M832" t="s">
        <v>48</v>
      </c>
      <c r="N832">
        <v>2</v>
      </c>
      <c r="O832">
        <v>4</v>
      </c>
      <c r="P832">
        <v>1</v>
      </c>
      <c r="Q832" t="s">
        <v>44</v>
      </c>
      <c r="R832" t="s">
        <v>37</v>
      </c>
      <c r="S832">
        <v>1</v>
      </c>
      <c r="T832">
        <v>1</v>
      </c>
      <c r="U832" t="s">
        <v>59</v>
      </c>
      <c r="V832" t="s">
        <v>38</v>
      </c>
      <c r="W832" t="s">
        <v>61</v>
      </c>
      <c r="X832" s="3">
        <v>46124</v>
      </c>
      <c r="Y832" s="1" t="str">
        <f t="shared" si="24"/>
        <v>Apr</v>
      </c>
      <c r="Z832" s="1" t="str">
        <f t="shared" si="25"/>
        <v>2026</v>
      </c>
      <c r="AA832" t="b">
        <v>0</v>
      </c>
      <c r="AB832" t="b">
        <v>1</v>
      </c>
      <c r="AC832" t="s">
        <v>62</v>
      </c>
      <c r="AD832" t="s">
        <v>41</v>
      </c>
      <c r="AE832">
        <v>1</v>
      </c>
    </row>
    <row r="833" spans="1:31" x14ac:dyDescent="0.3">
      <c r="A833" t="s">
        <v>1733</v>
      </c>
      <c r="B833">
        <v>33</v>
      </c>
      <c r="C833" t="str" cm="1">
        <f t="array" ref="C833">_xlfn.IFS(B833&lt;=18,"0-18",B833&lt;=29,"19-29",B833&gt;=49,"30-49",B833&gt;=69,"50-69",TRUE,"70+")</f>
        <v>70+</v>
      </c>
      <c r="D833" t="s">
        <v>43</v>
      </c>
      <c r="E833" t="s">
        <v>44</v>
      </c>
      <c r="F833" t="s">
        <v>69</v>
      </c>
      <c r="G833" t="s">
        <v>56</v>
      </c>
      <c r="H833" t="s">
        <v>30</v>
      </c>
      <c r="I833" t="s">
        <v>918</v>
      </c>
      <c r="J833" t="s">
        <v>107</v>
      </c>
      <c r="K833" s="2">
        <v>181.1</v>
      </c>
      <c r="L833">
        <v>2</v>
      </c>
      <c r="M833" t="s">
        <v>78</v>
      </c>
      <c r="N833">
        <v>2</v>
      </c>
      <c r="O833">
        <v>5</v>
      </c>
      <c r="P833">
        <v>2</v>
      </c>
      <c r="Q833" t="s">
        <v>59</v>
      </c>
      <c r="R833" t="s">
        <v>50</v>
      </c>
      <c r="S833">
        <v>2</v>
      </c>
      <c r="T833">
        <v>7</v>
      </c>
      <c r="U833" t="s">
        <v>59</v>
      </c>
      <c r="V833" t="s">
        <v>38</v>
      </c>
      <c r="W833" t="s">
        <v>39</v>
      </c>
      <c r="X833" s="3">
        <v>46125</v>
      </c>
      <c r="Y833" s="1" t="str">
        <f t="shared" si="24"/>
        <v>Apr</v>
      </c>
      <c r="Z833" s="1" t="str">
        <f t="shared" si="25"/>
        <v>2026</v>
      </c>
      <c r="AA833" t="b">
        <v>0</v>
      </c>
      <c r="AB833" t="b">
        <v>0</v>
      </c>
      <c r="AC833" t="s">
        <v>62</v>
      </c>
      <c r="AD833" t="s">
        <v>41</v>
      </c>
      <c r="AE833">
        <v>5</v>
      </c>
    </row>
    <row r="834" spans="1:31" x14ac:dyDescent="0.3">
      <c r="A834" t="s">
        <v>1734</v>
      </c>
      <c r="B834">
        <v>23</v>
      </c>
      <c r="C834" t="str" cm="1">
        <f t="array" ref="C834">_xlfn.IFS(B834&lt;=18,"0-18",B834&lt;=29,"19-29",B834&gt;=49,"30-49",B834&gt;=69,"50-69",TRUE,"70+")</f>
        <v>19-29</v>
      </c>
      <c r="D834" t="s">
        <v>29</v>
      </c>
      <c r="E834" t="s">
        <v>30</v>
      </c>
      <c r="F834" t="s">
        <v>55</v>
      </c>
      <c r="G834" t="s">
        <v>56</v>
      </c>
      <c r="H834" t="s">
        <v>30</v>
      </c>
      <c r="I834" t="s">
        <v>1735</v>
      </c>
      <c r="J834" t="s">
        <v>58</v>
      </c>
      <c r="K834" s="2">
        <v>246.41</v>
      </c>
      <c r="L834">
        <v>7</v>
      </c>
      <c r="M834" t="s">
        <v>48</v>
      </c>
      <c r="N834">
        <v>2</v>
      </c>
      <c r="O834">
        <v>4</v>
      </c>
      <c r="P834">
        <v>0</v>
      </c>
      <c r="Q834" t="s">
        <v>36</v>
      </c>
      <c r="R834" t="s">
        <v>37</v>
      </c>
      <c r="S834">
        <v>2</v>
      </c>
      <c r="T834">
        <v>8</v>
      </c>
      <c r="U834" t="s">
        <v>59</v>
      </c>
      <c r="V834" t="s">
        <v>60</v>
      </c>
      <c r="W834" t="s">
        <v>86</v>
      </c>
      <c r="X834" s="3">
        <v>46126</v>
      </c>
      <c r="Y834" s="1" t="str">
        <f t="shared" si="24"/>
        <v>Apr</v>
      </c>
      <c r="Z834" s="1" t="str">
        <f t="shared" si="25"/>
        <v>2026</v>
      </c>
      <c r="AA834" t="b">
        <v>1</v>
      </c>
      <c r="AB834" t="b">
        <v>0</v>
      </c>
      <c r="AC834" t="s">
        <v>40</v>
      </c>
      <c r="AD834" t="s">
        <v>53</v>
      </c>
      <c r="AE834">
        <v>11</v>
      </c>
    </row>
    <row r="835" spans="1:31" x14ac:dyDescent="0.3">
      <c r="A835" t="s">
        <v>1736</v>
      </c>
      <c r="B835">
        <v>37</v>
      </c>
      <c r="C835" t="str" cm="1">
        <f t="array" ref="C835">_xlfn.IFS(B835&lt;=18,"0-18",B835&lt;=29,"19-29",B835&gt;=49,"30-49",B835&gt;=69,"50-69",TRUE,"70+")</f>
        <v>70+</v>
      </c>
      <c r="D835" t="s">
        <v>29</v>
      </c>
      <c r="E835" t="s">
        <v>30</v>
      </c>
      <c r="F835" t="s">
        <v>76</v>
      </c>
      <c r="G835" t="s">
        <v>32</v>
      </c>
      <c r="H835" t="s">
        <v>44</v>
      </c>
      <c r="I835" t="s">
        <v>1737</v>
      </c>
      <c r="J835" t="s">
        <v>123</v>
      </c>
      <c r="K835" s="2">
        <v>140.87</v>
      </c>
      <c r="L835">
        <v>8</v>
      </c>
      <c r="M835" t="s">
        <v>48</v>
      </c>
      <c r="N835">
        <v>3</v>
      </c>
      <c r="O835">
        <v>3</v>
      </c>
      <c r="P835">
        <v>2</v>
      </c>
      <c r="Q835" t="s">
        <v>59</v>
      </c>
      <c r="R835" t="s">
        <v>50</v>
      </c>
      <c r="S835">
        <v>2</v>
      </c>
      <c r="T835">
        <v>7</v>
      </c>
      <c r="U835" t="s">
        <v>49</v>
      </c>
      <c r="V835" t="s">
        <v>38</v>
      </c>
      <c r="W835" t="s">
        <v>66</v>
      </c>
      <c r="X835" s="3">
        <v>46127</v>
      </c>
      <c r="Y835" s="1" t="str">
        <f t="shared" ref="Y835:Y898" si="26">TEXT(X835,"mmm")</f>
        <v>Apr</v>
      </c>
      <c r="Z835" s="1" t="str">
        <f t="shared" ref="Z835:Z898" si="27">TEXT(X835,"yyyy")</f>
        <v>2026</v>
      </c>
      <c r="AA835" t="b">
        <v>1</v>
      </c>
      <c r="AB835" t="b">
        <v>0</v>
      </c>
      <c r="AC835" t="s">
        <v>62</v>
      </c>
      <c r="AD835" t="s">
        <v>41</v>
      </c>
      <c r="AE835">
        <v>9</v>
      </c>
    </row>
    <row r="836" spans="1:31" x14ac:dyDescent="0.3">
      <c r="A836" t="s">
        <v>1738</v>
      </c>
      <c r="B836">
        <v>34</v>
      </c>
      <c r="C836" t="str" cm="1">
        <f t="array" ref="C836">_xlfn.IFS(B836&lt;=18,"0-18",B836&lt;=29,"19-29",B836&gt;=49,"30-49",B836&gt;=69,"50-69",TRUE,"70+")</f>
        <v>70+</v>
      </c>
      <c r="D836" t="s">
        <v>29</v>
      </c>
      <c r="E836" t="s">
        <v>44</v>
      </c>
      <c r="F836" t="s">
        <v>55</v>
      </c>
      <c r="G836" t="s">
        <v>56</v>
      </c>
      <c r="H836" t="s">
        <v>44</v>
      </c>
      <c r="I836" t="s">
        <v>1739</v>
      </c>
      <c r="J836" t="s">
        <v>120</v>
      </c>
      <c r="K836" s="2">
        <v>151.25</v>
      </c>
      <c r="L836">
        <v>2</v>
      </c>
      <c r="M836" t="s">
        <v>48</v>
      </c>
      <c r="N836">
        <v>2</v>
      </c>
      <c r="O836">
        <v>5</v>
      </c>
      <c r="P836">
        <v>0</v>
      </c>
      <c r="Q836" t="s">
        <v>49</v>
      </c>
      <c r="R836" t="s">
        <v>37</v>
      </c>
      <c r="S836">
        <v>1</v>
      </c>
      <c r="T836">
        <v>8</v>
      </c>
      <c r="U836" t="s">
        <v>49</v>
      </c>
      <c r="V836" t="s">
        <v>38</v>
      </c>
      <c r="W836" t="s">
        <v>61</v>
      </c>
      <c r="X836" s="3">
        <v>46128</v>
      </c>
      <c r="Y836" s="1" t="str">
        <f t="shared" si="26"/>
        <v>Apr</v>
      </c>
      <c r="Z836" s="1" t="str">
        <f t="shared" si="27"/>
        <v>2026</v>
      </c>
      <c r="AA836" t="b">
        <v>1</v>
      </c>
      <c r="AB836" t="b">
        <v>0</v>
      </c>
      <c r="AC836" t="s">
        <v>74</v>
      </c>
      <c r="AD836" t="s">
        <v>41</v>
      </c>
      <c r="AE836">
        <v>10</v>
      </c>
    </row>
    <row r="837" spans="1:31" x14ac:dyDescent="0.3">
      <c r="A837" t="s">
        <v>1740</v>
      </c>
      <c r="B837">
        <v>27</v>
      </c>
      <c r="C837" t="str" cm="1">
        <f t="array" ref="C837">_xlfn.IFS(B837&lt;=18,"0-18",B837&lt;=29,"19-29",B837&gt;=49,"30-49",B837&gt;=69,"50-69",TRUE,"70+")</f>
        <v>19-29</v>
      </c>
      <c r="D837" t="s">
        <v>43</v>
      </c>
      <c r="E837" t="s">
        <v>44</v>
      </c>
      <c r="F837" t="s">
        <v>76</v>
      </c>
      <c r="G837" t="s">
        <v>56</v>
      </c>
      <c r="H837" t="s">
        <v>30</v>
      </c>
      <c r="I837" t="s">
        <v>1741</v>
      </c>
      <c r="J837" t="s">
        <v>107</v>
      </c>
      <c r="K837" s="2">
        <v>171.52</v>
      </c>
      <c r="L837">
        <v>3</v>
      </c>
      <c r="M837" t="s">
        <v>35</v>
      </c>
      <c r="N837">
        <v>5</v>
      </c>
      <c r="O837">
        <v>5</v>
      </c>
      <c r="P837">
        <v>2</v>
      </c>
      <c r="Q837" t="s">
        <v>49</v>
      </c>
      <c r="R837" t="s">
        <v>85</v>
      </c>
      <c r="S837">
        <v>1</v>
      </c>
      <c r="T837">
        <v>9</v>
      </c>
      <c r="U837" t="s">
        <v>49</v>
      </c>
      <c r="V837" t="s">
        <v>60</v>
      </c>
      <c r="W837" t="s">
        <v>86</v>
      </c>
      <c r="X837" s="3">
        <v>46129</v>
      </c>
      <c r="Y837" s="1" t="str">
        <f t="shared" si="26"/>
        <v>Apr</v>
      </c>
      <c r="Z837" s="1" t="str">
        <f t="shared" si="27"/>
        <v>2026</v>
      </c>
      <c r="AA837" t="b">
        <v>1</v>
      </c>
      <c r="AB837" t="b">
        <v>1</v>
      </c>
      <c r="AC837" t="s">
        <v>74</v>
      </c>
      <c r="AD837" t="s">
        <v>53</v>
      </c>
      <c r="AE837">
        <v>12</v>
      </c>
    </row>
    <row r="838" spans="1:31" x14ac:dyDescent="0.3">
      <c r="A838" t="s">
        <v>1742</v>
      </c>
      <c r="B838">
        <v>40</v>
      </c>
      <c r="C838" t="str" cm="1">
        <f t="array" ref="C838">_xlfn.IFS(B838&lt;=18,"0-18",B838&lt;=29,"19-29",B838&gt;=49,"30-49",B838&gt;=69,"50-69",TRUE,"70+")</f>
        <v>70+</v>
      </c>
      <c r="D838" t="s">
        <v>43</v>
      </c>
      <c r="E838" t="s">
        <v>30</v>
      </c>
      <c r="F838" t="s">
        <v>69</v>
      </c>
      <c r="G838" t="s">
        <v>56</v>
      </c>
      <c r="H838" t="s">
        <v>44</v>
      </c>
      <c r="I838" t="s">
        <v>1743</v>
      </c>
      <c r="J838" t="s">
        <v>90</v>
      </c>
      <c r="K838" s="2">
        <v>399.56</v>
      </c>
      <c r="L838">
        <v>10</v>
      </c>
      <c r="M838" t="s">
        <v>78</v>
      </c>
      <c r="N838">
        <v>4</v>
      </c>
      <c r="O838">
        <v>2</v>
      </c>
      <c r="P838">
        <v>1</v>
      </c>
      <c r="Q838" t="s">
        <v>59</v>
      </c>
      <c r="R838" t="s">
        <v>50</v>
      </c>
      <c r="S838">
        <v>0</v>
      </c>
      <c r="T838">
        <v>4</v>
      </c>
      <c r="U838" t="s">
        <v>49</v>
      </c>
      <c r="V838" t="s">
        <v>79</v>
      </c>
      <c r="W838" t="s">
        <v>86</v>
      </c>
      <c r="X838" s="3">
        <v>46130</v>
      </c>
      <c r="Y838" s="1" t="str">
        <f t="shared" si="26"/>
        <v>Apr</v>
      </c>
      <c r="Z838" s="1" t="str">
        <f t="shared" si="27"/>
        <v>2026</v>
      </c>
      <c r="AA838" t="b">
        <v>1</v>
      </c>
      <c r="AB838" t="b">
        <v>1</v>
      </c>
      <c r="AC838" t="s">
        <v>40</v>
      </c>
      <c r="AD838" t="s">
        <v>41</v>
      </c>
      <c r="AE838">
        <v>1</v>
      </c>
    </row>
    <row r="839" spans="1:31" x14ac:dyDescent="0.3">
      <c r="A839" t="s">
        <v>1744</v>
      </c>
      <c r="B839">
        <v>40</v>
      </c>
      <c r="C839" t="str" cm="1">
        <f t="array" ref="C839">_xlfn.IFS(B839&lt;=18,"0-18",B839&lt;=29,"19-29",B839&gt;=49,"30-49",B839&gt;=69,"50-69",TRUE,"70+")</f>
        <v>70+</v>
      </c>
      <c r="D839" t="s">
        <v>29</v>
      </c>
      <c r="E839" t="s">
        <v>30</v>
      </c>
      <c r="F839" t="s">
        <v>69</v>
      </c>
      <c r="G839" t="s">
        <v>56</v>
      </c>
      <c r="H839" t="s">
        <v>30</v>
      </c>
      <c r="I839" t="s">
        <v>1745</v>
      </c>
      <c r="J839" t="s">
        <v>90</v>
      </c>
      <c r="K839" s="2">
        <v>173.46</v>
      </c>
      <c r="L839">
        <v>4</v>
      </c>
      <c r="M839" t="s">
        <v>35</v>
      </c>
      <c r="N839">
        <v>5</v>
      </c>
      <c r="O839">
        <v>3</v>
      </c>
      <c r="P839">
        <v>1</v>
      </c>
      <c r="Q839" t="s">
        <v>36</v>
      </c>
      <c r="R839" t="s">
        <v>50</v>
      </c>
      <c r="S839">
        <v>0</v>
      </c>
      <c r="T839">
        <v>9</v>
      </c>
      <c r="U839" t="s">
        <v>49</v>
      </c>
      <c r="V839" t="s">
        <v>60</v>
      </c>
      <c r="W839" t="s">
        <v>51</v>
      </c>
      <c r="X839" s="3">
        <v>46131</v>
      </c>
      <c r="Y839" s="1" t="str">
        <f t="shared" si="26"/>
        <v>Apr</v>
      </c>
      <c r="Z839" s="1" t="str">
        <f t="shared" si="27"/>
        <v>2026</v>
      </c>
      <c r="AA839" t="b">
        <v>0</v>
      </c>
      <c r="AB839" t="b">
        <v>1</v>
      </c>
      <c r="AC839" t="s">
        <v>52</v>
      </c>
      <c r="AD839" t="s">
        <v>41</v>
      </c>
      <c r="AE839">
        <v>2</v>
      </c>
    </row>
    <row r="840" spans="1:31" x14ac:dyDescent="0.3">
      <c r="A840" t="s">
        <v>1746</v>
      </c>
      <c r="B840">
        <v>43</v>
      </c>
      <c r="C840" t="str" cm="1">
        <f t="array" ref="C840">_xlfn.IFS(B840&lt;=18,"0-18",B840&lt;=29,"19-29",B840&gt;=49,"30-49",B840&gt;=69,"50-69",TRUE,"70+")</f>
        <v>70+</v>
      </c>
      <c r="D840" t="s">
        <v>43</v>
      </c>
      <c r="E840" t="s">
        <v>44</v>
      </c>
      <c r="F840" t="s">
        <v>69</v>
      </c>
      <c r="G840" t="s">
        <v>32</v>
      </c>
      <c r="H840" t="s">
        <v>44</v>
      </c>
      <c r="I840" t="s">
        <v>1747</v>
      </c>
      <c r="J840" t="s">
        <v>126</v>
      </c>
      <c r="K840" s="2">
        <v>332.14</v>
      </c>
      <c r="L840">
        <v>10</v>
      </c>
      <c r="M840" t="s">
        <v>78</v>
      </c>
      <c r="N840">
        <v>4</v>
      </c>
      <c r="O840">
        <v>4</v>
      </c>
      <c r="P840">
        <v>0</v>
      </c>
      <c r="Q840" t="s">
        <v>59</v>
      </c>
      <c r="R840" t="s">
        <v>37</v>
      </c>
      <c r="S840">
        <v>1</v>
      </c>
      <c r="T840">
        <v>2</v>
      </c>
      <c r="U840" t="s">
        <v>36</v>
      </c>
      <c r="V840" t="s">
        <v>79</v>
      </c>
      <c r="W840" t="s">
        <v>51</v>
      </c>
      <c r="X840" s="3">
        <v>46132</v>
      </c>
      <c r="Y840" s="1" t="str">
        <f t="shared" si="26"/>
        <v>Apr</v>
      </c>
      <c r="Z840" s="1" t="str">
        <f t="shared" si="27"/>
        <v>2026</v>
      </c>
      <c r="AA840" t="b">
        <v>1</v>
      </c>
      <c r="AB840" t="b">
        <v>1</v>
      </c>
      <c r="AC840" t="s">
        <v>74</v>
      </c>
      <c r="AD840" t="s">
        <v>41</v>
      </c>
      <c r="AE840">
        <v>13</v>
      </c>
    </row>
    <row r="841" spans="1:31" x14ac:dyDescent="0.3">
      <c r="A841" t="s">
        <v>1748</v>
      </c>
      <c r="B841">
        <v>37</v>
      </c>
      <c r="C841" t="str" cm="1">
        <f t="array" ref="C841">_xlfn.IFS(B841&lt;=18,"0-18",B841&lt;=29,"19-29",B841&gt;=49,"30-49",B841&gt;=69,"50-69",TRUE,"70+")</f>
        <v>70+</v>
      </c>
      <c r="D841" t="s">
        <v>190</v>
      </c>
      <c r="E841" t="s">
        <v>30</v>
      </c>
      <c r="F841" t="s">
        <v>55</v>
      </c>
      <c r="G841" t="s">
        <v>32</v>
      </c>
      <c r="H841" t="s">
        <v>30</v>
      </c>
      <c r="I841" t="s">
        <v>1749</v>
      </c>
      <c r="J841" t="s">
        <v>47</v>
      </c>
      <c r="K841" s="2">
        <v>247.05</v>
      </c>
      <c r="L841">
        <v>8</v>
      </c>
      <c r="M841" t="s">
        <v>48</v>
      </c>
      <c r="N841">
        <v>3</v>
      </c>
      <c r="O841">
        <v>2</v>
      </c>
      <c r="P841">
        <v>1</v>
      </c>
      <c r="Q841" t="s">
        <v>59</v>
      </c>
      <c r="R841" t="s">
        <v>37</v>
      </c>
      <c r="S841">
        <v>1</v>
      </c>
      <c r="T841">
        <v>8</v>
      </c>
      <c r="U841" t="s">
        <v>44</v>
      </c>
      <c r="V841" t="s">
        <v>79</v>
      </c>
      <c r="W841" t="s">
        <v>86</v>
      </c>
      <c r="X841" s="3">
        <v>46133</v>
      </c>
      <c r="Y841" s="1" t="str">
        <f t="shared" si="26"/>
        <v>Apr</v>
      </c>
      <c r="Z841" s="1" t="str">
        <f t="shared" si="27"/>
        <v>2026</v>
      </c>
      <c r="AA841" t="b">
        <v>0</v>
      </c>
      <c r="AB841" t="b">
        <v>0</v>
      </c>
      <c r="AC841" t="s">
        <v>52</v>
      </c>
      <c r="AD841" t="s">
        <v>53</v>
      </c>
      <c r="AE841">
        <v>2</v>
      </c>
    </row>
    <row r="842" spans="1:31" x14ac:dyDescent="0.3">
      <c r="A842" t="s">
        <v>1750</v>
      </c>
      <c r="B842">
        <v>49</v>
      </c>
      <c r="C842" t="str" cm="1">
        <f t="array" ref="C842">_xlfn.IFS(B842&lt;=18,"0-18",B842&lt;=29,"19-29",B842&gt;=49,"30-49",B842&gt;=69,"50-69",TRUE,"70+")</f>
        <v>30-49</v>
      </c>
      <c r="D842" t="s">
        <v>43</v>
      </c>
      <c r="E842" t="s">
        <v>44</v>
      </c>
      <c r="F842" t="s">
        <v>55</v>
      </c>
      <c r="G842" t="s">
        <v>32</v>
      </c>
      <c r="H842" t="s">
        <v>44</v>
      </c>
      <c r="I842" t="s">
        <v>1751</v>
      </c>
      <c r="J842" t="s">
        <v>58</v>
      </c>
      <c r="K842" s="2">
        <v>365.88</v>
      </c>
      <c r="L842">
        <v>10</v>
      </c>
      <c r="M842" t="s">
        <v>35</v>
      </c>
      <c r="N842">
        <v>4</v>
      </c>
      <c r="O842">
        <v>5</v>
      </c>
      <c r="P842">
        <v>1</v>
      </c>
      <c r="Q842" t="s">
        <v>36</v>
      </c>
      <c r="R842" t="s">
        <v>37</v>
      </c>
      <c r="S842">
        <v>1</v>
      </c>
      <c r="T842">
        <v>1</v>
      </c>
      <c r="U842" t="s">
        <v>49</v>
      </c>
      <c r="V842" t="s">
        <v>38</v>
      </c>
      <c r="W842" t="s">
        <v>51</v>
      </c>
      <c r="X842" s="3">
        <v>46134</v>
      </c>
      <c r="Y842" s="1" t="str">
        <f t="shared" si="26"/>
        <v>Apr</v>
      </c>
      <c r="Z842" s="1" t="str">
        <f t="shared" si="27"/>
        <v>2026</v>
      </c>
      <c r="AA842" t="b">
        <v>0</v>
      </c>
      <c r="AB842" t="b">
        <v>0</v>
      </c>
      <c r="AC842" t="s">
        <v>52</v>
      </c>
      <c r="AD842" t="s">
        <v>67</v>
      </c>
      <c r="AE842">
        <v>9</v>
      </c>
    </row>
    <row r="843" spans="1:31" x14ac:dyDescent="0.3">
      <c r="A843" t="s">
        <v>1752</v>
      </c>
      <c r="B843">
        <v>27</v>
      </c>
      <c r="C843" t="str" cm="1">
        <f t="array" ref="C843">_xlfn.IFS(B843&lt;=18,"0-18",B843&lt;=29,"19-29",B843&gt;=49,"30-49",B843&gt;=69,"50-69",TRUE,"70+")</f>
        <v>19-29</v>
      </c>
      <c r="D843" t="s">
        <v>29</v>
      </c>
      <c r="E843" t="s">
        <v>30</v>
      </c>
      <c r="F843" t="s">
        <v>31</v>
      </c>
      <c r="G843" t="s">
        <v>32</v>
      </c>
      <c r="H843" t="s">
        <v>30</v>
      </c>
      <c r="I843" t="s">
        <v>1753</v>
      </c>
      <c r="J843" t="s">
        <v>126</v>
      </c>
      <c r="K843" s="2">
        <v>354.92</v>
      </c>
      <c r="L843">
        <v>8</v>
      </c>
      <c r="M843" t="s">
        <v>35</v>
      </c>
      <c r="N843">
        <v>5</v>
      </c>
      <c r="O843">
        <v>4</v>
      </c>
      <c r="P843">
        <v>0</v>
      </c>
      <c r="Q843" t="s">
        <v>36</v>
      </c>
      <c r="R843" t="s">
        <v>37</v>
      </c>
      <c r="S843">
        <v>0</v>
      </c>
      <c r="T843">
        <v>1</v>
      </c>
      <c r="U843" t="s">
        <v>36</v>
      </c>
      <c r="V843" t="s">
        <v>38</v>
      </c>
      <c r="W843" t="s">
        <v>61</v>
      </c>
      <c r="X843" s="3">
        <v>46135</v>
      </c>
      <c r="Y843" s="1" t="str">
        <f t="shared" si="26"/>
        <v>Apr</v>
      </c>
      <c r="Z843" s="1" t="str">
        <f t="shared" si="27"/>
        <v>2026</v>
      </c>
      <c r="AA843" t="b">
        <v>1</v>
      </c>
      <c r="AB843" t="b">
        <v>1</v>
      </c>
      <c r="AC843" t="s">
        <v>52</v>
      </c>
      <c r="AD843" t="s">
        <v>67</v>
      </c>
      <c r="AE843">
        <v>13</v>
      </c>
    </row>
    <row r="844" spans="1:31" x14ac:dyDescent="0.3">
      <c r="A844" t="s">
        <v>1754</v>
      </c>
      <c r="B844">
        <v>19</v>
      </c>
      <c r="C844" t="str" cm="1">
        <f t="array" ref="C844">_xlfn.IFS(B844&lt;=18,"0-18",B844&lt;=29,"19-29",B844&gt;=49,"30-49",B844&gt;=69,"50-69",TRUE,"70+")</f>
        <v>19-29</v>
      </c>
      <c r="D844" t="s">
        <v>29</v>
      </c>
      <c r="E844" t="s">
        <v>44</v>
      </c>
      <c r="F844" t="s">
        <v>55</v>
      </c>
      <c r="G844" t="s">
        <v>45</v>
      </c>
      <c r="H844" t="s">
        <v>44</v>
      </c>
      <c r="I844" t="s">
        <v>1755</v>
      </c>
      <c r="J844" t="s">
        <v>246</v>
      </c>
      <c r="K844" s="2">
        <v>195.46</v>
      </c>
      <c r="L844">
        <v>10</v>
      </c>
      <c r="M844" t="s">
        <v>35</v>
      </c>
      <c r="N844">
        <v>5</v>
      </c>
      <c r="O844">
        <v>3</v>
      </c>
      <c r="P844">
        <v>2</v>
      </c>
      <c r="Q844" t="s">
        <v>36</v>
      </c>
      <c r="R844" t="s">
        <v>50</v>
      </c>
      <c r="S844">
        <v>0</v>
      </c>
      <c r="T844">
        <v>10</v>
      </c>
      <c r="U844" t="s">
        <v>59</v>
      </c>
      <c r="V844" t="s">
        <v>38</v>
      </c>
      <c r="W844" t="s">
        <v>66</v>
      </c>
      <c r="X844" s="3">
        <v>46136</v>
      </c>
      <c r="Y844" s="1" t="str">
        <f t="shared" si="26"/>
        <v>Apr</v>
      </c>
      <c r="Z844" s="1" t="str">
        <f t="shared" si="27"/>
        <v>2026</v>
      </c>
      <c r="AA844" t="b">
        <v>1</v>
      </c>
      <c r="AB844" t="b">
        <v>0</v>
      </c>
      <c r="AC844" t="s">
        <v>62</v>
      </c>
      <c r="AD844" t="s">
        <v>53</v>
      </c>
      <c r="AE844">
        <v>9</v>
      </c>
    </row>
    <row r="845" spans="1:31" x14ac:dyDescent="0.3">
      <c r="A845" t="s">
        <v>1756</v>
      </c>
      <c r="B845">
        <v>40</v>
      </c>
      <c r="C845" t="str" cm="1">
        <f t="array" ref="C845">_xlfn.IFS(B845&lt;=18,"0-18",B845&lt;=29,"19-29",B845&gt;=49,"30-49",B845&gt;=69,"50-69",TRUE,"70+")</f>
        <v>70+</v>
      </c>
      <c r="D845" t="s">
        <v>29</v>
      </c>
      <c r="E845" t="s">
        <v>44</v>
      </c>
      <c r="F845" t="s">
        <v>31</v>
      </c>
      <c r="G845" t="s">
        <v>56</v>
      </c>
      <c r="H845" t="s">
        <v>30</v>
      </c>
      <c r="I845" t="s">
        <v>1757</v>
      </c>
      <c r="J845" t="s">
        <v>82</v>
      </c>
      <c r="K845" s="2">
        <v>474.03</v>
      </c>
      <c r="L845">
        <v>7</v>
      </c>
      <c r="M845" t="s">
        <v>48</v>
      </c>
      <c r="N845">
        <v>3</v>
      </c>
      <c r="O845">
        <v>1</v>
      </c>
      <c r="P845">
        <v>1</v>
      </c>
      <c r="Q845" t="s">
        <v>49</v>
      </c>
      <c r="R845" t="s">
        <v>37</v>
      </c>
      <c r="S845">
        <v>0</v>
      </c>
      <c r="T845">
        <v>6</v>
      </c>
      <c r="U845" t="s">
        <v>44</v>
      </c>
      <c r="V845" t="s">
        <v>79</v>
      </c>
      <c r="W845" t="s">
        <v>66</v>
      </c>
      <c r="X845" s="3">
        <v>46137</v>
      </c>
      <c r="Y845" s="1" t="str">
        <f t="shared" si="26"/>
        <v>Apr</v>
      </c>
      <c r="Z845" s="1" t="str">
        <f t="shared" si="27"/>
        <v>2026</v>
      </c>
      <c r="AA845" t="b">
        <v>1</v>
      </c>
      <c r="AB845" t="b">
        <v>1</v>
      </c>
      <c r="AC845" t="s">
        <v>40</v>
      </c>
      <c r="AD845" t="s">
        <v>53</v>
      </c>
      <c r="AE845">
        <v>13</v>
      </c>
    </row>
    <row r="846" spans="1:31" x14ac:dyDescent="0.3">
      <c r="A846" t="s">
        <v>1758</v>
      </c>
      <c r="B846">
        <v>27</v>
      </c>
      <c r="C846" t="str" cm="1">
        <f t="array" ref="C846">_xlfn.IFS(B846&lt;=18,"0-18",B846&lt;=29,"19-29",B846&gt;=49,"30-49",B846&gt;=69,"50-69",TRUE,"70+")</f>
        <v>19-29</v>
      </c>
      <c r="D846" t="s">
        <v>43</v>
      </c>
      <c r="E846" t="s">
        <v>30</v>
      </c>
      <c r="F846" t="s">
        <v>31</v>
      </c>
      <c r="G846" t="s">
        <v>32</v>
      </c>
      <c r="H846" t="s">
        <v>44</v>
      </c>
      <c r="I846" t="s">
        <v>1759</v>
      </c>
      <c r="J846" t="s">
        <v>101</v>
      </c>
      <c r="K846" s="2">
        <v>106.96</v>
      </c>
      <c r="L846">
        <v>6</v>
      </c>
      <c r="M846" t="s">
        <v>48</v>
      </c>
      <c r="N846">
        <v>3</v>
      </c>
      <c r="O846">
        <v>1</v>
      </c>
      <c r="P846">
        <v>2</v>
      </c>
      <c r="Q846" t="s">
        <v>59</v>
      </c>
      <c r="R846" t="s">
        <v>50</v>
      </c>
      <c r="S846">
        <v>0</v>
      </c>
      <c r="T846">
        <v>7</v>
      </c>
      <c r="U846" t="s">
        <v>49</v>
      </c>
      <c r="V846" t="s">
        <v>38</v>
      </c>
      <c r="W846" t="s">
        <v>61</v>
      </c>
      <c r="X846" s="3">
        <v>46138</v>
      </c>
      <c r="Y846" s="1" t="str">
        <f t="shared" si="26"/>
        <v>Apr</v>
      </c>
      <c r="Z846" s="1" t="str">
        <f t="shared" si="27"/>
        <v>2026</v>
      </c>
      <c r="AA846" t="b">
        <v>1</v>
      </c>
      <c r="AB846" t="b">
        <v>1</v>
      </c>
      <c r="AC846" t="s">
        <v>62</v>
      </c>
      <c r="AD846" t="s">
        <v>53</v>
      </c>
      <c r="AE846">
        <v>3</v>
      </c>
    </row>
    <row r="847" spans="1:31" x14ac:dyDescent="0.3">
      <c r="A847" t="s">
        <v>1760</v>
      </c>
      <c r="B847">
        <v>29</v>
      </c>
      <c r="C847" t="str" cm="1">
        <f t="array" ref="C847">_xlfn.IFS(B847&lt;=18,"0-18",B847&lt;=29,"19-29",B847&gt;=49,"30-49",B847&gt;=69,"50-69",TRUE,"70+")</f>
        <v>19-29</v>
      </c>
      <c r="D847" t="s">
        <v>29</v>
      </c>
      <c r="E847" t="s">
        <v>30</v>
      </c>
      <c r="F847" t="s">
        <v>31</v>
      </c>
      <c r="G847" t="s">
        <v>56</v>
      </c>
      <c r="H847" t="s">
        <v>44</v>
      </c>
      <c r="I847" t="s">
        <v>1761</v>
      </c>
      <c r="J847" t="s">
        <v>117</v>
      </c>
      <c r="K847" s="2">
        <v>371.84</v>
      </c>
      <c r="L847">
        <v>9</v>
      </c>
      <c r="M847" t="s">
        <v>48</v>
      </c>
      <c r="N847">
        <v>5</v>
      </c>
      <c r="O847">
        <v>4</v>
      </c>
      <c r="P847">
        <v>0</v>
      </c>
      <c r="Q847" t="s">
        <v>36</v>
      </c>
      <c r="R847" t="s">
        <v>50</v>
      </c>
      <c r="S847">
        <v>2</v>
      </c>
      <c r="T847">
        <v>6</v>
      </c>
      <c r="U847" t="s">
        <v>36</v>
      </c>
      <c r="V847" t="s">
        <v>38</v>
      </c>
      <c r="W847" t="s">
        <v>66</v>
      </c>
      <c r="X847" s="3">
        <v>46139</v>
      </c>
      <c r="Y847" s="1" t="str">
        <f t="shared" si="26"/>
        <v>Apr</v>
      </c>
      <c r="Z847" s="1" t="str">
        <f t="shared" si="27"/>
        <v>2026</v>
      </c>
      <c r="AA847" t="b">
        <v>0</v>
      </c>
      <c r="AB847" t="b">
        <v>1</v>
      </c>
      <c r="AC847" t="s">
        <v>62</v>
      </c>
      <c r="AD847" t="s">
        <v>53</v>
      </c>
      <c r="AE847">
        <v>2</v>
      </c>
    </row>
    <row r="848" spans="1:31" x14ac:dyDescent="0.3">
      <c r="A848" t="s">
        <v>1762</v>
      </c>
      <c r="B848">
        <v>45</v>
      </c>
      <c r="C848" t="str" cm="1">
        <f t="array" ref="C848">_xlfn.IFS(B848&lt;=18,"0-18",B848&lt;=29,"19-29",B848&gt;=49,"30-49",B848&gt;=69,"50-69",TRUE,"70+")</f>
        <v>70+</v>
      </c>
      <c r="D848" t="s">
        <v>212</v>
      </c>
      <c r="E848" t="s">
        <v>44</v>
      </c>
      <c r="F848" t="s">
        <v>55</v>
      </c>
      <c r="G848" t="s">
        <v>32</v>
      </c>
      <c r="H848" t="s">
        <v>44</v>
      </c>
      <c r="I848" t="s">
        <v>1763</v>
      </c>
      <c r="J848" t="s">
        <v>142</v>
      </c>
      <c r="K848" s="2">
        <v>461.16</v>
      </c>
      <c r="L848">
        <v>8</v>
      </c>
      <c r="M848" t="s">
        <v>35</v>
      </c>
      <c r="N848">
        <v>1</v>
      </c>
      <c r="O848">
        <v>4</v>
      </c>
      <c r="P848">
        <v>1</v>
      </c>
      <c r="Q848" t="s">
        <v>44</v>
      </c>
      <c r="R848" t="s">
        <v>50</v>
      </c>
      <c r="S848">
        <v>0</v>
      </c>
      <c r="T848">
        <v>3</v>
      </c>
      <c r="U848" t="s">
        <v>49</v>
      </c>
      <c r="V848" t="s">
        <v>60</v>
      </c>
      <c r="W848" t="s">
        <v>66</v>
      </c>
      <c r="X848" s="3">
        <v>46140</v>
      </c>
      <c r="Y848" s="1" t="str">
        <f t="shared" si="26"/>
        <v>Apr</v>
      </c>
      <c r="Z848" s="1" t="str">
        <f t="shared" si="27"/>
        <v>2026</v>
      </c>
      <c r="AA848" t="b">
        <v>1</v>
      </c>
      <c r="AB848" t="b">
        <v>1</v>
      </c>
      <c r="AC848" t="s">
        <v>74</v>
      </c>
      <c r="AD848" t="s">
        <v>67</v>
      </c>
      <c r="AE848">
        <v>14</v>
      </c>
    </row>
    <row r="849" spans="1:31" x14ac:dyDescent="0.3">
      <c r="A849" t="s">
        <v>1764</v>
      </c>
      <c r="B849">
        <v>24</v>
      </c>
      <c r="C849" t="str" cm="1">
        <f t="array" ref="C849">_xlfn.IFS(B849&lt;=18,"0-18",B849&lt;=29,"19-29",B849&gt;=49,"30-49",B849&gt;=69,"50-69",TRUE,"70+")</f>
        <v>19-29</v>
      </c>
      <c r="D849" t="s">
        <v>29</v>
      </c>
      <c r="E849" t="s">
        <v>44</v>
      </c>
      <c r="F849" t="s">
        <v>55</v>
      </c>
      <c r="G849" t="s">
        <v>45</v>
      </c>
      <c r="H849" t="s">
        <v>30</v>
      </c>
      <c r="I849" t="s">
        <v>1765</v>
      </c>
      <c r="J849" t="s">
        <v>82</v>
      </c>
      <c r="K849" s="2">
        <v>497.75</v>
      </c>
      <c r="L849">
        <v>11</v>
      </c>
      <c r="M849" t="s">
        <v>48</v>
      </c>
      <c r="N849">
        <v>4</v>
      </c>
      <c r="O849">
        <v>1</v>
      </c>
      <c r="P849">
        <v>2</v>
      </c>
      <c r="Q849" t="s">
        <v>36</v>
      </c>
      <c r="R849" t="s">
        <v>85</v>
      </c>
      <c r="S849">
        <v>2</v>
      </c>
      <c r="T849">
        <v>1</v>
      </c>
      <c r="U849" t="s">
        <v>49</v>
      </c>
      <c r="V849" t="s">
        <v>60</v>
      </c>
      <c r="W849" t="s">
        <v>86</v>
      </c>
      <c r="X849" s="3">
        <v>46141</v>
      </c>
      <c r="Y849" s="1" t="str">
        <f t="shared" si="26"/>
        <v>Apr</v>
      </c>
      <c r="Z849" s="1" t="str">
        <f t="shared" si="27"/>
        <v>2026</v>
      </c>
      <c r="AA849" t="b">
        <v>1</v>
      </c>
      <c r="AB849" t="b">
        <v>0</v>
      </c>
      <c r="AC849" t="s">
        <v>52</v>
      </c>
      <c r="AD849" t="s">
        <v>67</v>
      </c>
      <c r="AE849">
        <v>13</v>
      </c>
    </row>
    <row r="850" spans="1:31" x14ac:dyDescent="0.3">
      <c r="A850" t="s">
        <v>1766</v>
      </c>
      <c r="B850">
        <v>45</v>
      </c>
      <c r="C850" t="str" cm="1">
        <f t="array" ref="C850">_xlfn.IFS(B850&lt;=18,"0-18",B850&lt;=29,"19-29",B850&gt;=49,"30-49",B850&gt;=69,"50-69",TRUE,"70+")</f>
        <v>70+</v>
      </c>
      <c r="D850" t="s">
        <v>29</v>
      </c>
      <c r="E850" t="s">
        <v>30</v>
      </c>
      <c r="F850" t="s">
        <v>31</v>
      </c>
      <c r="G850" t="s">
        <v>56</v>
      </c>
      <c r="H850" t="s">
        <v>30</v>
      </c>
      <c r="I850" t="s">
        <v>1684</v>
      </c>
      <c r="J850" t="s">
        <v>104</v>
      </c>
      <c r="K850" s="2">
        <v>492.83</v>
      </c>
      <c r="L850">
        <v>5</v>
      </c>
      <c r="M850" t="s">
        <v>78</v>
      </c>
      <c r="N850">
        <v>2</v>
      </c>
      <c r="O850">
        <v>1</v>
      </c>
      <c r="P850">
        <v>0</v>
      </c>
      <c r="Q850" t="s">
        <v>44</v>
      </c>
      <c r="R850" t="s">
        <v>85</v>
      </c>
      <c r="S850">
        <v>0</v>
      </c>
      <c r="T850">
        <v>4</v>
      </c>
      <c r="U850" t="s">
        <v>44</v>
      </c>
      <c r="V850" t="s">
        <v>38</v>
      </c>
      <c r="W850" t="s">
        <v>61</v>
      </c>
      <c r="X850" s="3">
        <v>46142</v>
      </c>
      <c r="Y850" s="1" t="str">
        <f t="shared" si="26"/>
        <v>Apr</v>
      </c>
      <c r="Z850" s="1" t="str">
        <f t="shared" si="27"/>
        <v>2026</v>
      </c>
      <c r="AA850" t="b">
        <v>1</v>
      </c>
      <c r="AB850" t="b">
        <v>0</v>
      </c>
      <c r="AC850" t="s">
        <v>40</v>
      </c>
      <c r="AD850" t="s">
        <v>41</v>
      </c>
      <c r="AE850">
        <v>2</v>
      </c>
    </row>
    <row r="851" spans="1:31" x14ac:dyDescent="0.3">
      <c r="A851" t="s">
        <v>1767</v>
      </c>
      <c r="B851">
        <v>39</v>
      </c>
      <c r="C851" t="str" cm="1">
        <f t="array" ref="C851">_xlfn.IFS(B851&lt;=18,"0-18",B851&lt;=29,"19-29",B851&gt;=49,"30-49",B851&gt;=69,"50-69",TRUE,"70+")</f>
        <v>70+</v>
      </c>
      <c r="D851" t="s">
        <v>29</v>
      </c>
      <c r="E851" t="s">
        <v>30</v>
      </c>
      <c r="F851" t="s">
        <v>76</v>
      </c>
      <c r="G851" t="s">
        <v>45</v>
      </c>
      <c r="H851" t="s">
        <v>30</v>
      </c>
      <c r="I851" t="s">
        <v>1768</v>
      </c>
      <c r="J851" t="s">
        <v>158</v>
      </c>
      <c r="K851" s="2">
        <v>295.54000000000002</v>
      </c>
      <c r="L851">
        <v>8</v>
      </c>
      <c r="M851" t="s">
        <v>78</v>
      </c>
      <c r="N851">
        <v>3</v>
      </c>
      <c r="O851">
        <v>3</v>
      </c>
      <c r="P851">
        <v>1</v>
      </c>
      <c r="Q851" t="s">
        <v>36</v>
      </c>
      <c r="R851" t="s">
        <v>85</v>
      </c>
      <c r="S851">
        <v>2</v>
      </c>
      <c r="T851">
        <v>4</v>
      </c>
      <c r="U851" t="s">
        <v>59</v>
      </c>
      <c r="V851" t="s">
        <v>38</v>
      </c>
      <c r="W851" t="s">
        <v>86</v>
      </c>
      <c r="X851" s="3">
        <v>46143</v>
      </c>
      <c r="Y851" s="1" t="str">
        <f t="shared" si="26"/>
        <v>May</v>
      </c>
      <c r="Z851" s="1" t="str">
        <f t="shared" si="27"/>
        <v>2026</v>
      </c>
      <c r="AA851" t="b">
        <v>0</v>
      </c>
      <c r="AB851" t="b">
        <v>0</v>
      </c>
      <c r="AC851" t="s">
        <v>74</v>
      </c>
      <c r="AD851" t="s">
        <v>67</v>
      </c>
      <c r="AE851">
        <v>14</v>
      </c>
    </row>
    <row r="852" spans="1:31" x14ac:dyDescent="0.3">
      <c r="A852" t="s">
        <v>1769</v>
      </c>
      <c r="B852">
        <v>40</v>
      </c>
      <c r="C852" t="str" cm="1">
        <f t="array" ref="C852">_xlfn.IFS(B852&lt;=18,"0-18",B852&lt;=29,"19-29",B852&gt;=49,"30-49",B852&gt;=69,"50-69",TRUE,"70+")</f>
        <v>70+</v>
      </c>
      <c r="D852" t="s">
        <v>43</v>
      </c>
      <c r="E852" t="s">
        <v>44</v>
      </c>
      <c r="F852" t="s">
        <v>69</v>
      </c>
      <c r="G852" t="s">
        <v>45</v>
      </c>
      <c r="H852" t="s">
        <v>44</v>
      </c>
      <c r="I852" t="s">
        <v>1770</v>
      </c>
      <c r="J852" t="s">
        <v>71</v>
      </c>
      <c r="K852" s="2">
        <v>494.81</v>
      </c>
      <c r="L852">
        <v>9</v>
      </c>
      <c r="M852" t="s">
        <v>35</v>
      </c>
      <c r="N852">
        <v>2</v>
      </c>
      <c r="O852">
        <v>4</v>
      </c>
      <c r="P852">
        <v>1</v>
      </c>
      <c r="Q852" t="s">
        <v>49</v>
      </c>
      <c r="R852" t="s">
        <v>85</v>
      </c>
      <c r="S852">
        <v>1</v>
      </c>
      <c r="T852">
        <v>7</v>
      </c>
      <c r="U852" t="s">
        <v>49</v>
      </c>
      <c r="V852" t="s">
        <v>38</v>
      </c>
      <c r="W852" t="s">
        <v>51</v>
      </c>
      <c r="X852" s="3">
        <v>46144</v>
      </c>
      <c r="Y852" s="1" t="str">
        <f t="shared" si="26"/>
        <v>May</v>
      </c>
      <c r="Z852" s="1" t="str">
        <f t="shared" si="27"/>
        <v>2026</v>
      </c>
      <c r="AA852" t="b">
        <v>1</v>
      </c>
      <c r="AB852" t="b">
        <v>1</v>
      </c>
      <c r="AC852" t="s">
        <v>40</v>
      </c>
      <c r="AD852" t="s">
        <v>53</v>
      </c>
      <c r="AE852">
        <v>6</v>
      </c>
    </row>
    <row r="853" spans="1:31" x14ac:dyDescent="0.3">
      <c r="A853" t="s">
        <v>1771</v>
      </c>
      <c r="B853">
        <v>21</v>
      </c>
      <c r="C853" t="str" cm="1">
        <f t="array" ref="C853">_xlfn.IFS(B853&lt;=18,"0-18",B853&lt;=29,"19-29",B853&gt;=49,"30-49",B853&gt;=69,"50-69",TRUE,"70+")</f>
        <v>19-29</v>
      </c>
      <c r="D853" t="s">
        <v>29</v>
      </c>
      <c r="E853" t="s">
        <v>44</v>
      </c>
      <c r="F853" t="s">
        <v>55</v>
      </c>
      <c r="G853" t="s">
        <v>56</v>
      </c>
      <c r="H853" t="s">
        <v>30</v>
      </c>
      <c r="I853" t="s">
        <v>1772</v>
      </c>
      <c r="J853" t="s">
        <v>93</v>
      </c>
      <c r="K853" s="2">
        <v>160.25</v>
      </c>
      <c r="L853">
        <v>7</v>
      </c>
      <c r="M853" t="s">
        <v>78</v>
      </c>
      <c r="N853">
        <v>2</v>
      </c>
      <c r="O853">
        <v>3</v>
      </c>
      <c r="P853">
        <v>2</v>
      </c>
      <c r="Q853" t="s">
        <v>36</v>
      </c>
      <c r="R853" t="s">
        <v>85</v>
      </c>
      <c r="S853">
        <v>2</v>
      </c>
      <c r="T853">
        <v>5</v>
      </c>
      <c r="U853" t="s">
        <v>44</v>
      </c>
      <c r="V853" t="s">
        <v>79</v>
      </c>
      <c r="W853" t="s">
        <v>51</v>
      </c>
      <c r="X853" s="3">
        <v>46145</v>
      </c>
      <c r="Y853" s="1" t="str">
        <f t="shared" si="26"/>
        <v>May</v>
      </c>
      <c r="Z853" s="1" t="str">
        <f t="shared" si="27"/>
        <v>2026</v>
      </c>
      <c r="AA853" t="b">
        <v>1</v>
      </c>
      <c r="AB853" t="b">
        <v>1</v>
      </c>
      <c r="AC853" t="s">
        <v>40</v>
      </c>
      <c r="AD853" t="s">
        <v>41</v>
      </c>
      <c r="AE853">
        <v>12</v>
      </c>
    </row>
    <row r="854" spans="1:31" x14ac:dyDescent="0.3">
      <c r="A854" t="s">
        <v>1773</v>
      </c>
      <c r="B854">
        <v>42</v>
      </c>
      <c r="C854" t="str" cm="1">
        <f t="array" ref="C854">_xlfn.IFS(B854&lt;=18,"0-18",B854&lt;=29,"19-29",B854&gt;=49,"30-49",B854&gt;=69,"50-69",TRUE,"70+")</f>
        <v>70+</v>
      </c>
      <c r="D854" t="s">
        <v>29</v>
      </c>
      <c r="E854" t="s">
        <v>30</v>
      </c>
      <c r="F854" t="s">
        <v>31</v>
      </c>
      <c r="G854" t="s">
        <v>56</v>
      </c>
      <c r="H854" t="s">
        <v>44</v>
      </c>
      <c r="I854" t="s">
        <v>1774</v>
      </c>
      <c r="J854" t="s">
        <v>34</v>
      </c>
      <c r="K854" s="2">
        <v>198.36</v>
      </c>
      <c r="L854">
        <v>4</v>
      </c>
      <c r="M854" t="s">
        <v>78</v>
      </c>
      <c r="N854">
        <v>1</v>
      </c>
      <c r="O854">
        <v>1</v>
      </c>
      <c r="P854">
        <v>2</v>
      </c>
      <c r="Q854" t="s">
        <v>36</v>
      </c>
      <c r="R854" t="s">
        <v>37</v>
      </c>
      <c r="S854">
        <v>1</v>
      </c>
      <c r="T854">
        <v>9</v>
      </c>
      <c r="U854" t="s">
        <v>36</v>
      </c>
      <c r="V854" t="s">
        <v>79</v>
      </c>
      <c r="W854" t="s">
        <v>86</v>
      </c>
      <c r="X854" s="3">
        <v>46146</v>
      </c>
      <c r="Y854" s="1" t="str">
        <f t="shared" si="26"/>
        <v>May</v>
      </c>
      <c r="Z854" s="1" t="str">
        <f t="shared" si="27"/>
        <v>2026</v>
      </c>
      <c r="AA854" t="b">
        <v>0</v>
      </c>
      <c r="AB854" t="b">
        <v>1</v>
      </c>
      <c r="AC854" t="s">
        <v>52</v>
      </c>
      <c r="AD854" t="s">
        <v>53</v>
      </c>
      <c r="AE854">
        <v>4</v>
      </c>
    </row>
    <row r="855" spans="1:31" x14ac:dyDescent="0.3">
      <c r="A855" t="s">
        <v>1775</v>
      </c>
      <c r="B855">
        <v>44</v>
      </c>
      <c r="C855" t="str" cm="1">
        <f t="array" ref="C855">_xlfn.IFS(B855&lt;=18,"0-18",B855&lt;=29,"19-29",B855&gt;=49,"30-49",B855&gt;=69,"50-69",TRUE,"70+")</f>
        <v>70+</v>
      </c>
      <c r="D855" t="s">
        <v>29</v>
      </c>
      <c r="E855" t="s">
        <v>30</v>
      </c>
      <c r="F855" t="s">
        <v>76</v>
      </c>
      <c r="G855" t="s">
        <v>32</v>
      </c>
      <c r="H855" t="s">
        <v>44</v>
      </c>
      <c r="I855" t="s">
        <v>1776</v>
      </c>
      <c r="J855" t="s">
        <v>71</v>
      </c>
      <c r="K855" s="2">
        <v>82.39</v>
      </c>
      <c r="L855">
        <v>12</v>
      </c>
      <c r="M855" t="s">
        <v>48</v>
      </c>
      <c r="N855">
        <v>5</v>
      </c>
      <c r="O855">
        <v>1</v>
      </c>
      <c r="P855">
        <v>1</v>
      </c>
      <c r="Q855" t="s">
        <v>36</v>
      </c>
      <c r="R855" t="s">
        <v>37</v>
      </c>
      <c r="S855">
        <v>0</v>
      </c>
      <c r="T855">
        <v>8</v>
      </c>
      <c r="U855" t="s">
        <v>36</v>
      </c>
      <c r="V855" t="s">
        <v>60</v>
      </c>
      <c r="W855" t="s">
        <v>66</v>
      </c>
      <c r="X855" s="3">
        <v>46147</v>
      </c>
      <c r="Y855" s="1" t="str">
        <f t="shared" si="26"/>
        <v>May</v>
      </c>
      <c r="Z855" s="1" t="str">
        <f t="shared" si="27"/>
        <v>2026</v>
      </c>
      <c r="AA855" t="b">
        <v>0</v>
      </c>
      <c r="AB855" t="b">
        <v>0</v>
      </c>
      <c r="AC855" t="s">
        <v>74</v>
      </c>
      <c r="AD855" t="s">
        <v>67</v>
      </c>
      <c r="AE855">
        <v>1</v>
      </c>
    </row>
    <row r="856" spans="1:31" x14ac:dyDescent="0.3">
      <c r="A856" t="s">
        <v>1777</v>
      </c>
      <c r="B856">
        <v>46</v>
      </c>
      <c r="C856" t="str" cm="1">
        <f t="array" ref="C856">_xlfn.IFS(B856&lt;=18,"0-18",B856&lt;=29,"19-29",B856&gt;=49,"30-49",B856&gt;=69,"50-69",TRUE,"70+")</f>
        <v>70+</v>
      </c>
      <c r="D856" t="s">
        <v>29</v>
      </c>
      <c r="E856" t="s">
        <v>30</v>
      </c>
      <c r="F856" t="s">
        <v>31</v>
      </c>
      <c r="G856" t="s">
        <v>56</v>
      </c>
      <c r="H856" t="s">
        <v>44</v>
      </c>
      <c r="I856" t="s">
        <v>1778</v>
      </c>
      <c r="J856" t="s">
        <v>107</v>
      </c>
      <c r="K856" s="2">
        <v>290.56</v>
      </c>
      <c r="L856">
        <v>3</v>
      </c>
      <c r="M856" t="s">
        <v>48</v>
      </c>
      <c r="N856">
        <v>5</v>
      </c>
      <c r="O856">
        <v>1</v>
      </c>
      <c r="P856">
        <v>2</v>
      </c>
      <c r="Q856" t="s">
        <v>36</v>
      </c>
      <c r="R856" t="s">
        <v>37</v>
      </c>
      <c r="S856">
        <v>1</v>
      </c>
      <c r="T856">
        <v>1</v>
      </c>
      <c r="U856" t="s">
        <v>36</v>
      </c>
      <c r="V856" t="s">
        <v>79</v>
      </c>
      <c r="W856" t="s">
        <v>51</v>
      </c>
      <c r="X856" s="3">
        <v>46148</v>
      </c>
      <c r="Y856" s="1" t="str">
        <f t="shared" si="26"/>
        <v>May</v>
      </c>
      <c r="Z856" s="1" t="str">
        <f t="shared" si="27"/>
        <v>2026</v>
      </c>
      <c r="AA856" t="b">
        <v>1</v>
      </c>
      <c r="AB856" t="b">
        <v>0</v>
      </c>
      <c r="AC856" t="s">
        <v>52</v>
      </c>
      <c r="AD856" t="s">
        <v>41</v>
      </c>
      <c r="AE856">
        <v>4</v>
      </c>
    </row>
    <row r="857" spans="1:31" x14ac:dyDescent="0.3">
      <c r="A857" t="s">
        <v>1779</v>
      </c>
      <c r="B857">
        <v>29</v>
      </c>
      <c r="C857" t="str" cm="1">
        <f t="array" ref="C857">_xlfn.IFS(B857&lt;=18,"0-18",B857&lt;=29,"19-29",B857&gt;=49,"30-49",B857&gt;=69,"50-69",TRUE,"70+")</f>
        <v>19-29</v>
      </c>
      <c r="D857" t="s">
        <v>43</v>
      </c>
      <c r="E857" t="s">
        <v>44</v>
      </c>
      <c r="F857" t="s">
        <v>76</v>
      </c>
      <c r="G857" t="s">
        <v>56</v>
      </c>
      <c r="H857" t="s">
        <v>44</v>
      </c>
      <c r="I857" t="s">
        <v>1780</v>
      </c>
      <c r="J857" t="s">
        <v>101</v>
      </c>
      <c r="K857" s="2">
        <v>206.79</v>
      </c>
      <c r="L857">
        <v>5</v>
      </c>
      <c r="M857" t="s">
        <v>48</v>
      </c>
      <c r="N857">
        <v>1</v>
      </c>
      <c r="O857">
        <v>3</v>
      </c>
      <c r="P857">
        <v>2</v>
      </c>
      <c r="Q857" t="s">
        <v>44</v>
      </c>
      <c r="R857" t="s">
        <v>85</v>
      </c>
      <c r="S857">
        <v>1</v>
      </c>
      <c r="T857">
        <v>2</v>
      </c>
      <c r="U857" t="s">
        <v>59</v>
      </c>
      <c r="V857" t="s">
        <v>38</v>
      </c>
      <c r="W857" t="s">
        <v>39</v>
      </c>
      <c r="X857" s="3">
        <v>46149</v>
      </c>
      <c r="Y857" s="1" t="str">
        <f t="shared" si="26"/>
        <v>May</v>
      </c>
      <c r="Z857" s="1" t="str">
        <f t="shared" si="27"/>
        <v>2026</v>
      </c>
      <c r="AA857" t="b">
        <v>0</v>
      </c>
      <c r="AB857" t="b">
        <v>0</v>
      </c>
      <c r="AC857" t="s">
        <v>74</v>
      </c>
      <c r="AD857" t="s">
        <v>53</v>
      </c>
      <c r="AE857">
        <v>4</v>
      </c>
    </row>
    <row r="858" spans="1:31" x14ac:dyDescent="0.3">
      <c r="A858" t="s">
        <v>1781</v>
      </c>
      <c r="B858">
        <v>19</v>
      </c>
      <c r="C858" t="str" cm="1">
        <f t="array" ref="C858">_xlfn.IFS(B858&lt;=18,"0-18",B858&lt;=29,"19-29",B858&gt;=49,"30-49",B858&gt;=69,"50-69",TRUE,"70+")</f>
        <v>19-29</v>
      </c>
      <c r="D858" t="s">
        <v>29</v>
      </c>
      <c r="E858" t="s">
        <v>30</v>
      </c>
      <c r="F858" t="s">
        <v>31</v>
      </c>
      <c r="G858" t="s">
        <v>45</v>
      </c>
      <c r="H858" t="s">
        <v>44</v>
      </c>
      <c r="I858" t="s">
        <v>1782</v>
      </c>
      <c r="J858" t="s">
        <v>123</v>
      </c>
      <c r="K858" s="2">
        <v>401.43</v>
      </c>
      <c r="L858">
        <v>8</v>
      </c>
      <c r="M858" t="s">
        <v>35</v>
      </c>
      <c r="N858">
        <v>4</v>
      </c>
      <c r="O858">
        <v>2</v>
      </c>
      <c r="P858">
        <v>0</v>
      </c>
      <c r="Q858" t="s">
        <v>36</v>
      </c>
      <c r="R858" t="s">
        <v>50</v>
      </c>
      <c r="S858">
        <v>0</v>
      </c>
      <c r="T858">
        <v>6</v>
      </c>
      <c r="U858" t="s">
        <v>44</v>
      </c>
      <c r="V858" t="s">
        <v>38</v>
      </c>
      <c r="W858" t="s">
        <v>66</v>
      </c>
      <c r="X858" s="3">
        <v>46150</v>
      </c>
      <c r="Y858" s="1" t="str">
        <f t="shared" si="26"/>
        <v>May</v>
      </c>
      <c r="Z858" s="1" t="str">
        <f t="shared" si="27"/>
        <v>2026</v>
      </c>
      <c r="AA858" t="b">
        <v>1</v>
      </c>
      <c r="AB858" t="b">
        <v>1</v>
      </c>
      <c r="AC858" t="s">
        <v>40</v>
      </c>
      <c r="AD858" t="s">
        <v>41</v>
      </c>
      <c r="AE858">
        <v>5</v>
      </c>
    </row>
    <row r="859" spans="1:31" x14ac:dyDescent="0.3">
      <c r="A859" t="s">
        <v>1783</v>
      </c>
      <c r="B859">
        <v>21</v>
      </c>
      <c r="C859" t="str" cm="1">
        <f t="array" ref="C859">_xlfn.IFS(B859&lt;=18,"0-18",B859&lt;=29,"19-29",B859&gt;=49,"30-49",B859&gt;=69,"50-69",TRUE,"70+")</f>
        <v>19-29</v>
      </c>
      <c r="D859" t="s">
        <v>43</v>
      </c>
      <c r="E859" t="s">
        <v>44</v>
      </c>
      <c r="F859" t="s">
        <v>69</v>
      </c>
      <c r="G859" t="s">
        <v>56</v>
      </c>
      <c r="H859" t="s">
        <v>44</v>
      </c>
      <c r="I859" t="s">
        <v>1784</v>
      </c>
      <c r="J859" t="s">
        <v>90</v>
      </c>
      <c r="K859" s="2">
        <v>188.17</v>
      </c>
      <c r="L859">
        <v>9</v>
      </c>
      <c r="M859" t="s">
        <v>78</v>
      </c>
      <c r="N859">
        <v>5</v>
      </c>
      <c r="O859">
        <v>5</v>
      </c>
      <c r="P859">
        <v>0</v>
      </c>
      <c r="Q859" t="s">
        <v>49</v>
      </c>
      <c r="R859" t="s">
        <v>50</v>
      </c>
      <c r="S859">
        <v>1</v>
      </c>
      <c r="T859">
        <v>5</v>
      </c>
      <c r="U859" t="s">
        <v>59</v>
      </c>
      <c r="V859" t="s">
        <v>79</v>
      </c>
      <c r="W859" t="s">
        <v>61</v>
      </c>
      <c r="X859" s="3">
        <v>46151</v>
      </c>
      <c r="Y859" s="1" t="str">
        <f t="shared" si="26"/>
        <v>May</v>
      </c>
      <c r="Z859" s="1" t="str">
        <f t="shared" si="27"/>
        <v>2026</v>
      </c>
      <c r="AA859" t="b">
        <v>1</v>
      </c>
      <c r="AB859" t="b">
        <v>0</v>
      </c>
      <c r="AC859" t="s">
        <v>40</v>
      </c>
      <c r="AD859" t="s">
        <v>53</v>
      </c>
      <c r="AE859">
        <v>9</v>
      </c>
    </row>
    <row r="860" spans="1:31" x14ac:dyDescent="0.3">
      <c r="A860" t="s">
        <v>1785</v>
      </c>
      <c r="B860">
        <v>38</v>
      </c>
      <c r="C860" t="str" cm="1">
        <f t="array" ref="C860">_xlfn.IFS(B860&lt;=18,"0-18",B860&lt;=29,"19-29",B860&gt;=49,"30-49",B860&gt;=69,"50-69",TRUE,"70+")</f>
        <v>70+</v>
      </c>
      <c r="D860" t="s">
        <v>29</v>
      </c>
      <c r="E860" t="s">
        <v>44</v>
      </c>
      <c r="F860" t="s">
        <v>55</v>
      </c>
      <c r="G860" t="s">
        <v>45</v>
      </c>
      <c r="H860" t="s">
        <v>44</v>
      </c>
      <c r="I860" t="s">
        <v>1786</v>
      </c>
      <c r="J860" t="s">
        <v>34</v>
      </c>
      <c r="K860" s="2">
        <v>83.21</v>
      </c>
      <c r="L860">
        <v>10</v>
      </c>
      <c r="M860" t="s">
        <v>78</v>
      </c>
      <c r="N860">
        <v>4</v>
      </c>
      <c r="O860">
        <v>3</v>
      </c>
      <c r="P860">
        <v>2</v>
      </c>
      <c r="Q860" t="s">
        <v>59</v>
      </c>
      <c r="R860" t="s">
        <v>37</v>
      </c>
      <c r="S860">
        <v>0</v>
      </c>
      <c r="T860">
        <v>4</v>
      </c>
      <c r="U860" t="s">
        <v>44</v>
      </c>
      <c r="V860" t="s">
        <v>79</v>
      </c>
      <c r="W860" t="s">
        <v>66</v>
      </c>
      <c r="X860" s="3">
        <v>46152</v>
      </c>
      <c r="Y860" s="1" t="str">
        <f t="shared" si="26"/>
        <v>May</v>
      </c>
      <c r="Z860" s="1" t="str">
        <f t="shared" si="27"/>
        <v>2026</v>
      </c>
      <c r="AA860" t="b">
        <v>0</v>
      </c>
      <c r="AB860" t="b">
        <v>0</v>
      </c>
      <c r="AC860" t="s">
        <v>62</v>
      </c>
      <c r="AD860" t="s">
        <v>53</v>
      </c>
      <c r="AE860">
        <v>7</v>
      </c>
    </row>
    <row r="861" spans="1:31" x14ac:dyDescent="0.3">
      <c r="A861" t="s">
        <v>1787</v>
      </c>
      <c r="B861">
        <v>41</v>
      </c>
      <c r="C861" t="str" cm="1">
        <f t="array" ref="C861">_xlfn.IFS(B861&lt;=18,"0-18",B861&lt;=29,"19-29",B861&gt;=49,"30-49",B861&gt;=69,"50-69",TRUE,"70+")</f>
        <v>70+</v>
      </c>
      <c r="D861" t="s">
        <v>88</v>
      </c>
      <c r="E861" t="s">
        <v>30</v>
      </c>
      <c r="F861" t="s">
        <v>76</v>
      </c>
      <c r="G861" t="s">
        <v>56</v>
      </c>
      <c r="H861" t="s">
        <v>30</v>
      </c>
      <c r="I861" t="s">
        <v>1788</v>
      </c>
      <c r="J861" t="s">
        <v>34</v>
      </c>
      <c r="K861" s="2">
        <v>54.74</v>
      </c>
      <c r="L861">
        <v>4</v>
      </c>
      <c r="M861" t="s">
        <v>48</v>
      </c>
      <c r="N861">
        <v>1</v>
      </c>
      <c r="O861">
        <v>2</v>
      </c>
      <c r="P861">
        <v>0</v>
      </c>
      <c r="Q861" t="s">
        <v>36</v>
      </c>
      <c r="R861" t="s">
        <v>37</v>
      </c>
      <c r="S861">
        <v>0</v>
      </c>
      <c r="T861">
        <v>4</v>
      </c>
      <c r="U861" t="s">
        <v>59</v>
      </c>
      <c r="V861" t="s">
        <v>60</v>
      </c>
      <c r="W861" t="s">
        <v>51</v>
      </c>
      <c r="X861" s="3">
        <v>46153</v>
      </c>
      <c r="Y861" s="1" t="str">
        <f t="shared" si="26"/>
        <v>May</v>
      </c>
      <c r="Z861" s="1" t="str">
        <f t="shared" si="27"/>
        <v>2026</v>
      </c>
      <c r="AA861" t="b">
        <v>1</v>
      </c>
      <c r="AB861" t="b">
        <v>1</v>
      </c>
      <c r="AC861" t="s">
        <v>62</v>
      </c>
      <c r="AD861" t="s">
        <v>41</v>
      </c>
      <c r="AE861">
        <v>14</v>
      </c>
    </row>
    <row r="862" spans="1:31" x14ac:dyDescent="0.3">
      <c r="A862" t="s">
        <v>1789</v>
      </c>
      <c r="B862">
        <v>49</v>
      </c>
      <c r="C862" t="str" cm="1">
        <f t="array" ref="C862">_xlfn.IFS(B862&lt;=18,"0-18",B862&lt;=29,"19-29",B862&gt;=49,"30-49",B862&gt;=69,"50-69",TRUE,"70+")</f>
        <v>30-49</v>
      </c>
      <c r="D862" t="s">
        <v>29</v>
      </c>
      <c r="E862" t="s">
        <v>44</v>
      </c>
      <c r="F862" t="s">
        <v>76</v>
      </c>
      <c r="G862" t="s">
        <v>56</v>
      </c>
      <c r="H862" t="s">
        <v>44</v>
      </c>
      <c r="I862" t="s">
        <v>1790</v>
      </c>
      <c r="J862" t="s">
        <v>58</v>
      </c>
      <c r="K862" s="2">
        <v>371.12</v>
      </c>
      <c r="L862">
        <v>8</v>
      </c>
      <c r="M862" t="s">
        <v>78</v>
      </c>
      <c r="N862">
        <v>5</v>
      </c>
      <c r="O862">
        <v>1</v>
      </c>
      <c r="P862">
        <v>2</v>
      </c>
      <c r="Q862" t="s">
        <v>44</v>
      </c>
      <c r="R862" t="s">
        <v>37</v>
      </c>
      <c r="S862">
        <v>1</v>
      </c>
      <c r="T862">
        <v>7</v>
      </c>
      <c r="U862" t="s">
        <v>59</v>
      </c>
      <c r="V862" t="s">
        <v>60</v>
      </c>
      <c r="W862" t="s">
        <v>51</v>
      </c>
      <c r="X862" s="3">
        <v>46154</v>
      </c>
      <c r="Y862" s="1" t="str">
        <f t="shared" si="26"/>
        <v>May</v>
      </c>
      <c r="Z862" s="1" t="str">
        <f t="shared" si="27"/>
        <v>2026</v>
      </c>
      <c r="AA862" t="b">
        <v>0</v>
      </c>
      <c r="AB862" t="b">
        <v>1</v>
      </c>
      <c r="AC862" t="s">
        <v>52</v>
      </c>
      <c r="AD862" t="s">
        <v>41</v>
      </c>
      <c r="AE862">
        <v>8</v>
      </c>
    </row>
    <row r="863" spans="1:31" x14ac:dyDescent="0.3">
      <c r="A863" t="s">
        <v>1791</v>
      </c>
      <c r="B863">
        <v>32</v>
      </c>
      <c r="C863" t="str" cm="1">
        <f t="array" ref="C863">_xlfn.IFS(B863&lt;=18,"0-18",B863&lt;=29,"19-29",B863&gt;=49,"30-49",B863&gt;=69,"50-69",TRUE,"70+")</f>
        <v>70+</v>
      </c>
      <c r="D863" t="s">
        <v>148</v>
      </c>
      <c r="E863" t="s">
        <v>30</v>
      </c>
      <c r="F863" t="s">
        <v>55</v>
      </c>
      <c r="G863" t="s">
        <v>45</v>
      </c>
      <c r="H863" t="s">
        <v>30</v>
      </c>
      <c r="I863" t="s">
        <v>1792</v>
      </c>
      <c r="J863" t="s">
        <v>114</v>
      </c>
      <c r="K863" s="2">
        <v>293.64</v>
      </c>
      <c r="L863">
        <v>3</v>
      </c>
      <c r="M863" t="s">
        <v>48</v>
      </c>
      <c r="N863">
        <v>2</v>
      </c>
      <c r="O863">
        <v>1</v>
      </c>
      <c r="P863">
        <v>2</v>
      </c>
      <c r="Q863" t="s">
        <v>59</v>
      </c>
      <c r="R863" t="s">
        <v>50</v>
      </c>
      <c r="S863">
        <v>2</v>
      </c>
      <c r="T863">
        <v>8</v>
      </c>
      <c r="U863" t="s">
        <v>36</v>
      </c>
      <c r="V863" t="s">
        <v>38</v>
      </c>
      <c r="W863" t="s">
        <v>39</v>
      </c>
      <c r="X863" s="3">
        <v>46155</v>
      </c>
      <c r="Y863" s="1" t="str">
        <f t="shared" si="26"/>
        <v>May</v>
      </c>
      <c r="Z863" s="1" t="str">
        <f t="shared" si="27"/>
        <v>2026</v>
      </c>
      <c r="AA863" t="b">
        <v>1</v>
      </c>
      <c r="AB863" t="b">
        <v>0</v>
      </c>
      <c r="AC863" t="s">
        <v>62</v>
      </c>
      <c r="AD863" t="s">
        <v>67</v>
      </c>
      <c r="AE863">
        <v>5</v>
      </c>
    </row>
    <row r="864" spans="1:31" x14ac:dyDescent="0.3">
      <c r="A864" t="s">
        <v>1793</v>
      </c>
      <c r="B864">
        <v>24</v>
      </c>
      <c r="C864" t="str" cm="1">
        <f t="array" ref="C864">_xlfn.IFS(B864&lt;=18,"0-18",B864&lt;=29,"19-29",B864&gt;=49,"30-49",B864&gt;=69,"50-69",TRUE,"70+")</f>
        <v>19-29</v>
      </c>
      <c r="D864" t="s">
        <v>43</v>
      </c>
      <c r="E864" t="s">
        <v>44</v>
      </c>
      <c r="F864" t="s">
        <v>31</v>
      </c>
      <c r="G864" t="s">
        <v>45</v>
      </c>
      <c r="H864" t="s">
        <v>44</v>
      </c>
      <c r="I864" t="s">
        <v>1794</v>
      </c>
      <c r="J864" t="s">
        <v>82</v>
      </c>
      <c r="K864" s="2">
        <v>185.83</v>
      </c>
      <c r="L864">
        <v>11</v>
      </c>
      <c r="M864" t="s">
        <v>48</v>
      </c>
      <c r="N864">
        <v>4</v>
      </c>
      <c r="O864">
        <v>2</v>
      </c>
      <c r="P864">
        <v>2</v>
      </c>
      <c r="Q864" t="s">
        <v>59</v>
      </c>
      <c r="R864" t="s">
        <v>50</v>
      </c>
      <c r="S864">
        <v>2</v>
      </c>
      <c r="T864">
        <v>9</v>
      </c>
      <c r="U864" t="s">
        <v>49</v>
      </c>
      <c r="V864" t="s">
        <v>79</v>
      </c>
      <c r="W864" t="s">
        <v>66</v>
      </c>
      <c r="X864" s="3">
        <v>46156</v>
      </c>
      <c r="Y864" s="1" t="str">
        <f t="shared" si="26"/>
        <v>May</v>
      </c>
      <c r="Z864" s="1" t="str">
        <f t="shared" si="27"/>
        <v>2026</v>
      </c>
      <c r="AA864" t="b">
        <v>0</v>
      </c>
      <c r="AB864" t="b">
        <v>1</v>
      </c>
      <c r="AC864" t="s">
        <v>62</v>
      </c>
      <c r="AD864" t="s">
        <v>53</v>
      </c>
      <c r="AE864">
        <v>1</v>
      </c>
    </row>
    <row r="865" spans="1:31" x14ac:dyDescent="0.3">
      <c r="A865" t="s">
        <v>1795</v>
      </c>
      <c r="B865">
        <v>27</v>
      </c>
      <c r="C865" t="str" cm="1">
        <f t="array" ref="C865">_xlfn.IFS(B865&lt;=18,"0-18",B865&lt;=29,"19-29",B865&gt;=49,"30-49",B865&gt;=69,"50-69",TRUE,"70+")</f>
        <v>19-29</v>
      </c>
      <c r="D865" t="s">
        <v>43</v>
      </c>
      <c r="E865" t="s">
        <v>44</v>
      </c>
      <c r="F865" t="s">
        <v>76</v>
      </c>
      <c r="G865" t="s">
        <v>56</v>
      </c>
      <c r="H865" t="s">
        <v>30</v>
      </c>
      <c r="I865" t="s">
        <v>1796</v>
      </c>
      <c r="J865" t="s">
        <v>58</v>
      </c>
      <c r="K865" s="2">
        <v>117.13</v>
      </c>
      <c r="L865">
        <v>7</v>
      </c>
      <c r="M865" t="s">
        <v>35</v>
      </c>
      <c r="N865">
        <v>1</v>
      </c>
      <c r="O865">
        <v>1</v>
      </c>
      <c r="P865">
        <v>2</v>
      </c>
      <c r="Q865" t="s">
        <v>44</v>
      </c>
      <c r="R865" t="s">
        <v>37</v>
      </c>
      <c r="S865">
        <v>1</v>
      </c>
      <c r="T865">
        <v>10</v>
      </c>
      <c r="U865" t="s">
        <v>44</v>
      </c>
      <c r="V865" t="s">
        <v>60</v>
      </c>
      <c r="W865" t="s">
        <v>39</v>
      </c>
      <c r="X865" s="3">
        <v>46157</v>
      </c>
      <c r="Y865" s="1" t="str">
        <f t="shared" si="26"/>
        <v>May</v>
      </c>
      <c r="Z865" s="1" t="str">
        <f t="shared" si="27"/>
        <v>2026</v>
      </c>
      <c r="AA865" t="b">
        <v>1</v>
      </c>
      <c r="AB865" t="b">
        <v>1</v>
      </c>
      <c r="AC865" t="s">
        <v>74</v>
      </c>
      <c r="AD865" t="s">
        <v>67</v>
      </c>
      <c r="AE865">
        <v>6</v>
      </c>
    </row>
    <row r="866" spans="1:31" x14ac:dyDescent="0.3">
      <c r="A866" t="s">
        <v>1797</v>
      </c>
      <c r="B866">
        <v>44</v>
      </c>
      <c r="C866" t="str" cm="1">
        <f t="array" ref="C866">_xlfn.IFS(B866&lt;=18,"0-18",B866&lt;=29,"19-29",B866&gt;=49,"30-49",B866&gt;=69,"50-69",TRUE,"70+")</f>
        <v>70+</v>
      </c>
      <c r="D866" t="s">
        <v>29</v>
      </c>
      <c r="E866" t="s">
        <v>30</v>
      </c>
      <c r="F866" t="s">
        <v>31</v>
      </c>
      <c r="G866" t="s">
        <v>56</v>
      </c>
      <c r="H866" t="s">
        <v>44</v>
      </c>
      <c r="I866" t="s">
        <v>1798</v>
      </c>
      <c r="J866" t="s">
        <v>58</v>
      </c>
      <c r="K866" s="2">
        <v>52.24</v>
      </c>
      <c r="L866">
        <v>11</v>
      </c>
      <c r="M866" t="s">
        <v>48</v>
      </c>
      <c r="N866">
        <v>3</v>
      </c>
      <c r="O866">
        <v>1</v>
      </c>
      <c r="P866">
        <v>0</v>
      </c>
      <c r="Q866" t="s">
        <v>59</v>
      </c>
      <c r="R866" t="s">
        <v>50</v>
      </c>
      <c r="S866">
        <v>2</v>
      </c>
      <c r="T866">
        <v>4</v>
      </c>
      <c r="U866" t="s">
        <v>44</v>
      </c>
      <c r="V866" t="s">
        <v>60</v>
      </c>
      <c r="W866" t="s">
        <v>39</v>
      </c>
      <c r="X866" s="3">
        <v>46158</v>
      </c>
      <c r="Y866" s="1" t="str">
        <f t="shared" si="26"/>
        <v>May</v>
      </c>
      <c r="Z866" s="1" t="str">
        <f t="shared" si="27"/>
        <v>2026</v>
      </c>
      <c r="AA866" t="b">
        <v>1</v>
      </c>
      <c r="AB866" t="b">
        <v>1</v>
      </c>
      <c r="AC866" t="s">
        <v>62</v>
      </c>
      <c r="AD866" t="s">
        <v>53</v>
      </c>
      <c r="AE866">
        <v>8</v>
      </c>
    </row>
    <row r="867" spans="1:31" x14ac:dyDescent="0.3">
      <c r="A867" t="s">
        <v>1799</v>
      </c>
      <c r="B867">
        <v>28</v>
      </c>
      <c r="C867" t="str" cm="1">
        <f t="array" ref="C867">_xlfn.IFS(B867&lt;=18,"0-18",B867&lt;=29,"19-29",B867&gt;=49,"30-49",B867&gt;=69,"50-69",TRUE,"70+")</f>
        <v>19-29</v>
      </c>
      <c r="D867" t="s">
        <v>29</v>
      </c>
      <c r="E867" t="s">
        <v>44</v>
      </c>
      <c r="F867" t="s">
        <v>31</v>
      </c>
      <c r="G867" t="s">
        <v>32</v>
      </c>
      <c r="H867" t="s">
        <v>44</v>
      </c>
      <c r="I867" t="s">
        <v>1800</v>
      </c>
      <c r="J867" t="s">
        <v>123</v>
      </c>
      <c r="K867" s="2">
        <v>446.69</v>
      </c>
      <c r="L867">
        <v>7</v>
      </c>
      <c r="M867" t="s">
        <v>48</v>
      </c>
      <c r="N867">
        <v>4</v>
      </c>
      <c r="O867">
        <v>5</v>
      </c>
      <c r="P867">
        <v>2</v>
      </c>
      <c r="Q867" t="s">
        <v>49</v>
      </c>
      <c r="R867" t="s">
        <v>37</v>
      </c>
      <c r="S867">
        <v>1</v>
      </c>
      <c r="T867">
        <v>5</v>
      </c>
      <c r="U867" t="s">
        <v>44</v>
      </c>
      <c r="V867" t="s">
        <v>60</v>
      </c>
      <c r="W867" t="s">
        <v>86</v>
      </c>
      <c r="X867" s="3">
        <v>46159</v>
      </c>
      <c r="Y867" s="1" t="str">
        <f t="shared" si="26"/>
        <v>May</v>
      </c>
      <c r="Z867" s="1" t="str">
        <f t="shared" si="27"/>
        <v>2026</v>
      </c>
      <c r="AA867" t="b">
        <v>0</v>
      </c>
      <c r="AB867" t="b">
        <v>1</v>
      </c>
      <c r="AC867" t="s">
        <v>74</v>
      </c>
      <c r="AD867" t="s">
        <v>41</v>
      </c>
      <c r="AE867">
        <v>13</v>
      </c>
    </row>
    <row r="868" spans="1:31" x14ac:dyDescent="0.3">
      <c r="A868" t="s">
        <v>1801</v>
      </c>
      <c r="B868">
        <v>23</v>
      </c>
      <c r="C868" t="str" cm="1">
        <f t="array" ref="C868">_xlfn.IFS(B868&lt;=18,"0-18",B868&lt;=29,"19-29",B868&gt;=49,"30-49",B868&gt;=69,"50-69",TRUE,"70+")</f>
        <v>19-29</v>
      </c>
      <c r="D868" t="s">
        <v>43</v>
      </c>
      <c r="E868" t="s">
        <v>30</v>
      </c>
      <c r="F868" t="s">
        <v>31</v>
      </c>
      <c r="G868" t="s">
        <v>45</v>
      </c>
      <c r="H868" t="s">
        <v>30</v>
      </c>
      <c r="I868" t="s">
        <v>1802</v>
      </c>
      <c r="J868" t="s">
        <v>114</v>
      </c>
      <c r="K868" s="2">
        <v>216.84</v>
      </c>
      <c r="L868">
        <v>5</v>
      </c>
      <c r="M868" t="s">
        <v>48</v>
      </c>
      <c r="N868">
        <v>4</v>
      </c>
      <c r="O868">
        <v>3</v>
      </c>
      <c r="P868">
        <v>1</v>
      </c>
      <c r="Q868" t="s">
        <v>59</v>
      </c>
      <c r="R868" t="s">
        <v>37</v>
      </c>
      <c r="S868">
        <v>1</v>
      </c>
      <c r="T868">
        <v>1</v>
      </c>
      <c r="U868" t="s">
        <v>59</v>
      </c>
      <c r="V868" t="s">
        <v>38</v>
      </c>
      <c r="W868" t="s">
        <v>51</v>
      </c>
      <c r="X868" s="3">
        <v>46160</v>
      </c>
      <c r="Y868" s="1" t="str">
        <f t="shared" si="26"/>
        <v>May</v>
      </c>
      <c r="Z868" s="1" t="str">
        <f t="shared" si="27"/>
        <v>2026</v>
      </c>
      <c r="AA868" t="b">
        <v>0</v>
      </c>
      <c r="AB868" t="b">
        <v>0</v>
      </c>
      <c r="AC868" t="s">
        <v>74</v>
      </c>
      <c r="AD868" t="s">
        <v>67</v>
      </c>
      <c r="AE868">
        <v>5</v>
      </c>
    </row>
    <row r="869" spans="1:31" x14ac:dyDescent="0.3">
      <c r="A869" t="s">
        <v>1803</v>
      </c>
      <c r="B869">
        <v>42</v>
      </c>
      <c r="C869" t="str" cm="1">
        <f t="array" ref="C869">_xlfn.IFS(B869&lt;=18,"0-18",B869&lt;=29,"19-29",B869&gt;=49,"30-49",B869&gt;=69,"50-69",TRUE,"70+")</f>
        <v>70+</v>
      </c>
      <c r="D869" t="s">
        <v>29</v>
      </c>
      <c r="E869" t="s">
        <v>44</v>
      </c>
      <c r="F869" t="s">
        <v>76</v>
      </c>
      <c r="G869" t="s">
        <v>45</v>
      </c>
      <c r="H869" t="s">
        <v>44</v>
      </c>
      <c r="I869" t="s">
        <v>1804</v>
      </c>
      <c r="J869" t="s">
        <v>117</v>
      </c>
      <c r="K869" s="2">
        <v>75.27</v>
      </c>
      <c r="L869">
        <v>7</v>
      </c>
      <c r="M869" t="s">
        <v>35</v>
      </c>
      <c r="N869">
        <v>3</v>
      </c>
      <c r="O869">
        <v>4</v>
      </c>
      <c r="P869">
        <v>1</v>
      </c>
      <c r="Q869" t="s">
        <v>36</v>
      </c>
      <c r="R869" t="s">
        <v>50</v>
      </c>
      <c r="S869">
        <v>2</v>
      </c>
      <c r="T869">
        <v>3</v>
      </c>
      <c r="U869" t="s">
        <v>36</v>
      </c>
      <c r="V869" t="s">
        <v>79</v>
      </c>
      <c r="W869" t="s">
        <v>51</v>
      </c>
      <c r="X869" s="3">
        <v>46161</v>
      </c>
      <c r="Y869" s="1" t="str">
        <f t="shared" si="26"/>
        <v>May</v>
      </c>
      <c r="Z869" s="1" t="str">
        <f t="shared" si="27"/>
        <v>2026</v>
      </c>
      <c r="AA869" t="b">
        <v>1</v>
      </c>
      <c r="AB869" t="b">
        <v>1</v>
      </c>
      <c r="AC869" t="s">
        <v>62</v>
      </c>
      <c r="AD869" t="s">
        <v>67</v>
      </c>
      <c r="AE869">
        <v>1</v>
      </c>
    </row>
    <row r="870" spans="1:31" x14ac:dyDescent="0.3">
      <c r="A870" t="s">
        <v>1805</v>
      </c>
      <c r="B870">
        <v>20</v>
      </c>
      <c r="C870" t="str" cm="1">
        <f t="array" ref="C870">_xlfn.IFS(B870&lt;=18,"0-18",B870&lt;=29,"19-29",B870&gt;=49,"30-49",B870&gt;=69,"50-69",TRUE,"70+")</f>
        <v>19-29</v>
      </c>
      <c r="D870" t="s">
        <v>43</v>
      </c>
      <c r="E870" t="s">
        <v>30</v>
      </c>
      <c r="F870" t="s">
        <v>69</v>
      </c>
      <c r="G870" t="s">
        <v>56</v>
      </c>
      <c r="H870" t="s">
        <v>44</v>
      </c>
      <c r="I870" t="s">
        <v>1806</v>
      </c>
      <c r="J870" t="s">
        <v>58</v>
      </c>
      <c r="K870" s="2">
        <v>308.87</v>
      </c>
      <c r="L870">
        <v>2</v>
      </c>
      <c r="M870" t="s">
        <v>48</v>
      </c>
      <c r="N870">
        <v>3</v>
      </c>
      <c r="O870">
        <v>4</v>
      </c>
      <c r="P870">
        <v>1</v>
      </c>
      <c r="Q870" t="s">
        <v>36</v>
      </c>
      <c r="R870" t="s">
        <v>50</v>
      </c>
      <c r="S870">
        <v>2</v>
      </c>
      <c r="T870">
        <v>2</v>
      </c>
      <c r="U870" t="s">
        <v>36</v>
      </c>
      <c r="V870" t="s">
        <v>38</v>
      </c>
      <c r="W870" t="s">
        <v>86</v>
      </c>
      <c r="X870" s="3">
        <v>46162</v>
      </c>
      <c r="Y870" s="1" t="str">
        <f t="shared" si="26"/>
        <v>May</v>
      </c>
      <c r="Z870" s="1" t="str">
        <f t="shared" si="27"/>
        <v>2026</v>
      </c>
      <c r="AA870" t="b">
        <v>1</v>
      </c>
      <c r="AB870" t="b">
        <v>1</v>
      </c>
      <c r="AC870" t="s">
        <v>62</v>
      </c>
      <c r="AD870" t="s">
        <v>67</v>
      </c>
      <c r="AE870">
        <v>11</v>
      </c>
    </row>
    <row r="871" spans="1:31" x14ac:dyDescent="0.3">
      <c r="A871" t="s">
        <v>1807</v>
      </c>
      <c r="B871">
        <v>49</v>
      </c>
      <c r="C871" t="str" cm="1">
        <f t="array" ref="C871">_xlfn.IFS(B871&lt;=18,"0-18",B871&lt;=29,"19-29",B871&gt;=49,"30-49",B871&gt;=69,"50-69",TRUE,"70+")</f>
        <v>30-49</v>
      </c>
      <c r="D871" t="s">
        <v>43</v>
      </c>
      <c r="E871" t="s">
        <v>44</v>
      </c>
      <c r="F871" t="s">
        <v>76</v>
      </c>
      <c r="G871" t="s">
        <v>56</v>
      </c>
      <c r="H871" t="s">
        <v>30</v>
      </c>
      <c r="I871" t="s">
        <v>1808</v>
      </c>
      <c r="J871" t="s">
        <v>194</v>
      </c>
      <c r="K871" s="2">
        <v>169.77</v>
      </c>
      <c r="L871">
        <v>5</v>
      </c>
      <c r="M871" t="s">
        <v>48</v>
      </c>
      <c r="N871">
        <v>1</v>
      </c>
      <c r="O871">
        <v>4</v>
      </c>
      <c r="P871">
        <v>0</v>
      </c>
      <c r="Q871" t="s">
        <v>49</v>
      </c>
      <c r="R871" t="s">
        <v>85</v>
      </c>
      <c r="S871">
        <v>2</v>
      </c>
      <c r="T871">
        <v>9</v>
      </c>
      <c r="U871" t="s">
        <v>36</v>
      </c>
      <c r="V871" t="s">
        <v>79</v>
      </c>
      <c r="W871" t="s">
        <v>66</v>
      </c>
      <c r="X871" s="3">
        <v>46163</v>
      </c>
      <c r="Y871" s="1" t="str">
        <f t="shared" si="26"/>
        <v>May</v>
      </c>
      <c r="Z871" s="1" t="str">
        <f t="shared" si="27"/>
        <v>2026</v>
      </c>
      <c r="AA871" t="b">
        <v>1</v>
      </c>
      <c r="AB871" t="b">
        <v>1</v>
      </c>
      <c r="AC871" t="s">
        <v>52</v>
      </c>
      <c r="AD871" t="s">
        <v>53</v>
      </c>
      <c r="AE871">
        <v>7</v>
      </c>
    </row>
    <row r="872" spans="1:31" x14ac:dyDescent="0.3">
      <c r="A872" t="s">
        <v>1809</v>
      </c>
      <c r="B872">
        <v>19</v>
      </c>
      <c r="C872" t="str" cm="1">
        <f t="array" ref="C872">_xlfn.IFS(B872&lt;=18,"0-18",B872&lt;=29,"19-29",B872&gt;=49,"30-49",B872&gt;=69,"50-69",TRUE,"70+")</f>
        <v>19-29</v>
      </c>
      <c r="D872" t="s">
        <v>43</v>
      </c>
      <c r="E872" t="s">
        <v>44</v>
      </c>
      <c r="F872" t="s">
        <v>76</v>
      </c>
      <c r="G872" t="s">
        <v>45</v>
      </c>
      <c r="H872" t="s">
        <v>44</v>
      </c>
      <c r="I872" t="s">
        <v>1810</v>
      </c>
      <c r="J872" t="s">
        <v>126</v>
      </c>
      <c r="K872" s="2">
        <v>289.08</v>
      </c>
      <c r="L872">
        <v>12</v>
      </c>
      <c r="M872" t="s">
        <v>78</v>
      </c>
      <c r="N872">
        <v>2</v>
      </c>
      <c r="O872">
        <v>1</v>
      </c>
      <c r="P872">
        <v>0</v>
      </c>
      <c r="Q872" t="s">
        <v>36</v>
      </c>
      <c r="R872" t="s">
        <v>85</v>
      </c>
      <c r="S872">
        <v>1</v>
      </c>
      <c r="T872">
        <v>10</v>
      </c>
      <c r="U872" t="s">
        <v>49</v>
      </c>
      <c r="V872" t="s">
        <v>79</v>
      </c>
      <c r="W872" t="s">
        <v>66</v>
      </c>
      <c r="X872" s="3">
        <v>46164</v>
      </c>
      <c r="Y872" s="1" t="str">
        <f t="shared" si="26"/>
        <v>May</v>
      </c>
      <c r="Z872" s="1" t="str">
        <f t="shared" si="27"/>
        <v>2026</v>
      </c>
      <c r="AA872" t="b">
        <v>1</v>
      </c>
      <c r="AB872" t="b">
        <v>1</v>
      </c>
      <c r="AC872" t="s">
        <v>52</v>
      </c>
      <c r="AD872" t="s">
        <v>53</v>
      </c>
      <c r="AE872">
        <v>7</v>
      </c>
    </row>
    <row r="873" spans="1:31" x14ac:dyDescent="0.3">
      <c r="A873" t="s">
        <v>1811</v>
      </c>
      <c r="B873">
        <v>38</v>
      </c>
      <c r="C873" t="str" cm="1">
        <f t="array" ref="C873">_xlfn.IFS(B873&lt;=18,"0-18",B873&lt;=29,"19-29",B873&gt;=49,"30-49",B873&gt;=69,"50-69",TRUE,"70+")</f>
        <v>70+</v>
      </c>
      <c r="D873" t="s">
        <v>29</v>
      </c>
      <c r="E873" t="s">
        <v>30</v>
      </c>
      <c r="F873" t="s">
        <v>55</v>
      </c>
      <c r="G873" t="s">
        <v>45</v>
      </c>
      <c r="H873" t="s">
        <v>44</v>
      </c>
      <c r="I873" t="s">
        <v>1812</v>
      </c>
      <c r="J873" t="s">
        <v>194</v>
      </c>
      <c r="K873" s="2">
        <v>74.09</v>
      </c>
      <c r="L873">
        <v>10</v>
      </c>
      <c r="M873" t="s">
        <v>35</v>
      </c>
      <c r="N873">
        <v>1</v>
      </c>
      <c r="O873">
        <v>4</v>
      </c>
      <c r="P873">
        <v>2</v>
      </c>
      <c r="Q873" t="s">
        <v>36</v>
      </c>
      <c r="R873" t="s">
        <v>37</v>
      </c>
      <c r="S873">
        <v>2</v>
      </c>
      <c r="T873">
        <v>9</v>
      </c>
      <c r="U873" t="s">
        <v>59</v>
      </c>
      <c r="V873" t="s">
        <v>38</v>
      </c>
      <c r="W873" t="s">
        <v>66</v>
      </c>
      <c r="X873" s="3">
        <v>46165</v>
      </c>
      <c r="Y873" s="1" t="str">
        <f t="shared" si="26"/>
        <v>May</v>
      </c>
      <c r="Z873" s="1" t="str">
        <f t="shared" si="27"/>
        <v>2026</v>
      </c>
      <c r="AA873" t="b">
        <v>1</v>
      </c>
      <c r="AB873" t="b">
        <v>1</v>
      </c>
      <c r="AC873" t="s">
        <v>62</v>
      </c>
      <c r="AD873" t="s">
        <v>53</v>
      </c>
      <c r="AE873">
        <v>8</v>
      </c>
    </row>
    <row r="874" spans="1:31" x14ac:dyDescent="0.3">
      <c r="A874" t="s">
        <v>1813</v>
      </c>
      <c r="B874">
        <v>43</v>
      </c>
      <c r="C874" t="str" cm="1">
        <f t="array" ref="C874">_xlfn.IFS(B874&lt;=18,"0-18",B874&lt;=29,"19-29",B874&gt;=49,"30-49",B874&gt;=69,"50-69",TRUE,"70+")</f>
        <v>70+</v>
      </c>
      <c r="D874" t="s">
        <v>43</v>
      </c>
      <c r="E874" t="s">
        <v>44</v>
      </c>
      <c r="F874" t="s">
        <v>31</v>
      </c>
      <c r="G874" t="s">
        <v>45</v>
      </c>
      <c r="H874" t="s">
        <v>30</v>
      </c>
      <c r="I874" t="s">
        <v>1814</v>
      </c>
      <c r="J874" t="s">
        <v>194</v>
      </c>
      <c r="K874" s="2">
        <v>201.53</v>
      </c>
      <c r="L874">
        <v>5</v>
      </c>
      <c r="M874" t="s">
        <v>78</v>
      </c>
      <c r="N874">
        <v>2</v>
      </c>
      <c r="O874">
        <v>3</v>
      </c>
      <c r="P874">
        <v>1</v>
      </c>
      <c r="Q874" t="s">
        <v>36</v>
      </c>
      <c r="R874" t="s">
        <v>50</v>
      </c>
      <c r="S874">
        <v>1</v>
      </c>
      <c r="T874">
        <v>6</v>
      </c>
      <c r="U874" t="s">
        <v>44</v>
      </c>
      <c r="V874" t="s">
        <v>38</v>
      </c>
      <c r="W874" t="s">
        <v>66</v>
      </c>
      <c r="X874" s="3">
        <v>46166</v>
      </c>
      <c r="Y874" s="1" t="str">
        <f t="shared" si="26"/>
        <v>May</v>
      </c>
      <c r="Z874" s="1" t="str">
        <f t="shared" si="27"/>
        <v>2026</v>
      </c>
      <c r="AA874" t="b">
        <v>0</v>
      </c>
      <c r="AB874" t="b">
        <v>1</v>
      </c>
      <c r="AC874" t="s">
        <v>52</v>
      </c>
      <c r="AD874" t="s">
        <v>41</v>
      </c>
      <c r="AE874">
        <v>11</v>
      </c>
    </row>
    <row r="875" spans="1:31" x14ac:dyDescent="0.3">
      <c r="A875" t="s">
        <v>1815</v>
      </c>
      <c r="B875">
        <v>38</v>
      </c>
      <c r="C875" t="str" cm="1">
        <f t="array" ref="C875">_xlfn.IFS(B875&lt;=18,"0-18",B875&lt;=29,"19-29",B875&gt;=49,"30-49",B875&gt;=69,"50-69",TRUE,"70+")</f>
        <v>70+</v>
      </c>
      <c r="D875" t="s">
        <v>43</v>
      </c>
      <c r="E875" t="s">
        <v>30</v>
      </c>
      <c r="F875" t="s">
        <v>76</v>
      </c>
      <c r="G875" t="s">
        <v>32</v>
      </c>
      <c r="H875" t="s">
        <v>44</v>
      </c>
      <c r="I875" t="s">
        <v>1816</v>
      </c>
      <c r="J875" t="s">
        <v>135</v>
      </c>
      <c r="K875" s="2">
        <v>244.6</v>
      </c>
      <c r="L875">
        <v>12</v>
      </c>
      <c r="M875" t="s">
        <v>78</v>
      </c>
      <c r="N875">
        <v>4</v>
      </c>
      <c r="O875">
        <v>4</v>
      </c>
      <c r="P875">
        <v>2</v>
      </c>
      <c r="Q875" t="s">
        <v>49</v>
      </c>
      <c r="R875" t="s">
        <v>37</v>
      </c>
      <c r="S875">
        <v>0</v>
      </c>
      <c r="T875">
        <v>6</v>
      </c>
      <c r="U875" t="s">
        <v>36</v>
      </c>
      <c r="V875" t="s">
        <v>38</v>
      </c>
      <c r="W875" t="s">
        <v>66</v>
      </c>
      <c r="X875" s="3">
        <v>46167</v>
      </c>
      <c r="Y875" s="1" t="str">
        <f t="shared" si="26"/>
        <v>May</v>
      </c>
      <c r="Z875" s="1" t="str">
        <f t="shared" si="27"/>
        <v>2026</v>
      </c>
      <c r="AA875" t="b">
        <v>0</v>
      </c>
      <c r="AB875" t="b">
        <v>0</v>
      </c>
      <c r="AC875" t="s">
        <v>52</v>
      </c>
      <c r="AD875" t="s">
        <v>53</v>
      </c>
      <c r="AE875">
        <v>3</v>
      </c>
    </row>
    <row r="876" spans="1:31" x14ac:dyDescent="0.3">
      <c r="A876" t="s">
        <v>1817</v>
      </c>
      <c r="B876">
        <v>21</v>
      </c>
      <c r="C876" t="str" cm="1">
        <f t="array" ref="C876">_xlfn.IFS(B876&lt;=18,"0-18",B876&lt;=29,"19-29",B876&gt;=49,"30-49",B876&gt;=69,"50-69",TRUE,"70+")</f>
        <v>19-29</v>
      </c>
      <c r="D876" t="s">
        <v>43</v>
      </c>
      <c r="E876" t="s">
        <v>30</v>
      </c>
      <c r="F876" t="s">
        <v>69</v>
      </c>
      <c r="G876" t="s">
        <v>32</v>
      </c>
      <c r="H876" t="s">
        <v>44</v>
      </c>
      <c r="I876" t="s">
        <v>1818</v>
      </c>
      <c r="J876" t="s">
        <v>120</v>
      </c>
      <c r="K876" s="2">
        <v>320.5</v>
      </c>
      <c r="L876">
        <v>10</v>
      </c>
      <c r="M876" t="s">
        <v>48</v>
      </c>
      <c r="N876">
        <v>3</v>
      </c>
      <c r="O876">
        <v>4</v>
      </c>
      <c r="P876">
        <v>2</v>
      </c>
      <c r="Q876" t="s">
        <v>59</v>
      </c>
      <c r="R876" t="s">
        <v>37</v>
      </c>
      <c r="S876">
        <v>0</v>
      </c>
      <c r="T876">
        <v>9</v>
      </c>
      <c r="U876" t="s">
        <v>59</v>
      </c>
      <c r="V876" t="s">
        <v>38</v>
      </c>
      <c r="W876" t="s">
        <v>86</v>
      </c>
      <c r="X876" s="3">
        <v>46168</v>
      </c>
      <c r="Y876" s="1" t="str">
        <f t="shared" si="26"/>
        <v>May</v>
      </c>
      <c r="Z876" s="1" t="str">
        <f t="shared" si="27"/>
        <v>2026</v>
      </c>
      <c r="AA876" t="b">
        <v>1</v>
      </c>
      <c r="AB876" t="b">
        <v>0</v>
      </c>
      <c r="AC876" t="s">
        <v>40</v>
      </c>
      <c r="AD876" t="s">
        <v>67</v>
      </c>
      <c r="AE876">
        <v>9</v>
      </c>
    </row>
    <row r="877" spans="1:31" x14ac:dyDescent="0.3">
      <c r="A877" t="s">
        <v>1819</v>
      </c>
      <c r="B877">
        <v>27</v>
      </c>
      <c r="C877" t="str" cm="1">
        <f t="array" ref="C877">_xlfn.IFS(B877&lt;=18,"0-18",B877&lt;=29,"19-29",B877&gt;=49,"30-49",B877&gt;=69,"50-69",TRUE,"70+")</f>
        <v>19-29</v>
      </c>
      <c r="D877" t="s">
        <v>43</v>
      </c>
      <c r="E877" t="s">
        <v>30</v>
      </c>
      <c r="F877" t="s">
        <v>69</v>
      </c>
      <c r="G877" t="s">
        <v>56</v>
      </c>
      <c r="H877" t="s">
        <v>30</v>
      </c>
      <c r="I877" t="s">
        <v>1820</v>
      </c>
      <c r="J877" t="s">
        <v>246</v>
      </c>
      <c r="K877" s="2">
        <v>91.63</v>
      </c>
      <c r="L877">
        <v>3</v>
      </c>
      <c r="M877" t="s">
        <v>48</v>
      </c>
      <c r="N877">
        <v>5</v>
      </c>
      <c r="O877">
        <v>2</v>
      </c>
      <c r="P877">
        <v>2</v>
      </c>
      <c r="Q877" t="s">
        <v>36</v>
      </c>
      <c r="R877" t="s">
        <v>50</v>
      </c>
      <c r="S877">
        <v>0</v>
      </c>
      <c r="T877">
        <v>10</v>
      </c>
      <c r="U877" t="s">
        <v>36</v>
      </c>
      <c r="V877" t="s">
        <v>38</v>
      </c>
      <c r="W877" t="s">
        <v>61</v>
      </c>
      <c r="X877" s="3">
        <v>46169</v>
      </c>
      <c r="Y877" s="1" t="str">
        <f t="shared" si="26"/>
        <v>May</v>
      </c>
      <c r="Z877" s="1" t="str">
        <f t="shared" si="27"/>
        <v>2026</v>
      </c>
      <c r="AA877" t="b">
        <v>1</v>
      </c>
      <c r="AB877" t="b">
        <v>1</v>
      </c>
      <c r="AC877" t="s">
        <v>52</v>
      </c>
      <c r="AD877" t="s">
        <v>53</v>
      </c>
      <c r="AE877">
        <v>2</v>
      </c>
    </row>
    <row r="878" spans="1:31" x14ac:dyDescent="0.3">
      <c r="A878" t="s">
        <v>1821</v>
      </c>
      <c r="B878">
        <v>35</v>
      </c>
      <c r="C878" t="str" cm="1">
        <f t="array" ref="C878">_xlfn.IFS(B878&lt;=18,"0-18",B878&lt;=29,"19-29",B878&gt;=49,"30-49",B878&gt;=69,"50-69",TRUE,"70+")</f>
        <v>70+</v>
      </c>
      <c r="D878" t="s">
        <v>43</v>
      </c>
      <c r="E878" t="s">
        <v>30</v>
      </c>
      <c r="F878" t="s">
        <v>31</v>
      </c>
      <c r="G878" t="s">
        <v>56</v>
      </c>
      <c r="H878" t="s">
        <v>44</v>
      </c>
      <c r="I878" t="s">
        <v>1822</v>
      </c>
      <c r="J878" t="s">
        <v>90</v>
      </c>
      <c r="K878" s="2">
        <v>251.93</v>
      </c>
      <c r="L878">
        <v>8</v>
      </c>
      <c r="M878" t="s">
        <v>48</v>
      </c>
      <c r="N878">
        <v>3</v>
      </c>
      <c r="O878">
        <v>2</v>
      </c>
      <c r="P878">
        <v>1</v>
      </c>
      <c r="Q878" t="s">
        <v>44</v>
      </c>
      <c r="R878" t="s">
        <v>85</v>
      </c>
      <c r="S878">
        <v>2</v>
      </c>
      <c r="T878">
        <v>3</v>
      </c>
      <c r="U878" t="s">
        <v>36</v>
      </c>
      <c r="V878" t="s">
        <v>38</v>
      </c>
      <c r="W878" t="s">
        <v>61</v>
      </c>
      <c r="X878" s="3">
        <v>46170</v>
      </c>
      <c r="Y878" s="1" t="str">
        <f t="shared" si="26"/>
        <v>May</v>
      </c>
      <c r="Z878" s="1" t="str">
        <f t="shared" si="27"/>
        <v>2026</v>
      </c>
      <c r="AA878" t="b">
        <v>0</v>
      </c>
      <c r="AB878" t="b">
        <v>0</v>
      </c>
      <c r="AC878" t="s">
        <v>40</v>
      </c>
      <c r="AD878" t="s">
        <v>53</v>
      </c>
      <c r="AE878">
        <v>7</v>
      </c>
    </row>
    <row r="879" spans="1:31" x14ac:dyDescent="0.3">
      <c r="A879" t="s">
        <v>1823</v>
      </c>
      <c r="B879">
        <v>30</v>
      </c>
      <c r="C879" t="str" cm="1">
        <f t="array" ref="C879">_xlfn.IFS(B879&lt;=18,"0-18",B879&lt;=29,"19-29",B879&gt;=49,"30-49",B879&gt;=69,"50-69",TRUE,"70+")</f>
        <v>70+</v>
      </c>
      <c r="D879" t="s">
        <v>43</v>
      </c>
      <c r="E879" t="s">
        <v>30</v>
      </c>
      <c r="F879" t="s">
        <v>31</v>
      </c>
      <c r="G879" t="s">
        <v>32</v>
      </c>
      <c r="H879" t="s">
        <v>30</v>
      </c>
      <c r="I879" t="s">
        <v>1824</v>
      </c>
      <c r="J879" t="s">
        <v>98</v>
      </c>
      <c r="K879" s="2">
        <v>477.35</v>
      </c>
      <c r="L879">
        <v>4</v>
      </c>
      <c r="M879" t="s">
        <v>78</v>
      </c>
      <c r="N879">
        <v>2</v>
      </c>
      <c r="O879">
        <v>5</v>
      </c>
      <c r="P879">
        <v>0</v>
      </c>
      <c r="Q879" t="s">
        <v>44</v>
      </c>
      <c r="R879" t="s">
        <v>85</v>
      </c>
      <c r="S879">
        <v>1</v>
      </c>
      <c r="T879">
        <v>2</v>
      </c>
      <c r="U879" t="s">
        <v>59</v>
      </c>
      <c r="V879" t="s">
        <v>79</v>
      </c>
      <c r="W879" t="s">
        <v>51</v>
      </c>
      <c r="X879" s="3">
        <v>46171</v>
      </c>
      <c r="Y879" s="1" t="str">
        <f t="shared" si="26"/>
        <v>May</v>
      </c>
      <c r="Z879" s="1" t="str">
        <f t="shared" si="27"/>
        <v>2026</v>
      </c>
      <c r="AA879" t="b">
        <v>0</v>
      </c>
      <c r="AB879" t="b">
        <v>0</v>
      </c>
      <c r="AC879" t="s">
        <v>40</v>
      </c>
      <c r="AD879" t="s">
        <v>41</v>
      </c>
      <c r="AE879">
        <v>14</v>
      </c>
    </row>
    <row r="880" spans="1:31" x14ac:dyDescent="0.3">
      <c r="A880" t="s">
        <v>1825</v>
      </c>
      <c r="B880">
        <v>31</v>
      </c>
      <c r="C880" t="str" cm="1">
        <f t="array" ref="C880">_xlfn.IFS(B880&lt;=18,"0-18",B880&lt;=29,"19-29",B880&gt;=49,"30-49",B880&gt;=69,"50-69",TRUE,"70+")</f>
        <v>70+</v>
      </c>
      <c r="D880" t="s">
        <v>43</v>
      </c>
      <c r="E880" t="s">
        <v>44</v>
      </c>
      <c r="F880" t="s">
        <v>69</v>
      </c>
      <c r="G880" t="s">
        <v>56</v>
      </c>
      <c r="H880" t="s">
        <v>30</v>
      </c>
      <c r="I880" t="s">
        <v>1826</v>
      </c>
      <c r="J880" t="s">
        <v>123</v>
      </c>
      <c r="K880" s="2">
        <v>86.63</v>
      </c>
      <c r="L880">
        <v>10</v>
      </c>
      <c r="M880" t="s">
        <v>35</v>
      </c>
      <c r="N880">
        <v>3</v>
      </c>
      <c r="O880">
        <v>1</v>
      </c>
      <c r="P880">
        <v>2</v>
      </c>
      <c r="Q880" t="s">
        <v>49</v>
      </c>
      <c r="R880" t="s">
        <v>37</v>
      </c>
      <c r="S880">
        <v>2</v>
      </c>
      <c r="T880">
        <v>2</v>
      </c>
      <c r="U880" t="s">
        <v>59</v>
      </c>
      <c r="V880" t="s">
        <v>38</v>
      </c>
      <c r="W880" t="s">
        <v>86</v>
      </c>
      <c r="X880" s="3">
        <v>46172</v>
      </c>
      <c r="Y880" s="1" t="str">
        <f t="shared" si="26"/>
        <v>May</v>
      </c>
      <c r="Z880" s="1" t="str">
        <f t="shared" si="27"/>
        <v>2026</v>
      </c>
      <c r="AA880" t="b">
        <v>1</v>
      </c>
      <c r="AB880" t="b">
        <v>0</v>
      </c>
      <c r="AC880" t="s">
        <v>52</v>
      </c>
      <c r="AD880" t="s">
        <v>67</v>
      </c>
      <c r="AE880">
        <v>3</v>
      </c>
    </row>
    <row r="881" spans="1:31" x14ac:dyDescent="0.3">
      <c r="A881" t="s">
        <v>1827</v>
      </c>
      <c r="B881">
        <v>50</v>
      </c>
      <c r="C881" t="str" cm="1">
        <f t="array" ref="C881">_xlfn.IFS(B881&lt;=18,"0-18",B881&lt;=29,"19-29",B881&gt;=49,"30-49",B881&gt;=69,"50-69",TRUE,"70+")</f>
        <v>30-49</v>
      </c>
      <c r="D881" t="s">
        <v>88</v>
      </c>
      <c r="E881" t="s">
        <v>44</v>
      </c>
      <c r="F881" t="s">
        <v>76</v>
      </c>
      <c r="G881" t="s">
        <v>45</v>
      </c>
      <c r="H881" t="s">
        <v>44</v>
      </c>
      <c r="I881" t="s">
        <v>1828</v>
      </c>
      <c r="J881" t="s">
        <v>104</v>
      </c>
      <c r="K881" s="2">
        <v>474.42</v>
      </c>
      <c r="L881">
        <v>4</v>
      </c>
      <c r="M881" t="s">
        <v>48</v>
      </c>
      <c r="N881">
        <v>2</v>
      </c>
      <c r="O881">
        <v>3</v>
      </c>
      <c r="P881">
        <v>0</v>
      </c>
      <c r="Q881" t="s">
        <v>49</v>
      </c>
      <c r="R881" t="s">
        <v>50</v>
      </c>
      <c r="S881">
        <v>1</v>
      </c>
      <c r="T881">
        <v>9</v>
      </c>
      <c r="U881" t="s">
        <v>36</v>
      </c>
      <c r="V881" t="s">
        <v>79</v>
      </c>
      <c r="W881" t="s">
        <v>61</v>
      </c>
      <c r="X881" s="3">
        <v>46173</v>
      </c>
      <c r="Y881" s="1" t="str">
        <f t="shared" si="26"/>
        <v>May</v>
      </c>
      <c r="Z881" s="1" t="str">
        <f t="shared" si="27"/>
        <v>2026</v>
      </c>
      <c r="AA881" t="b">
        <v>1</v>
      </c>
      <c r="AB881" t="b">
        <v>0</v>
      </c>
      <c r="AC881" t="s">
        <v>40</v>
      </c>
      <c r="AD881" t="s">
        <v>41</v>
      </c>
      <c r="AE881">
        <v>5</v>
      </c>
    </row>
    <row r="882" spans="1:31" x14ac:dyDescent="0.3">
      <c r="A882" t="s">
        <v>1829</v>
      </c>
      <c r="B882">
        <v>34</v>
      </c>
      <c r="C882" t="str" cm="1">
        <f t="array" ref="C882">_xlfn.IFS(B882&lt;=18,"0-18",B882&lt;=29,"19-29",B882&gt;=49,"30-49",B882&gt;=69,"50-69",TRUE,"70+")</f>
        <v>70+</v>
      </c>
      <c r="D882" t="s">
        <v>29</v>
      </c>
      <c r="E882" t="s">
        <v>44</v>
      </c>
      <c r="F882" t="s">
        <v>69</v>
      </c>
      <c r="G882" t="s">
        <v>45</v>
      </c>
      <c r="H882" t="s">
        <v>44</v>
      </c>
      <c r="I882" t="s">
        <v>710</v>
      </c>
      <c r="J882" t="s">
        <v>34</v>
      </c>
      <c r="K882" s="2">
        <v>429.24</v>
      </c>
      <c r="L882">
        <v>7</v>
      </c>
      <c r="M882" t="s">
        <v>35</v>
      </c>
      <c r="N882">
        <v>3</v>
      </c>
      <c r="O882">
        <v>5</v>
      </c>
      <c r="P882">
        <v>1</v>
      </c>
      <c r="Q882" t="s">
        <v>44</v>
      </c>
      <c r="R882" t="s">
        <v>50</v>
      </c>
      <c r="S882">
        <v>0</v>
      </c>
      <c r="T882">
        <v>1</v>
      </c>
      <c r="U882" t="s">
        <v>59</v>
      </c>
      <c r="V882" t="s">
        <v>38</v>
      </c>
      <c r="W882" t="s">
        <v>61</v>
      </c>
      <c r="X882" s="3">
        <v>46174</v>
      </c>
      <c r="Y882" s="1" t="str">
        <f t="shared" si="26"/>
        <v>Jun</v>
      </c>
      <c r="Z882" s="1" t="str">
        <f t="shared" si="27"/>
        <v>2026</v>
      </c>
      <c r="AA882" t="b">
        <v>0</v>
      </c>
      <c r="AB882" t="b">
        <v>0</v>
      </c>
      <c r="AC882" t="s">
        <v>40</v>
      </c>
      <c r="AD882" t="s">
        <v>41</v>
      </c>
      <c r="AE882">
        <v>10</v>
      </c>
    </row>
    <row r="883" spans="1:31" x14ac:dyDescent="0.3">
      <c r="A883" t="s">
        <v>1830</v>
      </c>
      <c r="B883">
        <v>24</v>
      </c>
      <c r="C883" t="str" cm="1">
        <f t="array" ref="C883">_xlfn.IFS(B883&lt;=18,"0-18",B883&lt;=29,"19-29",B883&gt;=49,"30-49",B883&gt;=69,"50-69",TRUE,"70+")</f>
        <v>19-29</v>
      </c>
      <c r="D883" t="s">
        <v>29</v>
      </c>
      <c r="E883" t="s">
        <v>44</v>
      </c>
      <c r="F883" t="s">
        <v>31</v>
      </c>
      <c r="G883" t="s">
        <v>45</v>
      </c>
      <c r="H883" t="s">
        <v>44</v>
      </c>
      <c r="I883" t="s">
        <v>1831</v>
      </c>
      <c r="J883" t="s">
        <v>65</v>
      </c>
      <c r="K883" s="2">
        <v>470.38</v>
      </c>
      <c r="L883">
        <v>8</v>
      </c>
      <c r="M883" t="s">
        <v>35</v>
      </c>
      <c r="N883">
        <v>2</v>
      </c>
      <c r="O883">
        <v>4</v>
      </c>
      <c r="P883">
        <v>0</v>
      </c>
      <c r="Q883" t="s">
        <v>49</v>
      </c>
      <c r="R883" t="s">
        <v>50</v>
      </c>
      <c r="S883">
        <v>2</v>
      </c>
      <c r="T883">
        <v>3</v>
      </c>
      <c r="U883" t="s">
        <v>44</v>
      </c>
      <c r="V883" t="s">
        <v>60</v>
      </c>
      <c r="W883" t="s">
        <v>66</v>
      </c>
      <c r="X883" s="3">
        <v>46175</v>
      </c>
      <c r="Y883" s="1" t="str">
        <f t="shared" si="26"/>
        <v>Jun</v>
      </c>
      <c r="Z883" s="1" t="str">
        <f t="shared" si="27"/>
        <v>2026</v>
      </c>
      <c r="AA883" t="b">
        <v>1</v>
      </c>
      <c r="AB883" t="b">
        <v>1</v>
      </c>
      <c r="AC883" t="s">
        <v>62</v>
      </c>
      <c r="AD883" t="s">
        <v>53</v>
      </c>
      <c r="AE883">
        <v>9</v>
      </c>
    </row>
    <row r="884" spans="1:31" x14ac:dyDescent="0.3">
      <c r="A884" t="s">
        <v>1832</v>
      </c>
      <c r="B884">
        <v>32</v>
      </c>
      <c r="C884" t="str" cm="1">
        <f t="array" ref="C884">_xlfn.IFS(B884&lt;=18,"0-18",B884&lt;=29,"19-29",B884&gt;=49,"30-49",B884&gt;=69,"50-69",TRUE,"70+")</f>
        <v>70+</v>
      </c>
      <c r="D884" t="s">
        <v>29</v>
      </c>
      <c r="E884" t="s">
        <v>30</v>
      </c>
      <c r="F884" t="s">
        <v>55</v>
      </c>
      <c r="G884" t="s">
        <v>56</v>
      </c>
      <c r="H884" t="s">
        <v>44</v>
      </c>
      <c r="I884" t="s">
        <v>1833</v>
      </c>
      <c r="J884" t="s">
        <v>34</v>
      </c>
      <c r="K884" s="2">
        <v>495.8</v>
      </c>
      <c r="L884">
        <v>4</v>
      </c>
      <c r="M884" t="s">
        <v>35</v>
      </c>
      <c r="N884">
        <v>1</v>
      </c>
      <c r="O884">
        <v>2</v>
      </c>
      <c r="P884">
        <v>1</v>
      </c>
      <c r="Q884" t="s">
        <v>59</v>
      </c>
      <c r="R884" t="s">
        <v>50</v>
      </c>
      <c r="S884">
        <v>0</v>
      </c>
      <c r="T884">
        <v>7</v>
      </c>
      <c r="U884" t="s">
        <v>36</v>
      </c>
      <c r="V884" t="s">
        <v>38</v>
      </c>
      <c r="W884" t="s">
        <v>51</v>
      </c>
      <c r="X884" s="3">
        <v>46176</v>
      </c>
      <c r="Y884" s="1" t="str">
        <f t="shared" si="26"/>
        <v>Jun</v>
      </c>
      <c r="Z884" s="1" t="str">
        <f t="shared" si="27"/>
        <v>2026</v>
      </c>
      <c r="AA884" t="b">
        <v>1</v>
      </c>
      <c r="AB884" t="b">
        <v>1</v>
      </c>
      <c r="AC884" t="s">
        <v>52</v>
      </c>
      <c r="AD884" t="s">
        <v>53</v>
      </c>
      <c r="AE884">
        <v>10</v>
      </c>
    </row>
    <row r="885" spans="1:31" x14ac:dyDescent="0.3">
      <c r="A885" t="s">
        <v>1834</v>
      </c>
      <c r="B885">
        <v>21</v>
      </c>
      <c r="C885" t="str" cm="1">
        <f t="array" ref="C885">_xlfn.IFS(B885&lt;=18,"0-18",B885&lt;=29,"19-29",B885&gt;=49,"30-49",B885&gt;=69,"50-69",TRUE,"70+")</f>
        <v>19-29</v>
      </c>
      <c r="D885" t="s">
        <v>29</v>
      </c>
      <c r="E885" t="s">
        <v>44</v>
      </c>
      <c r="F885" t="s">
        <v>69</v>
      </c>
      <c r="G885" t="s">
        <v>32</v>
      </c>
      <c r="H885" t="s">
        <v>30</v>
      </c>
      <c r="I885" t="s">
        <v>1835</v>
      </c>
      <c r="J885" t="s">
        <v>117</v>
      </c>
      <c r="K885" s="2">
        <v>129.63999999999999</v>
      </c>
      <c r="L885">
        <v>4</v>
      </c>
      <c r="M885" t="s">
        <v>48</v>
      </c>
      <c r="N885">
        <v>3</v>
      </c>
      <c r="O885">
        <v>1</v>
      </c>
      <c r="P885">
        <v>2</v>
      </c>
      <c r="Q885" t="s">
        <v>36</v>
      </c>
      <c r="R885" t="s">
        <v>50</v>
      </c>
      <c r="S885">
        <v>1</v>
      </c>
      <c r="T885">
        <v>3</v>
      </c>
      <c r="U885" t="s">
        <v>59</v>
      </c>
      <c r="V885" t="s">
        <v>79</v>
      </c>
      <c r="W885" t="s">
        <v>61</v>
      </c>
      <c r="X885" s="3">
        <v>46177</v>
      </c>
      <c r="Y885" s="1" t="str">
        <f t="shared" si="26"/>
        <v>Jun</v>
      </c>
      <c r="Z885" s="1" t="str">
        <f t="shared" si="27"/>
        <v>2026</v>
      </c>
      <c r="AA885" t="b">
        <v>0</v>
      </c>
      <c r="AB885" t="b">
        <v>1</v>
      </c>
      <c r="AC885" t="s">
        <v>40</v>
      </c>
      <c r="AD885" t="s">
        <v>67</v>
      </c>
      <c r="AE885">
        <v>3</v>
      </c>
    </row>
    <row r="886" spans="1:31" x14ac:dyDescent="0.3">
      <c r="A886" t="s">
        <v>1836</v>
      </c>
      <c r="B886">
        <v>41</v>
      </c>
      <c r="C886" t="str" cm="1">
        <f t="array" ref="C886">_xlfn.IFS(B886&lt;=18,"0-18",B886&lt;=29,"19-29",B886&gt;=49,"30-49",B886&gt;=69,"50-69",TRUE,"70+")</f>
        <v>70+</v>
      </c>
      <c r="D886" t="s">
        <v>43</v>
      </c>
      <c r="E886" t="s">
        <v>30</v>
      </c>
      <c r="F886" t="s">
        <v>55</v>
      </c>
      <c r="G886" t="s">
        <v>56</v>
      </c>
      <c r="H886" t="s">
        <v>44</v>
      </c>
      <c r="I886" t="s">
        <v>1837</v>
      </c>
      <c r="J886" t="s">
        <v>93</v>
      </c>
      <c r="K886" s="2">
        <v>473.77</v>
      </c>
      <c r="L886">
        <v>9</v>
      </c>
      <c r="M886" t="s">
        <v>78</v>
      </c>
      <c r="N886">
        <v>3</v>
      </c>
      <c r="O886">
        <v>1</v>
      </c>
      <c r="P886">
        <v>2</v>
      </c>
      <c r="Q886" t="s">
        <v>49</v>
      </c>
      <c r="R886" t="s">
        <v>85</v>
      </c>
      <c r="S886">
        <v>2</v>
      </c>
      <c r="T886">
        <v>9</v>
      </c>
      <c r="U886" t="s">
        <v>36</v>
      </c>
      <c r="V886" t="s">
        <v>79</v>
      </c>
      <c r="W886" t="s">
        <v>51</v>
      </c>
      <c r="X886" s="3">
        <v>46178</v>
      </c>
      <c r="Y886" s="1" t="str">
        <f t="shared" si="26"/>
        <v>Jun</v>
      </c>
      <c r="Z886" s="1" t="str">
        <f t="shared" si="27"/>
        <v>2026</v>
      </c>
      <c r="AA886" t="b">
        <v>0</v>
      </c>
      <c r="AB886" t="b">
        <v>0</v>
      </c>
      <c r="AC886" t="s">
        <v>52</v>
      </c>
      <c r="AD886" t="s">
        <v>41</v>
      </c>
      <c r="AE886">
        <v>13</v>
      </c>
    </row>
    <row r="887" spans="1:31" x14ac:dyDescent="0.3">
      <c r="A887" t="s">
        <v>1838</v>
      </c>
      <c r="B887">
        <v>40</v>
      </c>
      <c r="C887" t="str" cm="1">
        <f t="array" ref="C887">_xlfn.IFS(B887&lt;=18,"0-18",B887&lt;=29,"19-29",B887&gt;=49,"30-49",B887&gt;=69,"50-69",TRUE,"70+")</f>
        <v>70+</v>
      </c>
      <c r="D887" t="s">
        <v>29</v>
      </c>
      <c r="E887" t="s">
        <v>44</v>
      </c>
      <c r="F887" t="s">
        <v>31</v>
      </c>
      <c r="G887" t="s">
        <v>45</v>
      </c>
      <c r="H887" t="s">
        <v>30</v>
      </c>
      <c r="I887" t="s">
        <v>1839</v>
      </c>
      <c r="J887" t="s">
        <v>117</v>
      </c>
      <c r="K887" s="2">
        <v>130.84</v>
      </c>
      <c r="L887">
        <v>4</v>
      </c>
      <c r="M887" t="s">
        <v>78</v>
      </c>
      <c r="N887">
        <v>5</v>
      </c>
      <c r="O887">
        <v>5</v>
      </c>
      <c r="P887">
        <v>2</v>
      </c>
      <c r="Q887" t="s">
        <v>49</v>
      </c>
      <c r="R887" t="s">
        <v>85</v>
      </c>
      <c r="S887">
        <v>2</v>
      </c>
      <c r="T887">
        <v>10</v>
      </c>
      <c r="U887" t="s">
        <v>59</v>
      </c>
      <c r="V887" t="s">
        <v>38</v>
      </c>
      <c r="W887" t="s">
        <v>51</v>
      </c>
      <c r="X887" s="3">
        <v>46179</v>
      </c>
      <c r="Y887" s="1" t="str">
        <f t="shared" si="26"/>
        <v>Jun</v>
      </c>
      <c r="Z887" s="1" t="str">
        <f t="shared" si="27"/>
        <v>2026</v>
      </c>
      <c r="AA887" t="b">
        <v>1</v>
      </c>
      <c r="AB887" t="b">
        <v>1</v>
      </c>
      <c r="AC887" t="s">
        <v>40</v>
      </c>
      <c r="AD887" t="s">
        <v>53</v>
      </c>
      <c r="AE887">
        <v>13</v>
      </c>
    </row>
    <row r="888" spans="1:31" x14ac:dyDescent="0.3">
      <c r="A888" t="s">
        <v>1840</v>
      </c>
      <c r="B888">
        <v>48</v>
      </c>
      <c r="C888" t="str" cm="1">
        <f t="array" ref="C888">_xlfn.IFS(B888&lt;=18,"0-18",B888&lt;=29,"19-29",B888&gt;=49,"30-49",B888&gt;=69,"50-69",TRUE,"70+")</f>
        <v>70+</v>
      </c>
      <c r="D888" t="s">
        <v>43</v>
      </c>
      <c r="E888" t="s">
        <v>30</v>
      </c>
      <c r="F888" t="s">
        <v>55</v>
      </c>
      <c r="G888" t="s">
        <v>56</v>
      </c>
      <c r="H888" t="s">
        <v>44</v>
      </c>
      <c r="I888" t="s">
        <v>1841</v>
      </c>
      <c r="J888" t="s">
        <v>158</v>
      </c>
      <c r="K888" s="2">
        <v>436.54</v>
      </c>
      <c r="L888">
        <v>12</v>
      </c>
      <c r="M888" t="s">
        <v>78</v>
      </c>
      <c r="N888">
        <v>3</v>
      </c>
      <c r="O888">
        <v>3</v>
      </c>
      <c r="P888">
        <v>0</v>
      </c>
      <c r="Q888" t="s">
        <v>49</v>
      </c>
      <c r="R888" t="s">
        <v>85</v>
      </c>
      <c r="S888">
        <v>1</v>
      </c>
      <c r="T888">
        <v>8</v>
      </c>
      <c r="U888" t="s">
        <v>59</v>
      </c>
      <c r="V888" t="s">
        <v>60</v>
      </c>
      <c r="W888" t="s">
        <v>61</v>
      </c>
      <c r="X888" s="3">
        <v>46180</v>
      </c>
      <c r="Y888" s="1" t="str">
        <f t="shared" si="26"/>
        <v>Jun</v>
      </c>
      <c r="Z888" s="1" t="str">
        <f t="shared" si="27"/>
        <v>2026</v>
      </c>
      <c r="AA888" t="b">
        <v>1</v>
      </c>
      <c r="AB888" t="b">
        <v>0</v>
      </c>
      <c r="AC888" t="s">
        <v>52</v>
      </c>
      <c r="AD888" t="s">
        <v>41</v>
      </c>
      <c r="AE888">
        <v>9</v>
      </c>
    </row>
    <row r="889" spans="1:31" x14ac:dyDescent="0.3">
      <c r="A889" t="s">
        <v>1842</v>
      </c>
      <c r="B889">
        <v>25</v>
      </c>
      <c r="C889" t="str" cm="1">
        <f t="array" ref="C889">_xlfn.IFS(B889&lt;=18,"0-18",B889&lt;=29,"19-29",B889&gt;=49,"30-49",B889&gt;=69,"50-69",TRUE,"70+")</f>
        <v>19-29</v>
      </c>
      <c r="D889" t="s">
        <v>29</v>
      </c>
      <c r="E889" t="s">
        <v>30</v>
      </c>
      <c r="F889" t="s">
        <v>69</v>
      </c>
      <c r="G889" t="s">
        <v>32</v>
      </c>
      <c r="H889" t="s">
        <v>30</v>
      </c>
      <c r="I889" t="s">
        <v>1843</v>
      </c>
      <c r="J889" t="s">
        <v>101</v>
      </c>
      <c r="K889" s="2">
        <v>264.01</v>
      </c>
      <c r="L889">
        <v>4</v>
      </c>
      <c r="M889" t="s">
        <v>48</v>
      </c>
      <c r="N889">
        <v>3</v>
      </c>
      <c r="O889">
        <v>4</v>
      </c>
      <c r="P889">
        <v>0</v>
      </c>
      <c r="Q889" t="s">
        <v>44</v>
      </c>
      <c r="R889" t="s">
        <v>37</v>
      </c>
      <c r="S889">
        <v>1</v>
      </c>
      <c r="T889">
        <v>5</v>
      </c>
      <c r="U889" t="s">
        <v>36</v>
      </c>
      <c r="V889" t="s">
        <v>79</v>
      </c>
      <c r="W889" t="s">
        <v>66</v>
      </c>
      <c r="X889" s="3">
        <v>46181</v>
      </c>
      <c r="Y889" s="1" t="str">
        <f t="shared" si="26"/>
        <v>Jun</v>
      </c>
      <c r="Z889" s="1" t="str">
        <f t="shared" si="27"/>
        <v>2026</v>
      </c>
      <c r="AA889" t="b">
        <v>1</v>
      </c>
      <c r="AB889" t="b">
        <v>0</v>
      </c>
      <c r="AC889" t="s">
        <v>40</v>
      </c>
      <c r="AD889" t="s">
        <v>41</v>
      </c>
      <c r="AE889">
        <v>2</v>
      </c>
    </row>
    <row r="890" spans="1:31" x14ac:dyDescent="0.3">
      <c r="A890" t="s">
        <v>1844</v>
      </c>
      <c r="B890">
        <v>30</v>
      </c>
      <c r="C890" t="str" cm="1">
        <f t="array" ref="C890">_xlfn.IFS(B890&lt;=18,"0-18",B890&lt;=29,"19-29",B890&gt;=49,"30-49",B890&gt;=69,"50-69",TRUE,"70+")</f>
        <v>70+</v>
      </c>
      <c r="D890" t="s">
        <v>29</v>
      </c>
      <c r="E890" t="s">
        <v>44</v>
      </c>
      <c r="F890" t="s">
        <v>76</v>
      </c>
      <c r="G890" t="s">
        <v>32</v>
      </c>
      <c r="H890" t="s">
        <v>44</v>
      </c>
      <c r="I890" t="s">
        <v>1845</v>
      </c>
      <c r="J890" t="s">
        <v>194</v>
      </c>
      <c r="K890" s="2">
        <v>58.27</v>
      </c>
      <c r="L890">
        <v>2</v>
      </c>
      <c r="M890" t="s">
        <v>48</v>
      </c>
      <c r="N890">
        <v>5</v>
      </c>
      <c r="O890">
        <v>4</v>
      </c>
      <c r="P890">
        <v>1</v>
      </c>
      <c r="Q890" t="s">
        <v>49</v>
      </c>
      <c r="R890" t="s">
        <v>37</v>
      </c>
      <c r="S890">
        <v>1</v>
      </c>
      <c r="T890">
        <v>4</v>
      </c>
      <c r="U890" t="s">
        <v>49</v>
      </c>
      <c r="V890" t="s">
        <v>60</v>
      </c>
      <c r="W890" t="s">
        <v>86</v>
      </c>
      <c r="X890" s="3">
        <v>46182</v>
      </c>
      <c r="Y890" s="1" t="str">
        <f t="shared" si="26"/>
        <v>Jun</v>
      </c>
      <c r="Z890" s="1" t="str">
        <f t="shared" si="27"/>
        <v>2026</v>
      </c>
      <c r="AA890" t="b">
        <v>0</v>
      </c>
      <c r="AB890" t="b">
        <v>1</v>
      </c>
      <c r="AC890" t="s">
        <v>40</v>
      </c>
      <c r="AD890" t="s">
        <v>41</v>
      </c>
      <c r="AE890">
        <v>13</v>
      </c>
    </row>
    <row r="891" spans="1:31" x14ac:dyDescent="0.3">
      <c r="A891" t="s">
        <v>1846</v>
      </c>
      <c r="B891">
        <v>25</v>
      </c>
      <c r="C891" t="str" cm="1">
        <f t="array" ref="C891">_xlfn.IFS(B891&lt;=18,"0-18",B891&lt;=29,"19-29",B891&gt;=49,"30-49",B891&gt;=69,"50-69",TRUE,"70+")</f>
        <v>19-29</v>
      </c>
      <c r="D891" t="s">
        <v>43</v>
      </c>
      <c r="E891" t="s">
        <v>30</v>
      </c>
      <c r="F891" t="s">
        <v>55</v>
      </c>
      <c r="G891" t="s">
        <v>56</v>
      </c>
      <c r="H891" t="s">
        <v>44</v>
      </c>
      <c r="I891" t="s">
        <v>1847</v>
      </c>
      <c r="J891" t="s">
        <v>90</v>
      </c>
      <c r="K891" s="2">
        <v>190.76</v>
      </c>
      <c r="L891">
        <v>10</v>
      </c>
      <c r="M891" t="s">
        <v>48</v>
      </c>
      <c r="N891">
        <v>5</v>
      </c>
      <c r="O891">
        <v>5</v>
      </c>
      <c r="P891">
        <v>2</v>
      </c>
      <c r="Q891" t="s">
        <v>36</v>
      </c>
      <c r="R891" t="s">
        <v>50</v>
      </c>
      <c r="S891">
        <v>1</v>
      </c>
      <c r="T891">
        <v>3</v>
      </c>
      <c r="U891" t="s">
        <v>44</v>
      </c>
      <c r="V891" t="s">
        <v>79</v>
      </c>
      <c r="W891" t="s">
        <v>66</v>
      </c>
      <c r="X891" s="3">
        <v>46183</v>
      </c>
      <c r="Y891" s="1" t="str">
        <f t="shared" si="26"/>
        <v>Jun</v>
      </c>
      <c r="Z891" s="1" t="str">
        <f t="shared" si="27"/>
        <v>2026</v>
      </c>
      <c r="AA891" t="b">
        <v>0</v>
      </c>
      <c r="AB891" t="b">
        <v>0</v>
      </c>
      <c r="AC891" t="s">
        <v>74</v>
      </c>
      <c r="AD891" t="s">
        <v>67</v>
      </c>
      <c r="AE891">
        <v>11</v>
      </c>
    </row>
    <row r="892" spans="1:31" x14ac:dyDescent="0.3">
      <c r="A892" t="s">
        <v>1848</v>
      </c>
      <c r="B892">
        <v>40</v>
      </c>
      <c r="C892" t="str" cm="1">
        <f t="array" ref="C892">_xlfn.IFS(B892&lt;=18,"0-18",B892&lt;=29,"19-29",B892&gt;=49,"30-49",B892&gt;=69,"50-69",TRUE,"70+")</f>
        <v>70+</v>
      </c>
      <c r="D892" t="s">
        <v>29</v>
      </c>
      <c r="E892" t="s">
        <v>44</v>
      </c>
      <c r="F892" t="s">
        <v>69</v>
      </c>
      <c r="G892" t="s">
        <v>56</v>
      </c>
      <c r="H892" t="s">
        <v>44</v>
      </c>
      <c r="I892" t="s">
        <v>1849</v>
      </c>
      <c r="J892" t="s">
        <v>101</v>
      </c>
      <c r="K892" s="2">
        <v>105.76</v>
      </c>
      <c r="L892">
        <v>8</v>
      </c>
      <c r="M892" t="s">
        <v>78</v>
      </c>
      <c r="N892">
        <v>4</v>
      </c>
      <c r="O892">
        <v>4</v>
      </c>
      <c r="P892">
        <v>2</v>
      </c>
      <c r="Q892" t="s">
        <v>36</v>
      </c>
      <c r="R892" t="s">
        <v>85</v>
      </c>
      <c r="S892">
        <v>1</v>
      </c>
      <c r="T892">
        <v>8</v>
      </c>
      <c r="U892" t="s">
        <v>49</v>
      </c>
      <c r="V892" t="s">
        <v>38</v>
      </c>
      <c r="W892" t="s">
        <v>39</v>
      </c>
      <c r="X892" s="3">
        <v>46184</v>
      </c>
      <c r="Y892" s="1" t="str">
        <f t="shared" si="26"/>
        <v>Jun</v>
      </c>
      <c r="Z892" s="1" t="str">
        <f t="shared" si="27"/>
        <v>2026</v>
      </c>
      <c r="AA892" t="b">
        <v>0</v>
      </c>
      <c r="AB892" t="b">
        <v>0</v>
      </c>
      <c r="AC892" t="s">
        <v>74</v>
      </c>
      <c r="AD892" t="s">
        <v>67</v>
      </c>
      <c r="AE892">
        <v>4</v>
      </c>
    </row>
    <row r="893" spans="1:31" x14ac:dyDescent="0.3">
      <c r="A893" t="s">
        <v>1850</v>
      </c>
      <c r="B893">
        <v>24</v>
      </c>
      <c r="C893" t="str" cm="1">
        <f t="array" ref="C893">_xlfn.IFS(B893&lt;=18,"0-18",B893&lt;=29,"19-29",B893&gt;=49,"30-49",B893&gt;=69,"50-69",TRUE,"70+")</f>
        <v>19-29</v>
      </c>
      <c r="D893" t="s">
        <v>29</v>
      </c>
      <c r="E893" t="s">
        <v>30</v>
      </c>
      <c r="F893" t="s">
        <v>55</v>
      </c>
      <c r="G893" t="s">
        <v>56</v>
      </c>
      <c r="H893" t="s">
        <v>44</v>
      </c>
      <c r="I893" t="s">
        <v>1851</v>
      </c>
      <c r="J893" t="s">
        <v>107</v>
      </c>
      <c r="K893" s="2">
        <v>254.29</v>
      </c>
      <c r="L893">
        <v>9</v>
      </c>
      <c r="M893" t="s">
        <v>35</v>
      </c>
      <c r="N893">
        <v>5</v>
      </c>
      <c r="O893">
        <v>4</v>
      </c>
      <c r="P893">
        <v>0</v>
      </c>
      <c r="Q893" t="s">
        <v>49</v>
      </c>
      <c r="R893" t="s">
        <v>37</v>
      </c>
      <c r="S893">
        <v>1</v>
      </c>
      <c r="T893">
        <v>7</v>
      </c>
      <c r="U893" t="s">
        <v>59</v>
      </c>
      <c r="V893" t="s">
        <v>60</v>
      </c>
      <c r="W893" t="s">
        <v>86</v>
      </c>
      <c r="X893" s="3">
        <v>46185</v>
      </c>
      <c r="Y893" s="1" t="str">
        <f t="shared" si="26"/>
        <v>Jun</v>
      </c>
      <c r="Z893" s="1" t="str">
        <f t="shared" si="27"/>
        <v>2026</v>
      </c>
      <c r="AA893" t="b">
        <v>0</v>
      </c>
      <c r="AB893" t="b">
        <v>0</v>
      </c>
      <c r="AC893" t="s">
        <v>62</v>
      </c>
      <c r="AD893" t="s">
        <v>67</v>
      </c>
      <c r="AE893">
        <v>3</v>
      </c>
    </row>
    <row r="894" spans="1:31" x14ac:dyDescent="0.3">
      <c r="A894" t="s">
        <v>1852</v>
      </c>
      <c r="B894">
        <v>49</v>
      </c>
      <c r="C894" t="str" cm="1">
        <f t="array" ref="C894">_xlfn.IFS(B894&lt;=18,"0-18",B894&lt;=29,"19-29",B894&gt;=49,"30-49",B894&gt;=69,"50-69",TRUE,"70+")</f>
        <v>30-49</v>
      </c>
      <c r="D894" t="s">
        <v>43</v>
      </c>
      <c r="E894" t="s">
        <v>30</v>
      </c>
      <c r="F894" t="s">
        <v>76</v>
      </c>
      <c r="G894" t="s">
        <v>32</v>
      </c>
      <c r="H894" t="s">
        <v>44</v>
      </c>
      <c r="I894" t="s">
        <v>1853</v>
      </c>
      <c r="J894" t="s">
        <v>90</v>
      </c>
      <c r="K894" s="2">
        <v>435.52</v>
      </c>
      <c r="L894">
        <v>9</v>
      </c>
      <c r="M894" t="s">
        <v>78</v>
      </c>
      <c r="N894">
        <v>5</v>
      </c>
      <c r="O894">
        <v>3</v>
      </c>
      <c r="P894">
        <v>2</v>
      </c>
      <c r="Q894" t="s">
        <v>44</v>
      </c>
      <c r="R894" t="s">
        <v>50</v>
      </c>
      <c r="S894">
        <v>1</v>
      </c>
      <c r="T894">
        <v>2</v>
      </c>
      <c r="U894" t="s">
        <v>49</v>
      </c>
      <c r="V894" t="s">
        <v>79</v>
      </c>
      <c r="W894" t="s">
        <v>61</v>
      </c>
      <c r="X894" s="3">
        <v>46186</v>
      </c>
      <c r="Y894" s="1" t="str">
        <f t="shared" si="26"/>
        <v>Jun</v>
      </c>
      <c r="Z894" s="1" t="str">
        <f t="shared" si="27"/>
        <v>2026</v>
      </c>
      <c r="AA894" t="b">
        <v>1</v>
      </c>
      <c r="AB894" t="b">
        <v>0</v>
      </c>
      <c r="AC894" t="s">
        <v>62</v>
      </c>
      <c r="AD894" t="s">
        <v>41</v>
      </c>
      <c r="AE894">
        <v>11</v>
      </c>
    </row>
    <row r="895" spans="1:31" x14ac:dyDescent="0.3">
      <c r="A895" t="s">
        <v>1854</v>
      </c>
      <c r="B895">
        <v>50</v>
      </c>
      <c r="C895" t="str" cm="1">
        <f t="array" ref="C895">_xlfn.IFS(B895&lt;=18,"0-18",B895&lt;=29,"19-29",B895&gt;=49,"30-49",B895&gt;=69,"50-69",TRUE,"70+")</f>
        <v>30-49</v>
      </c>
      <c r="D895" t="s">
        <v>29</v>
      </c>
      <c r="E895" t="s">
        <v>44</v>
      </c>
      <c r="F895" t="s">
        <v>31</v>
      </c>
      <c r="G895" t="s">
        <v>56</v>
      </c>
      <c r="H895" t="s">
        <v>30</v>
      </c>
      <c r="I895" t="s">
        <v>1855</v>
      </c>
      <c r="J895" t="s">
        <v>58</v>
      </c>
      <c r="K895" s="2">
        <v>235.49</v>
      </c>
      <c r="L895">
        <v>5</v>
      </c>
      <c r="M895" t="s">
        <v>48</v>
      </c>
      <c r="N895">
        <v>4</v>
      </c>
      <c r="O895">
        <v>3</v>
      </c>
      <c r="P895">
        <v>1</v>
      </c>
      <c r="Q895" t="s">
        <v>44</v>
      </c>
      <c r="R895" t="s">
        <v>37</v>
      </c>
      <c r="S895">
        <v>1</v>
      </c>
      <c r="T895">
        <v>6</v>
      </c>
      <c r="U895" t="s">
        <v>36</v>
      </c>
      <c r="V895" t="s">
        <v>60</v>
      </c>
      <c r="W895" t="s">
        <v>86</v>
      </c>
      <c r="X895" s="3">
        <v>46187</v>
      </c>
      <c r="Y895" s="1" t="str">
        <f t="shared" si="26"/>
        <v>Jun</v>
      </c>
      <c r="Z895" s="1" t="str">
        <f t="shared" si="27"/>
        <v>2026</v>
      </c>
      <c r="AA895" t="b">
        <v>1</v>
      </c>
      <c r="AB895" t="b">
        <v>0</v>
      </c>
      <c r="AC895" t="s">
        <v>62</v>
      </c>
      <c r="AD895" t="s">
        <v>67</v>
      </c>
      <c r="AE895">
        <v>5</v>
      </c>
    </row>
    <row r="896" spans="1:31" x14ac:dyDescent="0.3">
      <c r="A896" t="s">
        <v>1856</v>
      </c>
      <c r="B896">
        <v>45</v>
      </c>
      <c r="C896" t="str" cm="1">
        <f t="array" ref="C896">_xlfn.IFS(B896&lt;=18,"0-18",B896&lt;=29,"19-29",B896&gt;=49,"30-49",B896&gt;=69,"50-69",TRUE,"70+")</f>
        <v>70+</v>
      </c>
      <c r="D896" t="s">
        <v>43</v>
      </c>
      <c r="E896" t="s">
        <v>44</v>
      </c>
      <c r="F896" t="s">
        <v>69</v>
      </c>
      <c r="G896" t="s">
        <v>56</v>
      </c>
      <c r="H896" t="s">
        <v>30</v>
      </c>
      <c r="I896" t="s">
        <v>1857</v>
      </c>
      <c r="J896" t="s">
        <v>93</v>
      </c>
      <c r="K896" s="2">
        <v>161.34</v>
      </c>
      <c r="L896">
        <v>3</v>
      </c>
      <c r="M896" t="s">
        <v>35</v>
      </c>
      <c r="N896">
        <v>2</v>
      </c>
      <c r="O896">
        <v>3</v>
      </c>
      <c r="P896">
        <v>2</v>
      </c>
      <c r="Q896" t="s">
        <v>44</v>
      </c>
      <c r="R896" t="s">
        <v>85</v>
      </c>
      <c r="S896">
        <v>1</v>
      </c>
      <c r="T896">
        <v>8</v>
      </c>
      <c r="U896" t="s">
        <v>49</v>
      </c>
      <c r="V896" t="s">
        <v>38</v>
      </c>
      <c r="W896" t="s">
        <v>39</v>
      </c>
      <c r="X896" s="3">
        <v>46188</v>
      </c>
      <c r="Y896" s="1" t="str">
        <f t="shared" si="26"/>
        <v>Jun</v>
      </c>
      <c r="Z896" s="1" t="str">
        <f t="shared" si="27"/>
        <v>2026</v>
      </c>
      <c r="AA896" t="b">
        <v>1</v>
      </c>
      <c r="AB896" t="b">
        <v>0</v>
      </c>
      <c r="AC896" t="s">
        <v>62</v>
      </c>
      <c r="AD896" t="s">
        <v>41</v>
      </c>
      <c r="AE896">
        <v>4</v>
      </c>
    </row>
    <row r="897" spans="1:31" x14ac:dyDescent="0.3">
      <c r="A897" t="s">
        <v>1858</v>
      </c>
      <c r="B897">
        <v>19</v>
      </c>
      <c r="C897" t="str" cm="1">
        <f t="array" ref="C897">_xlfn.IFS(B897&lt;=18,"0-18",B897&lt;=29,"19-29",B897&gt;=49,"30-49",B897&gt;=69,"50-69",TRUE,"70+")</f>
        <v>19-29</v>
      </c>
      <c r="D897" t="s">
        <v>43</v>
      </c>
      <c r="E897" t="s">
        <v>44</v>
      </c>
      <c r="F897" t="s">
        <v>55</v>
      </c>
      <c r="G897" t="s">
        <v>56</v>
      </c>
      <c r="H897" t="s">
        <v>44</v>
      </c>
      <c r="I897" t="s">
        <v>1859</v>
      </c>
      <c r="J897" t="s">
        <v>93</v>
      </c>
      <c r="K897" s="2">
        <v>167.67</v>
      </c>
      <c r="L897">
        <v>11</v>
      </c>
      <c r="M897" t="s">
        <v>48</v>
      </c>
      <c r="N897">
        <v>5</v>
      </c>
      <c r="O897">
        <v>2</v>
      </c>
      <c r="P897">
        <v>1</v>
      </c>
      <c r="Q897" t="s">
        <v>44</v>
      </c>
      <c r="R897" t="s">
        <v>85</v>
      </c>
      <c r="S897">
        <v>0</v>
      </c>
      <c r="T897">
        <v>6</v>
      </c>
      <c r="U897" t="s">
        <v>49</v>
      </c>
      <c r="V897" t="s">
        <v>60</v>
      </c>
      <c r="W897" t="s">
        <v>39</v>
      </c>
      <c r="X897" s="3">
        <v>46189</v>
      </c>
      <c r="Y897" s="1" t="str">
        <f t="shared" si="26"/>
        <v>Jun</v>
      </c>
      <c r="Z897" s="1" t="str">
        <f t="shared" si="27"/>
        <v>2026</v>
      </c>
      <c r="AA897" t="b">
        <v>0</v>
      </c>
      <c r="AB897" t="b">
        <v>1</v>
      </c>
      <c r="AC897" t="s">
        <v>40</v>
      </c>
      <c r="AD897" t="s">
        <v>67</v>
      </c>
      <c r="AE897">
        <v>5</v>
      </c>
    </row>
    <row r="898" spans="1:31" x14ac:dyDescent="0.3">
      <c r="A898" t="s">
        <v>1860</v>
      </c>
      <c r="B898">
        <v>50</v>
      </c>
      <c r="C898" t="str" cm="1">
        <f t="array" ref="C898">_xlfn.IFS(B898&lt;=18,"0-18",B898&lt;=29,"19-29",B898&gt;=49,"30-49",B898&gt;=69,"50-69",TRUE,"70+")</f>
        <v>30-49</v>
      </c>
      <c r="D898" t="s">
        <v>29</v>
      </c>
      <c r="E898" t="s">
        <v>30</v>
      </c>
      <c r="F898" t="s">
        <v>69</v>
      </c>
      <c r="G898" t="s">
        <v>45</v>
      </c>
      <c r="H898" t="s">
        <v>44</v>
      </c>
      <c r="I898" t="s">
        <v>1861</v>
      </c>
      <c r="J898" t="s">
        <v>47</v>
      </c>
      <c r="K898" s="2">
        <v>96.68</v>
      </c>
      <c r="L898">
        <v>10</v>
      </c>
      <c r="M898" t="s">
        <v>35</v>
      </c>
      <c r="N898">
        <v>5</v>
      </c>
      <c r="O898">
        <v>2</v>
      </c>
      <c r="P898">
        <v>2</v>
      </c>
      <c r="Q898" t="s">
        <v>44</v>
      </c>
      <c r="R898" t="s">
        <v>37</v>
      </c>
      <c r="S898">
        <v>2</v>
      </c>
      <c r="T898">
        <v>3</v>
      </c>
      <c r="U898" t="s">
        <v>36</v>
      </c>
      <c r="V898" t="s">
        <v>60</v>
      </c>
      <c r="W898" t="s">
        <v>39</v>
      </c>
      <c r="X898" s="3">
        <v>46190</v>
      </c>
      <c r="Y898" s="1" t="str">
        <f t="shared" si="26"/>
        <v>Jun</v>
      </c>
      <c r="Z898" s="1" t="str">
        <f t="shared" si="27"/>
        <v>2026</v>
      </c>
      <c r="AA898" t="b">
        <v>1</v>
      </c>
      <c r="AB898" t="b">
        <v>0</v>
      </c>
      <c r="AC898" t="s">
        <v>74</v>
      </c>
      <c r="AD898" t="s">
        <v>41</v>
      </c>
      <c r="AE898">
        <v>10</v>
      </c>
    </row>
    <row r="899" spans="1:31" x14ac:dyDescent="0.3">
      <c r="A899" t="s">
        <v>1862</v>
      </c>
      <c r="B899">
        <v>32</v>
      </c>
      <c r="C899" t="str" cm="1">
        <f t="array" ref="C899">_xlfn.IFS(B899&lt;=18,"0-18",B899&lt;=29,"19-29",B899&gt;=49,"30-49",B899&gt;=69,"50-69",TRUE,"70+")</f>
        <v>70+</v>
      </c>
      <c r="D899" t="s">
        <v>43</v>
      </c>
      <c r="E899" t="s">
        <v>44</v>
      </c>
      <c r="F899" t="s">
        <v>31</v>
      </c>
      <c r="G899" t="s">
        <v>56</v>
      </c>
      <c r="H899" t="s">
        <v>44</v>
      </c>
      <c r="I899" t="s">
        <v>1863</v>
      </c>
      <c r="J899" t="s">
        <v>34</v>
      </c>
      <c r="K899" s="2">
        <v>234.58</v>
      </c>
      <c r="L899">
        <v>3</v>
      </c>
      <c r="M899" t="s">
        <v>35</v>
      </c>
      <c r="N899">
        <v>5</v>
      </c>
      <c r="O899">
        <v>5</v>
      </c>
      <c r="P899">
        <v>2</v>
      </c>
      <c r="Q899" t="s">
        <v>59</v>
      </c>
      <c r="R899" t="s">
        <v>85</v>
      </c>
      <c r="S899">
        <v>2</v>
      </c>
      <c r="T899">
        <v>6</v>
      </c>
      <c r="U899" t="s">
        <v>36</v>
      </c>
      <c r="V899" t="s">
        <v>79</v>
      </c>
      <c r="W899" t="s">
        <v>51</v>
      </c>
      <c r="X899" s="3">
        <v>46191</v>
      </c>
      <c r="Y899" s="1" t="str">
        <f t="shared" ref="Y899:Y962" si="28">TEXT(X899,"mmm")</f>
        <v>Jun</v>
      </c>
      <c r="Z899" s="1" t="str">
        <f t="shared" ref="Z899:Z962" si="29">TEXT(X899,"yyyy")</f>
        <v>2026</v>
      </c>
      <c r="AA899" t="b">
        <v>1</v>
      </c>
      <c r="AB899" t="b">
        <v>0</v>
      </c>
      <c r="AC899" t="s">
        <v>62</v>
      </c>
      <c r="AD899" t="s">
        <v>53</v>
      </c>
      <c r="AE899">
        <v>1</v>
      </c>
    </row>
    <row r="900" spans="1:31" x14ac:dyDescent="0.3">
      <c r="A900" t="s">
        <v>1864</v>
      </c>
      <c r="B900">
        <v>21</v>
      </c>
      <c r="C900" t="str" cm="1">
        <f t="array" ref="C900">_xlfn.IFS(B900&lt;=18,"0-18",B900&lt;=29,"19-29",B900&gt;=49,"30-49",B900&gt;=69,"50-69",TRUE,"70+")</f>
        <v>19-29</v>
      </c>
      <c r="D900" t="s">
        <v>43</v>
      </c>
      <c r="E900" t="s">
        <v>30</v>
      </c>
      <c r="F900" t="s">
        <v>31</v>
      </c>
      <c r="G900" t="s">
        <v>56</v>
      </c>
      <c r="H900" t="s">
        <v>30</v>
      </c>
      <c r="I900" t="s">
        <v>1865</v>
      </c>
      <c r="J900" t="s">
        <v>71</v>
      </c>
      <c r="K900" s="2">
        <v>156.47999999999999</v>
      </c>
      <c r="L900">
        <v>7</v>
      </c>
      <c r="M900" t="s">
        <v>48</v>
      </c>
      <c r="N900">
        <v>5</v>
      </c>
      <c r="O900">
        <v>1</v>
      </c>
      <c r="P900">
        <v>0</v>
      </c>
      <c r="Q900" t="s">
        <v>59</v>
      </c>
      <c r="R900" t="s">
        <v>50</v>
      </c>
      <c r="S900">
        <v>2</v>
      </c>
      <c r="T900">
        <v>5</v>
      </c>
      <c r="U900" t="s">
        <v>49</v>
      </c>
      <c r="V900" t="s">
        <v>79</v>
      </c>
      <c r="W900" t="s">
        <v>66</v>
      </c>
      <c r="X900" s="3">
        <v>46192</v>
      </c>
      <c r="Y900" s="1" t="str">
        <f t="shared" si="28"/>
        <v>Jun</v>
      </c>
      <c r="Z900" s="1" t="str">
        <f t="shared" si="29"/>
        <v>2026</v>
      </c>
      <c r="AA900" t="b">
        <v>0</v>
      </c>
      <c r="AB900" t="b">
        <v>1</v>
      </c>
      <c r="AC900" t="s">
        <v>52</v>
      </c>
      <c r="AD900" t="s">
        <v>41</v>
      </c>
      <c r="AE900">
        <v>4</v>
      </c>
    </row>
    <row r="901" spans="1:31" x14ac:dyDescent="0.3">
      <c r="A901" t="s">
        <v>1866</v>
      </c>
      <c r="B901">
        <v>27</v>
      </c>
      <c r="C901" t="str" cm="1">
        <f t="array" ref="C901">_xlfn.IFS(B901&lt;=18,"0-18",B901&lt;=29,"19-29",B901&gt;=49,"30-49",B901&gt;=69,"50-69",TRUE,"70+")</f>
        <v>19-29</v>
      </c>
      <c r="D901" t="s">
        <v>212</v>
      </c>
      <c r="E901" t="s">
        <v>44</v>
      </c>
      <c r="F901" t="s">
        <v>69</v>
      </c>
      <c r="G901" t="s">
        <v>32</v>
      </c>
      <c r="H901" t="s">
        <v>30</v>
      </c>
      <c r="I901" t="s">
        <v>1867</v>
      </c>
      <c r="J901" t="s">
        <v>246</v>
      </c>
      <c r="K901" s="2">
        <v>489.66</v>
      </c>
      <c r="L901">
        <v>11</v>
      </c>
      <c r="M901" t="s">
        <v>35</v>
      </c>
      <c r="N901">
        <v>5</v>
      </c>
      <c r="O901">
        <v>1</v>
      </c>
      <c r="P901">
        <v>0</v>
      </c>
      <c r="Q901" t="s">
        <v>44</v>
      </c>
      <c r="R901" t="s">
        <v>50</v>
      </c>
      <c r="S901">
        <v>2</v>
      </c>
      <c r="T901">
        <v>6</v>
      </c>
      <c r="U901" t="s">
        <v>36</v>
      </c>
      <c r="V901" t="s">
        <v>38</v>
      </c>
      <c r="W901" t="s">
        <v>66</v>
      </c>
      <c r="X901" s="3">
        <v>46193</v>
      </c>
      <c r="Y901" s="1" t="str">
        <f t="shared" si="28"/>
        <v>Jun</v>
      </c>
      <c r="Z901" s="1" t="str">
        <f t="shared" si="29"/>
        <v>2026</v>
      </c>
      <c r="AA901" t="b">
        <v>1</v>
      </c>
      <c r="AB901" t="b">
        <v>0</v>
      </c>
      <c r="AC901" t="s">
        <v>52</v>
      </c>
      <c r="AD901" t="s">
        <v>53</v>
      </c>
      <c r="AE901">
        <v>3</v>
      </c>
    </row>
    <row r="902" spans="1:31" x14ac:dyDescent="0.3">
      <c r="A902" t="s">
        <v>1868</v>
      </c>
      <c r="B902">
        <v>39</v>
      </c>
      <c r="C902" t="str" cm="1">
        <f t="array" ref="C902">_xlfn.IFS(B902&lt;=18,"0-18",B902&lt;=29,"19-29",B902&gt;=49,"30-49",B902&gt;=69,"50-69",TRUE,"70+")</f>
        <v>70+</v>
      </c>
      <c r="D902" t="s">
        <v>274</v>
      </c>
      <c r="E902" t="s">
        <v>44</v>
      </c>
      <c r="F902" t="s">
        <v>76</v>
      </c>
      <c r="G902" t="s">
        <v>56</v>
      </c>
      <c r="H902" t="s">
        <v>44</v>
      </c>
      <c r="I902" t="s">
        <v>1869</v>
      </c>
      <c r="J902" t="s">
        <v>114</v>
      </c>
      <c r="K902" s="2">
        <v>161.85</v>
      </c>
      <c r="L902">
        <v>9</v>
      </c>
      <c r="M902" t="s">
        <v>48</v>
      </c>
      <c r="N902">
        <v>5</v>
      </c>
      <c r="O902">
        <v>3</v>
      </c>
      <c r="P902">
        <v>0</v>
      </c>
      <c r="Q902" t="s">
        <v>44</v>
      </c>
      <c r="R902" t="s">
        <v>85</v>
      </c>
      <c r="S902">
        <v>0</v>
      </c>
      <c r="T902">
        <v>4</v>
      </c>
      <c r="U902" t="s">
        <v>49</v>
      </c>
      <c r="V902" t="s">
        <v>60</v>
      </c>
      <c r="W902" t="s">
        <v>66</v>
      </c>
      <c r="X902" s="3">
        <v>46194</v>
      </c>
      <c r="Y902" s="1" t="str">
        <f t="shared" si="28"/>
        <v>Jun</v>
      </c>
      <c r="Z902" s="1" t="str">
        <f t="shared" si="29"/>
        <v>2026</v>
      </c>
      <c r="AA902" t="b">
        <v>1</v>
      </c>
      <c r="AB902" t="b">
        <v>0</v>
      </c>
      <c r="AC902" t="s">
        <v>40</v>
      </c>
      <c r="AD902" t="s">
        <v>41</v>
      </c>
      <c r="AE902">
        <v>10</v>
      </c>
    </row>
    <row r="903" spans="1:31" x14ac:dyDescent="0.3">
      <c r="A903" t="s">
        <v>1870</v>
      </c>
      <c r="B903">
        <v>34</v>
      </c>
      <c r="C903" t="str" cm="1">
        <f t="array" ref="C903">_xlfn.IFS(B903&lt;=18,"0-18",B903&lt;=29,"19-29",B903&gt;=49,"30-49",B903&gt;=69,"50-69",TRUE,"70+")</f>
        <v>70+</v>
      </c>
      <c r="D903" t="s">
        <v>43</v>
      </c>
      <c r="E903" t="s">
        <v>30</v>
      </c>
      <c r="F903" t="s">
        <v>69</v>
      </c>
      <c r="G903" t="s">
        <v>56</v>
      </c>
      <c r="H903" t="s">
        <v>44</v>
      </c>
      <c r="I903" t="s">
        <v>1871</v>
      </c>
      <c r="J903" t="s">
        <v>117</v>
      </c>
      <c r="K903" s="2">
        <v>204.47</v>
      </c>
      <c r="L903">
        <v>7</v>
      </c>
      <c r="M903" t="s">
        <v>78</v>
      </c>
      <c r="N903">
        <v>2</v>
      </c>
      <c r="O903">
        <v>1</v>
      </c>
      <c r="P903">
        <v>1</v>
      </c>
      <c r="Q903" t="s">
        <v>36</v>
      </c>
      <c r="R903" t="s">
        <v>85</v>
      </c>
      <c r="S903">
        <v>2</v>
      </c>
      <c r="T903">
        <v>9</v>
      </c>
      <c r="U903" t="s">
        <v>36</v>
      </c>
      <c r="V903" t="s">
        <v>60</v>
      </c>
      <c r="W903" t="s">
        <v>39</v>
      </c>
      <c r="X903" s="3">
        <v>46195</v>
      </c>
      <c r="Y903" s="1" t="str">
        <f t="shared" si="28"/>
        <v>Jun</v>
      </c>
      <c r="Z903" s="1" t="str">
        <f t="shared" si="29"/>
        <v>2026</v>
      </c>
      <c r="AA903" t="b">
        <v>1</v>
      </c>
      <c r="AB903" t="b">
        <v>1</v>
      </c>
      <c r="AC903" t="s">
        <v>52</v>
      </c>
      <c r="AD903" t="s">
        <v>41</v>
      </c>
      <c r="AE903">
        <v>3</v>
      </c>
    </row>
    <row r="904" spans="1:31" x14ac:dyDescent="0.3">
      <c r="A904" t="s">
        <v>1872</v>
      </c>
      <c r="B904">
        <v>34</v>
      </c>
      <c r="C904" t="str" cm="1">
        <f t="array" ref="C904">_xlfn.IFS(B904&lt;=18,"0-18",B904&lt;=29,"19-29",B904&gt;=49,"30-49",B904&gt;=69,"50-69",TRUE,"70+")</f>
        <v>70+</v>
      </c>
      <c r="D904" t="s">
        <v>29</v>
      </c>
      <c r="E904" t="s">
        <v>30</v>
      </c>
      <c r="F904" t="s">
        <v>69</v>
      </c>
      <c r="G904" t="s">
        <v>32</v>
      </c>
      <c r="H904" t="s">
        <v>30</v>
      </c>
      <c r="I904" t="s">
        <v>1873</v>
      </c>
      <c r="J904" t="s">
        <v>107</v>
      </c>
      <c r="K904" s="2">
        <v>315.02999999999997</v>
      </c>
      <c r="L904">
        <v>4</v>
      </c>
      <c r="M904" t="s">
        <v>78</v>
      </c>
      <c r="N904">
        <v>1</v>
      </c>
      <c r="O904">
        <v>5</v>
      </c>
      <c r="P904">
        <v>0</v>
      </c>
      <c r="Q904" t="s">
        <v>44</v>
      </c>
      <c r="R904" t="s">
        <v>85</v>
      </c>
      <c r="S904">
        <v>1</v>
      </c>
      <c r="T904">
        <v>6</v>
      </c>
      <c r="U904" t="s">
        <v>59</v>
      </c>
      <c r="V904" t="s">
        <v>38</v>
      </c>
      <c r="W904" t="s">
        <v>51</v>
      </c>
      <c r="X904" s="3">
        <v>46196</v>
      </c>
      <c r="Y904" s="1" t="str">
        <f t="shared" si="28"/>
        <v>Jun</v>
      </c>
      <c r="Z904" s="1" t="str">
        <f t="shared" si="29"/>
        <v>2026</v>
      </c>
      <c r="AA904" t="b">
        <v>1</v>
      </c>
      <c r="AB904" t="b">
        <v>0</v>
      </c>
      <c r="AC904" t="s">
        <v>74</v>
      </c>
      <c r="AD904" t="s">
        <v>67</v>
      </c>
      <c r="AE904">
        <v>2</v>
      </c>
    </row>
    <row r="905" spans="1:31" x14ac:dyDescent="0.3">
      <c r="A905" t="s">
        <v>1874</v>
      </c>
      <c r="B905">
        <v>42</v>
      </c>
      <c r="C905" t="str" cm="1">
        <f t="array" ref="C905">_xlfn.IFS(B905&lt;=18,"0-18",B905&lt;=29,"19-29",B905&gt;=49,"30-49",B905&gt;=69,"50-69",TRUE,"70+")</f>
        <v>70+</v>
      </c>
      <c r="D905" t="s">
        <v>43</v>
      </c>
      <c r="E905" t="s">
        <v>30</v>
      </c>
      <c r="F905" t="s">
        <v>55</v>
      </c>
      <c r="G905" t="s">
        <v>56</v>
      </c>
      <c r="H905" t="s">
        <v>44</v>
      </c>
      <c r="I905" t="s">
        <v>1875</v>
      </c>
      <c r="J905" t="s">
        <v>71</v>
      </c>
      <c r="K905" s="2">
        <v>330.36</v>
      </c>
      <c r="L905">
        <v>12</v>
      </c>
      <c r="M905" t="s">
        <v>48</v>
      </c>
      <c r="N905">
        <v>5</v>
      </c>
      <c r="O905">
        <v>5</v>
      </c>
      <c r="P905">
        <v>1</v>
      </c>
      <c r="Q905" t="s">
        <v>59</v>
      </c>
      <c r="R905" t="s">
        <v>85</v>
      </c>
      <c r="S905">
        <v>1</v>
      </c>
      <c r="T905">
        <v>4</v>
      </c>
      <c r="U905" t="s">
        <v>59</v>
      </c>
      <c r="V905" t="s">
        <v>38</v>
      </c>
      <c r="W905" t="s">
        <v>66</v>
      </c>
      <c r="X905" s="3">
        <v>46197</v>
      </c>
      <c r="Y905" s="1" t="str">
        <f t="shared" si="28"/>
        <v>Jun</v>
      </c>
      <c r="Z905" s="1" t="str">
        <f t="shared" si="29"/>
        <v>2026</v>
      </c>
      <c r="AA905" t="b">
        <v>1</v>
      </c>
      <c r="AB905" t="b">
        <v>1</v>
      </c>
      <c r="AC905" t="s">
        <v>40</v>
      </c>
      <c r="AD905" t="s">
        <v>41</v>
      </c>
      <c r="AE905">
        <v>3</v>
      </c>
    </row>
    <row r="906" spans="1:31" x14ac:dyDescent="0.3">
      <c r="A906" t="s">
        <v>1876</v>
      </c>
      <c r="B906">
        <v>42</v>
      </c>
      <c r="C906" t="str" cm="1">
        <f t="array" ref="C906">_xlfn.IFS(B906&lt;=18,"0-18",B906&lt;=29,"19-29",B906&gt;=49,"30-49",B906&gt;=69,"50-69",TRUE,"70+")</f>
        <v>70+</v>
      </c>
      <c r="D906" t="s">
        <v>43</v>
      </c>
      <c r="E906" t="s">
        <v>30</v>
      </c>
      <c r="F906" t="s">
        <v>55</v>
      </c>
      <c r="G906" t="s">
        <v>32</v>
      </c>
      <c r="H906" t="s">
        <v>30</v>
      </c>
      <c r="I906" t="s">
        <v>1877</v>
      </c>
      <c r="J906" t="s">
        <v>126</v>
      </c>
      <c r="K906" s="2">
        <v>456.83</v>
      </c>
      <c r="L906">
        <v>5</v>
      </c>
      <c r="M906" t="s">
        <v>78</v>
      </c>
      <c r="N906">
        <v>2</v>
      </c>
      <c r="O906">
        <v>5</v>
      </c>
      <c r="P906">
        <v>0</v>
      </c>
      <c r="Q906" t="s">
        <v>36</v>
      </c>
      <c r="R906" t="s">
        <v>50</v>
      </c>
      <c r="S906">
        <v>0</v>
      </c>
      <c r="T906">
        <v>9</v>
      </c>
      <c r="U906" t="s">
        <v>44</v>
      </c>
      <c r="V906" t="s">
        <v>38</v>
      </c>
      <c r="W906" t="s">
        <v>39</v>
      </c>
      <c r="X906" s="3">
        <v>46198</v>
      </c>
      <c r="Y906" s="1" t="str">
        <f t="shared" si="28"/>
        <v>Jun</v>
      </c>
      <c r="Z906" s="1" t="str">
        <f t="shared" si="29"/>
        <v>2026</v>
      </c>
      <c r="AA906" t="b">
        <v>0</v>
      </c>
      <c r="AB906" t="b">
        <v>0</v>
      </c>
      <c r="AC906" t="s">
        <v>40</v>
      </c>
      <c r="AD906" t="s">
        <v>41</v>
      </c>
      <c r="AE906">
        <v>13</v>
      </c>
    </row>
    <row r="907" spans="1:31" x14ac:dyDescent="0.3">
      <c r="A907" t="s">
        <v>1878</v>
      </c>
      <c r="B907">
        <v>31</v>
      </c>
      <c r="C907" t="str" cm="1">
        <f t="array" ref="C907">_xlfn.IFS(B907&lt;=18,"0-18",B907&lt;=29,"19-29",B907&gt;=49,"30-49",B907&gt;=69,"50-69",TRUE,"70+")</f>
        <v>70+</v>
      </c>
      <c r="D907" t="s">
        <v>43</v>
      </c>
      <c r="E907" t="s">
        <v>44</v>
      </c>
      <c r="F907" t="s">
        <v>69</v>
      </c>
      <c r="G907" t="s">
        <v>32</v>
      </c>
      <c r="H907" t="s">
        <v>44</v>
      </c>
      <c r="I907" t="s">
        <v>1879</v>
      </c>
      <c r="J907" t="s">
        <v>246</v>
      </c>
      <c r="K907" s="2">
        <v>236.05</v>
      </c>
      <c r="L907">
        <v>6</v>
      </c>
      <c r="M907" t="s">
        <v>48</v>
      </c>
      <c r="N907">
        <v>2</v>
      </c>
      <c r="O907">
        <v>3</v>
      </c>
      <c r="P907">
        <v>0</v>
      </c>
      <c r="Q907" t="s">
        <v>36</v>
      </c>
      <c r="R907" t="s">
        <v>85</v>
      </c>
      <c r="S907">
        <v>1</v>
      </c>
      <c r="T907">
        <v>4</v>
      </c>
      <c r="U907" t="s">
        <v>44</v>
      </c>
      <c r="V907" t="s">
        <v>79</v>
      </c>
      <c r="W907" t="s">
        <v>66</v>
      </c>
      <c r="X907" s="3">
        <v>46199</v>
      </c>
      <c r="Y907" s="1" t="str">
        <f t="shared" si="28"/>
        <v>Jun</v>
      </c>
      <c r="Z907" s="1" t="str">
        <f t="shared" si="29"/>
        <v>2026</v>
      </c>
      <c r="AA907" t="b">
        <v>0</v>
      </c>
      <c r="AB907" t="b">
        <v>1</v>
      </c>
      <c r="AC907" t="s">
        <v>40</v>
      </c>
      <c r="AD907" t="s">
        <v>41</v>
      </c>
      <c r="AE907">
        <v>13</v>
      </c>
    </row>
    <row r="908" spans="1:31" x14ac:dyDescent="0.3">
      <c r="A908" t="s">
        <v>1880</v>
      </c>
      <c r="B908">
        <v>35</v>
      </c>
      <c r="C908" t="str" cm="1">
        <f t="array" ref="C908">_xlfn.IFS(B908&lt;=18,"0-18",B908&lt;=29,"19-29",B908&gt;=49,"30-49",B908&gt;=69,"50-69",TRUE,"70+")</f>
        <v>70+</v>
      </c>
      <c r="D908" t="s">
        <v>29</v>
      </c>
      <c r="E908" t="s">
        <v>44</v>
      </c>
      <c r="F908" t="s">
        <v>69</v>
      </c>
      <c r="G908" t="s">
        <v>45</v>
      </c>
      <c r="H908" t="s">
        <v>44</v>
      </c>
      <c r="I908" t="s">
        <v>1881</v>
      </c>
      <c r="J908" t="s">
        <v>65</v>
      </c>
      <c r="K908" s="2">
        <v>289.27999999999997</v>
      </c>
      <c r="L908">
        <v>9</v>
      </c>
      <c r="M908" t="s">
        <v>78</v>
      </c>
      <c r="N908">
        <v>3</v>
      </c>
      <c r="O908">
        <v>5</v>
      </c>
      <c r="P908">
        <v>1</v>
      </c>
      <c r="Q908" t="s">
        <v>44</v>
      </c>
      <c r="R908" t="s">
        <v>37</v>
      </c>
      <c r="S908">
        <v>2</v>
      </c>
      <c r="T908">
        <v>7</v>
      </c>
      <c r="U908" t="s">
        <v>49</v>
      </c>
      <c r="V908" t="s">
        <v>38</v>
      </c>
      <c r="W908" t="s">
        <v>51</v>
      </c>
      <c r="X908" s="3">
        <v>46200</v>
      </c>
      <c r="Y908" s="1" t="str">
        <f t="shared" si="28"/>
        <v>Jun</v>
      </c>
      <c r="Z908" s="1" t="str">
        <f t="shared" si="29"/>
        <v>2026</v>
      </c>
      <c r="AA908" t="b">
        <v>0</v>
      </c>
      <c r="AB908" t="b">
        <v>1</v>
      </c>
      <c r="AC908" t="s">
        <v>52</v>
      </c>
      <c r="AD908" t="s">
        <v>67</v>
      </c>
      <c r="AE908">
        <v>13</v>
      </c>
    </row>
    <row r="909" spans="1:31" x14ac:dyDescent="0.3">
      <c r="A909" t="s">
        <v>1882</v>
      </c>
      <c r="B909">
        <v>27</v>
      </c>
      <c r="C909" t="str" cm="1">
        <f t="array" ref="C909">_xlfn.IFS(B909&lt;=18,"0-18",B909&lt;=29,"19-29",B909&gt;=49,"30-49",B909&gt;=69,"50-69",TRUE,"70+")</f>
        <v>19-29</v>
      </c>
      <c r="D909" t="s">
        <v>29</v>
      </c>
      <c r="E909" t="s">
        <v>44</v>
      </c>
      <c r="F909" t="s">
        <v>31</v>
      </c>
      <c r="G909" t="s">
        <v>45</v>
      </c>
      <c r="H909" t="s">
        <v>30</v>
      </c>
      <c r="I909" t="s">
        <v>1883</v>
      </c>
      <c r="J909" t="s">
        <v>114</v>
      </c>
      <c r="K909" s="2">
        <v>483.77</v>
      </c>
      <c r="L909">
        <v>5</v>
      </c>
      <c r="M909" t="s">
        <v>48</v>
      </c>
      <c r="N909">
        <v>1</v>
      </c>
      <c r="O909">
        <v>2</v>
      </c>
      <c r="P909">
        <v>0</v>
      </c>
      <c r="Q909" t="s">
        <v>36</v>
      </c>
      <c r="R909" t="s">
        <v>85</v>
      </c>
      <c r="S909">
        <v>0</v>
      </c>
      <c r="T909">
        <v>5</v>
      </c>
      <c r="U909" t="s">
        <v>36</v>
      </c>
      <c r="V909" t="s">
        <v>79</v>
      </c>
      <c r="W909" t="s">
        <v>39</v>
      </c>
      <c r="X909" s="3">
        <v>46201</v>
      </c>
      <c r="Y909" s="1" t="str">
        <f t="shared" si="28"/>
        <v>Jun</v>
      </c>
      <c r="Z909" s="1" t="str">
        <f t="shared" si="29"/>
        <v>2026</v>
      </c>
      <c r="AA909" t="b">
        <v>0</v>
      </c>
      <c r="AB909" t="b">
        <v>0</v>
      </c>
      <c r="AC909" t="s">
        <v>52</v>
      </c>
      <c r="AD909" t="s">
        <v>41</v>
      </c>
      <c r="AE909">
        <v>10</v>
      </c>
    </row>
    <row r="910" spans="1:31" x14ac:dyDescent="0.3">
      <c r="A910" t="s">
        <v>1884</v>
      </c>
      <c r="B910">
        <v>45</v>
      </c>
      <c r="C910" t="str" cm="1">
        <f t="array" ref="C910">_xlfn.IFS(B910&lt;=18,"0-18",B910&lt;=29,"19-29",B910&gt;=49,"30-49",B910&gt;=69,"50-69",TRUE,"70+")</f>
        <v>70+</v>
      </c>
      <c r="D910" t="s">
        <v>43</v>
      </c>
      <c r="E910" t="s">
        <v>30</v>
      </c>
      <c r="F910" t="s">
        <v>31</v>
      </c>
      <c r="G910" t="s">
        <v>45</v>
      </c>
      <c r="H910" t="s">
        <v>30</v>
      </c>
      <c r="I910" t="s">
        <v>1885</v>
      </c>
      <c r="J910" t="s">
        <v>71</v>
      </c>
      <c r="K910" s="2">
        <v>64.5</v>
      </c>
      <c r="L910">
        <v>7</v>
      </c>
      <c r="M910" t="s">
        <v>48</v>
      </c>
      <c r="N910">
        <v>3</v>
      </c>
      <c r="O910">
        <v>4</v>
      </c>
      <c r="P910">
        <v>1</v>
      </c>
      <c r="Q910" t="s">
        <v>44</v>
      </c>
      <c r="R910" t="s">
        <v>37</v>
      </c>
      <c r="S910">
        <v>1</v>
      </c>
      <c r="T910">
        <v>7</v>
      </c>
      <c r="U910" t="s">
        <v>44</v>
      </c>
      <c r="V910" t="s">
        <v>79</v>
      </c>
      <c r="W910" t="s">
        <v>39</v>
      </c>
      <c r="X910" s="3">
        <v>46202</v>
      </c>
      <c r="Y910" s="1" t="str">
        <f t="shared" si="28"/>
        <v>Jun</v>
      </c>
      <c r="Z910" s="1" t="str">
        <f t="shared" si="29"/>
        <v>2026</v>
      </c>
      <c r="AA910" t="b">
        <v>1</v>
      </c>
      <c r="AB910" t="b">
        <v>0</v>
      </c>
      <c r="AC910" t="s">
        <v>52</v>
      </c>
      <c r="AD910" t="s">
        <v>41</v>
      </c>
      <c r="AE910">
        <v>13</v>
      </c>
    </row>
    <row r="911" spans="1:31" x14ac:dyDescent="0.3">
      <c r="A911" t="s">
        <v>1886</v>
      </c>
      <c r="B911">
        <v>43</v>
      </c>
      <c r="C911" t="str" cm="1">
        <f t="array" ref="C911">_xlfn.IFS(B911&lt;=18,"0-18",B911&lt;=29,"19-29",B911&gt;=49,"30-49",B911&gt;=69,"50-69",TRUE,"70+")</f>
        <v>70+</v>
      </c>
      <c r="D911" t="s">
        <v>43</v>
      </c>
      <c r="E911" t="s">
        <v>44</v>
      </c>
      <c r="F911" t="s">
        <v>31</v>
      </c>
      <c r="G911" t="s">
        <v>32</v>
      </c>
      <c r="H911" t="s">
        <v>30</v>
      </c>
      <c r="I911" t="s">
        <v>1887</v>
      </c>
      <c r="J911" t="s">
        <v>158</v>
      </c>
      <c r="K911" s="2">
        <v>436.57</v>
      </c>
      <c r="L911">
        <v>4</v>
      </c>
      <c r="M911" t="s">
        <v>35</v>
      </c>
      <c r="N911">
        <v>5</v>
      </c>
      <c r="O911">
        <v>3</v>
      </c>
      <c r="P911">
        <v>1</v>
      </c>
      <c r="Q911" t="s">
        <v>44</v>
      </c>
      <c r="R911" t="s">
        <v>50</v>
      </c>
      <c r="S911">
        <v>2</v>
      </c>
      <c r="T911">
        <v>10</v>
      </c>
      <c r="U911" t="s">
        <v>59</v>
      </c>
      <c r="V911" t="s">
        <v>79</v>
      </c>
      <c r="W911" t="s">
        <v>61</v>
      </c>
      <c r="X911" s="3">
        <v>46203</v>
      </c>
      <c r="Y911" s="1" t="str">
        <f t="shared" si="28"/>
        <v>Jun</v>
      </c>
      <c r="Z911" s="1" t="str">
        <f t="shared" si="29"/>
        <v>2026</v>
      </c>
      <c r="AA911" t="b">
        <v>0</v>
      </c>
      <c r="AB911" t="b">
        <v>0</v>
      </c>
      <c r="AC911" t="s">
        <v>52</v>
      </c>
      <c r="AD911" t="s">
        <v>53</v>
      </c>
      <c r="AE911">
        <v>3</v>
      </c>
    </row>
    <row r="912" spans="1:31" x14ac:dyDescent="0.3">
      <c r="A912" t="s">
        <v>1888</v>
      </c>
      <c r="B912">
        <v>35</v>
      </c>
      <c r="C912" t="str" cm="1">
        <f t="array" ref="C912">_xlfn.IFS(B912&lt;=18,"0-18",B912&lt;=29,"19-29",B912&gt;=49,"30-49",B912&gt;=69,"50-69",TRUE,"70+")</f>
        <v>70+</v>
      </c>
      <c r="D912" t="s">
        <v>88</v>
      </c>
      <c r="E912" t="s">
        <v>30</v>
      </c>
      <c r="F912" t="s">
        <v>69</v>
      </c>
      <c r="G912" t="s">
        <v>45</v>
      </c>
      <c r="H912" t="s">
        <v>30</v>
      </c>
      <c r="I912" t="s">
        <v>1889</v>
      </c>
      <c r="J912" t="s">
        <v>47</v>
      </c>
      <c r="K912" s="2">
        <v>364.48</v>
      </c>
      <c r="L912">
        <v>2</v>
      </c>
      <c r="M912" t="s">
        <v>35</v>
      </c>
      <c r="N912">
        <v>3</v>
      </c>
      <c r="O912">
        <v>3</v>
      </c>
      <c r="P912">
        <v>0.2</v>
      </c>
      <c r="Q912" t="s">
        <v>36</v>
      </c>
      <c r="R912" t="s">
        <v>85</v>
      </c>
      <c r="S912">
        <v>2</v>
      </c>
      <c r="T912">
        <v>5</v>
      </c>
      <c r="U912" t="s">
        <v>36</v>
      </c>
      <c r="V912" t="s">
        <v>60</v>
      </c>
      <c r="W912" t="s">
        <v>66</v>
      </c>
      <c r="X912" s="3">
        <v>46204</v>
      </c>
      <c r="Y912" s="1" t="str">
        <f t="shared" si="28"/>
        <v>Jul</v>
      </c>
      <c r="Z912" s="1" t="str">
        <f t="shared" si="29"/>
        <v>2026</v>
      </c>
      <c r="AA912" t="b">
        <v>0</v>
      </c>
      <c r="AB912" t="b">
        <v>0</v>
      </c>
      <c r="AC912" t="s">
        <v>74</v>
      </c>
      <c r="AD912" t="s">
        <v>41</v>
      </c>
      <c r="AE912">
        <v>13</v>
      </c>
    </row>
    <row r="913" spans="1:31" x14ac:dyDescent="0.3">
      <c r="A913" t="s">
        <v>1890</v>
      </c>
      <c r="B913">
        <v>33</v>
      </c>
      <c r="C913" t="str" cm="1">
        <f t="array" ref="C913">_xlfn.IFS(B913&lt;=18,"0-18",B913&lt;=29,"19-29",B913&gt;=49,"30-49",B913&gt;=69,"50-69",TRUE,"70+")</f>
        <v>70+</v>
      </c>
      <c r="D913" t="s">
        <v>29</v>
      </c>
      <c r="E913" t="s">
        <v>30</v>
      </c>
      <c r="F913" t="s">
        <v>69</v>
      </c>
      <c r="G913" t="s">
        <v>56</v>
      </c>
      <c r="H913" t="s">
        <v>44</v>
      </c>
      <c r="I913" t="s">
        <v>1891</v>
      </c>
      <c r="J913" t="s">
        <v>188</v>
      </c>
      <c r="K913" s="2">
        <v>221.88</v>
      </c>
      <c r="L913">
        <v>12</v>
      </c>
      <c r="M913" t="s">
        <v>48</v>
      </c>
      <c r="N913">
        <v>1</v>
      </c>
      <c r="O913">
        <v>4</v>
      </c>
      <c r="P913">
        <v>2</v>
      </c>
      <c r="Q913" t="s">
        <v>59</v>
      </c>
      <c r="R913" t="s">
        <v>37</v>
      </c>
      <c r="S913">
        <v>1</v>
      </c>
      <c r="T913">
        <v>6</v>
      </c>
      <c r="U913" t="s">
        <v>36</v>
      </c>
      <c r="V913" t="s">
        <v>79</v>
      </c>
      <c r="W913" t="s">
        <v>66</v>
      </c>
      <c r="X913" s="3">
        <v>46205</v>
      </c>
      <c r="Y913" s="1" t="str">
        <f t="shared" si="28"/>
        <v>Jul</v>
      </c>
      <c r="Z913" s="1" t="str">
        <f t="shared" si="29"/>
        <v>2026</v>
      </c>
      <c r="AA913" t="b">
        <v>1</v>
      </c>
      <c r="AB913" t="b">
        <v>0</v>
      </c>
      <c r="AC913" t="s">
        <v>40</v>
      </c>
      <c r="AD913" t="s">
        <v>67</v>
      </c>
      <c r="AE913">
        <v>9</v>
      </c>
    </row>
    <row r="914" spans="1:31" x14ac:dyDescent="0.3">
      <c r="A914" t="s">
        <v>1892</v>
      </c>
      <c r="B914">
        <v>31</v>
      </c>
      <c r="C914" t="str" cm="1">
        <f t="array" ref="C914">_xlfn.IFS(B914&lt;=18,"0-18",B914&lt;=29,"19-29",B914&gt;=49,"30-49",B914&gt;=69,"50-69",TRUE,"70+")</f>
        <v>70+</v>
      </c>
      <c r="D914" t="s">
        <v>29</v>
      </c>
      <c r="E914" t="s">
        <v>30</v>
      </c>
      <c r="F914" t="s">
        <v>55</v>
      </c>
      <c r="G914" t="s">
        <v>45</v>
      </c>
      <c r="H914" t="s">
        <v>30</v>
      </c>
      <c r="I914" t="s">
        <v>1893</v>
      </c>
      <c r="J914" t="s">
        <v>183</v>
      </c>
      <c r="K914" s="2">
        <v>278.20999999999998</v>
      </c>
      <c r="L914">
        <v>3</v>
      </c>
      <c r="M914" t="s">
        <v>35</v>
      </c>
      <c r="N914">
        <v>5</v>
      </c>
      <c r="O914">
        <v>1</v>
      </c>
      <c r="P914">
        <v>2</v>
      </c>
      <c r="Q914" t="s">
        <v>59</v>
      </c>
      <c r="R914" t="s">
        <v>37</v>
      </c>
      <c r="S914">
        <v>0</v>
      </c>
      <c r="T914">
        <v>7</v>
      </c>
      <c r="U914" t="s">
        <v>59</v>
      </c>
      <c r="V914" t="s">
        <v>38</v>
      </c>
      <c r="W914" t="s">
        <v>66</v>
      </c>
      <c r="X914" s="3">
        <v>46206</v>
      </c>
      <c r="Y914" s="1" t="str">
        <f t="shared" si="28"/>
        <v>Jul</v>
      </c>
      <c r="Z914" s="1" t="str">
        <f t="shared" si="29"/>
        <v>2026</v>
      </c>
      <c r="AA914" t="b">
        <v>1</v>
      </c>
      <c r="AB914" t="b">
        <v>0</v>
      </c>
      <c r="AC914" t="s">
        <v>40</v>
      </c>
      <c r="AD914" t="s">
        <v>41</v>
      </c>
      <c r="AE914">
        <v>14</v>
      </c>
    </row>
    <row r="915" spans="1:31" x14ac:dyDescent="0.3">
      <c r="A915" t="s">
        <v>1894</v>
      </c>
      <c r="B915">
        <v>31</v>
      </c>
      <c r="C915" t="str" cm="1">
        <f t="array" ref="C915">_xlfn.IFS(B915&lt;=18,"0-18",B915&lt;=29,"19-29",B915&gt;=49,"30-49",B915&gt;=69,"50-69",TRUE,"70+")</f>
        <v>70+</v>
      </c>
      <c r="D915" t="s">
        <v>29</v>
      </c>
      <c r="E915" t="s">
        <v>44</v>
      </c>
      <c r="F915" t="s">
        <v>31</v>
      </c>
      <c r="G915" t="s">
        <v>56</v>
      </c>
      <c r="H915" t="s">
        <v>44</v>
      </c>
      <c r="I915" t="s">
        <v>1895</v>
      </c>
      <c r="J915" t="s">
        <v>142</v>
      </c>
      <c r="K915" s="2">
        <v>344.43</v>
      </c>
      <c r="L915">
        <v>7</v>
      </c>
      <c r="M915" t="s">
        <v>78</v>
      </c>
      <c r="N915">
        <v>3</v>
      </c>
      <c r="O915">
        <v>5</v>
      </c>
      <c r="P915">
        <v>0</v>
      </c>
      <c r="Q915" t="s">
        <v>49</v>
      </c>
      <c r="R915" t="s">
        <v>50</v>
      </c>
      <c r="S915">
        <v>2</v>
      </c>
      <c r="T915">
        <v>4</v>
      </c>
      <c r="U915" t="s">
        <v>49</v>
      </c>
      <c r="V915" t="s">
        <v>79</v>
      </c>
      <c r="W915" t="s">
        <v>39</v>
      </c>
      <c r="X915" s="3">
        <v>46207</v>
      </c>
      <c r="Y915" s="1" t="str">
        <f t="shared" si="28"/>
        <v>Jul</v>
      </c>
      <c r="Z915" s="1" t="str">
        <f t="shared" si="29"/>
        <v>2026</v>
      </c>
      <c r="AA915" t="b">
        <v>1</v>
      </c>
      <c r="AB915" t="b">
        <v>0</v>
      </c>
      <c r="AC915" t="s">
        <v>62</v>
      </c>
      <c r="AD915" t="s">
        <v>53</v>
      </c>
      <c r="AE915">
        <v>5</v>
      </c>
    </row>
    <row r="916" spans="1:31" x14ac:dyDescent="0.3">
      <c r="A916" t="s">
        <v>1896</v>
      </c>
      <c r="B916">
        <v>26</v>
      </c>
      <c r="C916" t="str" cm="1">
        <f t="array" ref="C916">_xlfn.IFS(B916&lt;=18,"0-18",B916&lt;=29,"19-29",B916&gt;=49,"30-49",B916&gt;=69,"50-69",TRUE,"70+")</f>
        <v>19-29</v>
      </c>
      <c r="D916" t="s">
        <v>43</v>
      </c>
      <c r="E916" t="s">
        <v>44</v>
      </c>
      <c r="F916" t="s">
        <v>55</v>
      </c>
      <c r="G916" t="s">
        <v>56</v>
      </c>
      <c r="H916" t="s">
        <v>44</v>
      </c>
      <c r="I916" t="s">
        <v>1897</v>
      </c>
      <c r="J916" t="s">
        <v>123</v>
      </c>
      <c r="K916" s="2">
        <v>326.08</v>
      </c>
      <c r="L916">
        <v>11</v>
      </c>
      <c r="M916" t="s">
        <v>48</v>
      </c>
      <c r="N916">
        <v>4</v>
      </c>
      <c r="O916">
        <v>3</v>
      </c>
      <c r="P916">
        <v>2</v>
      </c>
      <c r="Q916" t="s">
        <v>49</v>
      </c>
      <c r="R916" t="s">
        <v>50</v>
      </c>
      <c r="S916">
        <v>2</v>
      </c>
      <c r="T916">
        <v>6</v>
      </c>
      <c r="U916" t="s">
        <v>49</v>
      </c>
      <c r="V916" t="s">
        <v>38</v>
      </c>
      <c r="W916" t="s">
        <v>51</v>
      </c>
      <c r="X916" s="3">
        <v>46208</v>
      </c>
      <c r="Y916" s="1" t="str">
        <f t="shared" si="28"/>
        <v>Jul</v>
      </c>
      <c r="Z916" s="1" t="str">
        <f t="shared" si="29"/>
        <v>2026</v>
      </c>
      <c r="AA916" t="b">
        <v>1</v>
      </c>
      <c r="AB916" t="b">
        <v>1</v>
      </c>
      <c r="AC916" t="s">
        <v>62</v>
      </c>
      <c r="AD916" t="s">
        <v>67</v>
      </c>
      <c r="AE916">
        <v>8</v>
      </c>
    </row>
    <row r="917" spans="1:31" x14ac:dyDescent="0.3">
      <c r="A917" t="s">
        <v>1898</v>
      </c>
      <c r="B917">
        <v>49</v>
      </c>
      <c r="C917" t="str" cm="1">
        <f t="array" ref="C917">_xlfn.IFS(B917&lt;=18,"0-18",B917&lt;=29,"19-29",B917&gt;=49,"30-49",B917&gt;=69,"50-69",TRUE,"70+")</f>
        <v>30-49</v>
      </c>
      <c r="D917" t="s">
        <v>43</v>
      </c>
      <c r="E917" t="s">
        <v>44</v>
      </c>
      <c r="F917" t="s">
        <v>31</v>
      </c>
      <c r="G917" t="s">
        <v>32</v>
      </c>
      <c r="H917" t="s">
        <v>30</v>
      </c>
      <c r="I917" t="s">
        <v>277</v>
      </c>
      <c r="J917" t="s">
        <v>34</v>
      </c>
      <c r="K917" s="2">
        <v>437.97</v>
      </c>
      <c r="L917">
        <v>8</v>
      </c>
      <c r="M917" t="s">
        <v>78</v>
      </c>
      <c r="N917">
        <v>4</v>
      </c>
      <c r="O917">
        <v>2</v>
      </c>
      <c r="P917">
        <v>0</v>
      </c>
      <c r="Q917" t="s">
        <v>44</v>
      </c>
      <c r="R917" t="s">
        <v>50</v>
      </c>
      <c r="S917">
        <v>0</v>
      </c>
      <c r="T917">
        <v>7</v>
      </c>
      <c r="U917" t="s">
        <v>49</v>
      </c>
      <c r="V917" t="s">
        <v>38</v>
      </c>
      <c r="W917" t="s">
        <v>61</v>
      </c>
      <c r="X917" s="3">
        <v>46209</v>
      </c>
      <c r="Y917" s="1" t="str">
        <f t="shared" si="28"/>
        <v>Jul</v>
      </c>
      <c r="Z917" s="1" t="str">
        <f t="shared" si="29"/>
        <v>2026</v>
      </c>
      <c r="AA917" t="b">
        <v>1</v>
      </c>
      <c r="AB917" t="b">
        <v>1</v>
      </c>
      <c r="AC917" t="s">
        <v>40</v>
      </c>
      <c r="AD917" t="s">
        <v>67</v>
      </c>
      <c r="AE917">
        <v>12</v>
      </c>
    </row>
    <row r="918" spans="1:31" x14ac:dyDescent="0.3">
      <c r="A918" t="s">
        <v>1899</v>
      </c>
      <c r="B918">
        <v>23</v>
      </c>
      <c r="C918" t="str" cm="1">
        <f t="array" ref="C918">_xlfn.IFS(B918&lt;=18,"0-18",B918&lt;=29,"19-29",B918&gt;=49,"30-49",B918&gt;=69,"50-69",TRUE,"70+")</f>
        <v>19-29</v>
      </c>
      <c r="D918" t="s">
        <v>43</v>
      </c>
      <c r="E918" t="s">
        <v>44</v>
      </c>
      <c r="F918" t="s">
        <v>55</v>
      </c>
      <c r="G918" t="s">
        <v>56</v>
      </c>
      <c r="H918" t="s">
        <v>44</v>
      </c>
      <c r="I918" t="s">
        <v>856</v>
      </c>
      <c r="J918" t="s">
        <v>114</v>
      </c>
      <c r="K918" s="2">
        <v>391.87</v>
      </c>
      <c r="L918">
        <v>3</v>
      </c>
      <c r="M918" t="s">
        <v>78</v>
      </c>
      <c r="N918">
        <v>1</v>
      </c>
      <c r="O918">
        <v>4</v>
      </c>
      <c r="P918">
        <v>2</v>
      </c>
      <c r="Q918" t="s">
        <v>44</v>
      </c>
      <c r="R918" t="s">
        <v>85</v>
      </c>
      <c r="S918">
        <v>0</v>
      </c>
      <c r="T918">
        <v>2</v>
      </c>
      <c r="U918" t="s">
        <v>49</v>
      </c>
      <c r="V918" t="s">
        <v>79</v>
      </c>
      <c r="W918" t="s">
        <v>86</v>
      </c>
      <c r="X918" s="3">
        <v>46210</v>
      </c>
      <c r="Y918" s="1" t="str">
        <f t="shared" si="28"/>
        <v>Jul</v>
      </c>
      <c r="Z918" s="1" t="str">
        <f t="shared" si="29"/>
        <v>2026</v>
      </c>
      <c r="AA918" t="b">
        <v>1</v>
      </c>
      <c r="AB918" t="b">
        <v>0</v>
      </c>
      <c r="AC918" t="s">
        <v>74</v>
      </c>
      <c r="AD918" t="s">
        <v>53</v>
      </c>
      <c r="AE918">
        <v>6</v>
      </c>
    </row>
    <row r="919" spans="1:31" x14ac:dyDescent="0.3">
      <c r="A919" t="s">
        <v>1900</v>
      </c>
      <c r="B919">
        <v>42</v>
      </c>
      <c r="C919" t="str" cm="1">
        <f t="array" ref="C919">_xlfn.IFS(B919&lt;=18,"0-18",B919&lt;=29,"19-29",B919&gt;=49,"30-49",B919&gt;=69,"50-69",TRUE,"70+")</f>
        <v>70+</v>
      </c>
      <c r="D919" t="s">
        <v>43</v>
      </c>
      <c r="E919" t="s">
        <v>44</v>
      </c>
      <c r="F919" t="s">
        <v>55</v>
      </c>
      <c r="G919" t="s">
        <v>56</v>
      </c>
      <c r="H919" t="s">
        <v>30</v>
      </c>
      <c r="I919" t="s">
        <v>1901</v>
      </c>
      <c r="J919" t="s">
        <v>194</v>
      </c>
      <c r="K919" s="2">
        <v>333.41</v>
      </c>
      <c r="L919">
        <v>3</v>
      </c>
      <c r="M919" t="s">
        <v>78</v>
      </c>
      <c r="N919">
        <v>2</v>
      </c>
      <c r="O919">
        <v>5</v>
      </c>
      <c r="P919">
        <v>1</v>
      </c>
      <c r="Q919" t="s">
        <v>44</v>
      </c>
      <c r="R919" t="s">
        <v>85</v>
      </c>
      <c r="S919">
        <v>1</v>
      </c>
      <c r="T919">
        <v>6</v>
      </c>
      <c r="U919" t="s">
        <v>36</v>
      </c>
      <c r="V919" t="s">
        <v>38</v>
      </c>
      <c r="W919" t="s">
        <v>51</v>
      </c>
      <c r="X919" s="3">
        <v>46211</v>
      </c>
      <c r="Y919" s="1" t="str">
        <f t="shared" si="28"/>
        <v>Jul</v>
      </c>
      <c r="Z919" s="1" t="str">
        <f t="shared" si="29"/>
        <v>2026</v>
      </c>
      <c r="AA919" t="b">
        <v>0</v>
      </c>
      <c r="AB919" t="b">
        <v>0</v>
      </c>
      <c r="AC919" t="s">
        <v>74</v>
      </c>
      <c r="AD919" t="s">
        <v>53</v>
      </c>
      <c r="AE919">
        <v>3</v>
      </c>
    </row>
    <row r="920" spans="1:31" x14ac:dyDescent="0.3">
      <c r="A920" t="s">
        <v>1902</v>
      </c>
      <c r="B920">
        <v>32</v>
      </c>
      <c r="C920" t="str" cm="1">
        <f t="array" ref="C920">_xlfn.IFS(B920&lt;=18,"0-18",B920&lt;=29,"19-29",B920&gt;=49,"30-49",B920&gt;=69,"50-69",TRUE,"70+")</f>
        <v>70+</v>
      </c>
      <c r="D920" t="s">
        <v>43</v>
      </c>
      <c r="E920" t="s">
        <v>30</v>
      </c>
      <c r="F920" t="s">
        <v>55</v>
      </c>
      <c r="G920" t="s">
        <v>32</v>
      </c>
      <c r="H920" t="s">
        <v>44</v>
      </c>
      <c r="I920" t="s">
        <v>1903</v>
      </c>
      <c r="J920" t="s">
        <v>158</v>
      </c>
      <c r="K920" s="2">
        <v>251.54</v>
      </c>
      <c r="L920">
        <v>9</v>
      </c>
      <c r="M920" t="s">
        <v>78</v>
      </c>
      <c r="N920">
        <v>5</v>
      </c>
      <c r="O920">
        <v>1</v>
      </c>
      <c r="P920">
        <v>0</v>
      </c>
      <c r="Q920" t="s">
        <v>44</v>
      </c>
      <c r="R920" t="s">
        <v>50</v>
      </c>
      <c r="S920">
        <v>2</v>
      </c>
      <c r="T920">
        <v>10</v>
      </c>
      <c r="U920" t="s">
        <v>59</v>
      </c>
      <c r="V920" t="s">
        <v>79</v>
      </c>
      <c r="W920" t="s">
        <v>51</v>
      </c>
      <c r="X920" s="3">
        <v>46212</v>
      </c>
      <c r="Y920" s="1" t="str">
        <f t="shared" si="28"/>
        <v>Jul</v>
      </c>
      <c r="Z920" s="1" t="str">
        <f t="shared" si="29"/>
        <v>2026</v>
      </c>
      <c r="AA920" t="b">
        <v>1</v>
      </c>
      <c r="AB920" t="b">
        <v>0</v>
      </c>
      <c r="AC920" t="s">
        <v>62</v>
      </c>
      <c r="AD920" t="s">
        <v>41</v>
      </c>
      <c r="AE920">
        <v>1</v>
      </c>
    </row>
    <row r="921" spans="1:31" x14ac:dyDescent="0.3">
      <c r="A921" t="s">
        <v>1904</v>
      </c>
      <c r="B921">
        <v>37</v>
      </c>
      <c r="C921" t="str" cm="1">
        <f t="array" ref="C921">_xlfn.IFS(B921&lt;=18,"0-18",B921&lt;=29,"19-29",B921&gt;=49,"30-49",B921&gt;=69,"50-69",TRUE,"70+")</f>
        <v>70+</v>
      </c>
      <c r="D921" t="s">
        <v>29</v>
      </c>
      <c r="E921" t="s">
        <v>30</v>
      </c>
      <c r="F921" t="s">
        <v>55</v>
      </c>
      <c r="G921" t="s">
        <v>45</v>
      </c>
      <c r="H921" t="s">
        <v>30</v>
      </c>
      <c r="I921" t="s">
        <v>1905</v>
      </c>
      <c r="J921" t="s">
        <v>117</v>
      </c>
      <c r="K921" s="2">
        <v>292.08</v>
      </c>
      <c r="L921">
        <v>7</v>
      </c>
      <c r="M921" t="s">
        <v>48</v>
      </c>
      <c r="N921">
        <v>3</v>
      </c>
      <c r="O921">
        <v>2</v>
      </c>
      <c r="P921">
        <v>1</v>
      </c>
      <c r="Q921" t="s">
        <v>44</v>
      </c>
      <c r="R921" t="s">
        <v>37</v>
      </c>
      <c r="S921">
        <v>2</v>
      </c>
      <c r="T921">
        <v>9</v>
      </c>
      <c r="U921" t="s">
        <v>59</v>
      </c>
      <c r="V921" t="s">
        <v>60</v>
      </c>
      <c r="W921" t="s">
        <v>39</v>
      </c>
      <c r="X921" s="3">
        <v>46213</v>
      </c>
      <c r="Y921" s="1" t="str">
        <f t="shared" si="28"/>
        <v>Jul</v>
      </c>
      <c r="Z921" s="1" t="str">
        <f t="shared" si="29"/>
        <v>2026</v>
      </c>
      <c r="AA921" t="b">
        <v>0</v>
      </c>
      <c r="AB921" t="b">
        <v>0</v>
      </c>
      <c r="AC921" t="s">
        <v>40</v>
      </c>
      <c r="AD921" t="s">
        <v>53</v>
      </c>
      <c r="AE921">
        <v>11</v>
      </c>
    </row>
    <row r="922" spans="1:31" x14ac:dyDescent="0.3">
      <c r="A922" t="s">
        <v>1906</v>
      </c>
      <c r="B922">
        <v>25</v>
      </c>
      <c r="C922" t="str" cm="1">
        <f t="array" ref="C922">_xlfn.IFS(B922&lt;=18,"0-18",B922&lt;=29,"19-29",B922&gt;=49,"30-49",B922&gt;=69,"50-69",TRUE,"70+")</f>
        <v>19-29</v>
      </c>
      <c r="D922" t="s">
        <v>212</v>
      </c>
      <c r="E922" t="s">
        <v>44</v>
      </c>
      <c r="F922" t="s">
        <v>69</v>
      </c>
      <c r="G922" t="s">
        <v>32</v>
      </c>
      <c r="H922" t="s">
        <v>30</v>
      </c>
      <c r="I922" t="s">
        <v>1907</v>
      </c>
      <c r="J922" t="s">
        <v>194</v>
      </c>
      <c r="K922" s="2">
        <v>204.29</v>
      </c>
      <c r="L922">
        <v>11</v>
      </c>
      <c r="M922" t="s">
        <v>48</v>
      </c>
      <c r="N922">
        <v>5</v>
      </c>
      <c r="O922">
        <v>4</v>
      </c>
      <c r="P922">
        <v>0</v>
      </c>
      <c r="Q922" t="s">
        <v>36</v>
      </c>
      <c r="R922" t="s">
        <v>50</v>
      </c>
      <c r="S922">
        <v>2</v>
      </c>
      <c r="T922">
        <v>1</v>
      </c>
      <c r="U922" t="s">
        <v>49</v>
      </c>
      <c r="V922" t="s">
        <v>60</v>
      </c>
      <c r="W922" t="s">
        <v>51</v>
      </c>
      <c r="X922" s="3">
        <v>46214</v>
      </c>
      <c r="Y922" s="1" t="str">
        <f t="shared" si="28"/>
        <v>Jul</v>
      </c>
      <c r="Z922" s="1" t="str">
        <f t="shared" si="29"/>
        <v>2026</v>
      </c>
      <c r="AA922" t="b">
        <v>0</v>
      </c>
      <c r="AB922" t="b">
        <v>0</v>
      </c>
      <c r="AC922" t="s">
        <v>62</v>
      </c>
      <c r="AD922" t="s">
        <v>67</v>
      </c>
      <c r="AE922">
        <v>12</v>
      </c>
    </row>
    <row r="923" spans="1:31" x14ac:dyDescent="0.3">
      <c r="A923" t="s">
        <v>1908</v>
      </c>
      <c r="B923">
        <v>49</v>
      </c>
      <c r="C923" t="str" cm="1">
        <f t="array" ref="C923">_xlfn.IFS(B923&lt;=18,"0-18",B923&lt;=29,"19-29",B923&gt;=49,"30-49",B923&gt;=69,"50-69",TRUE,"70+")</f>
        <v>30-49</v>
      </c>
      <c r="D923" t="s">
        <v>43</v>
      </c>
      <c r="E923" t="s">
        <v>30</v>
      </c>
      <c r="F923" t="s">
        <v>55</v>
      </c>
      <c r="G923" t="s">
        <v>45</v>
      </c>
      <c r="H923" t="s">
        <v>30</v>
      </c>
      <c r="I923" t="s">
        <v>1909</v>
      </c>
      <c r="J923" t="s">
        <v>114</v>
      </c>
      <c r="K923" s="2">
        <v>258.68</v>
      </c>
      <c r="L923">
        <v>4</v>
      </c>
      <c r="M923" t="s">
        <v>78</v>
      </c>
      <c r="N923">
        <v>4</v>
      </c>
      <c r="O923">
        <v>2</v>
      </c>
      <c r="P923">
        <v>1</v>
      </c>
      <c r="Q923" t="s">
        <v>59</v>
      </c>
      <c r="R923" t="s">
        <v>37</v>
      </c>
      <c r="S923">
        <v>0</v>
      </c>
      <c r="T923">
        <v>9</v>
      </c>
      <c r="U923" t="s">
        <v>36</v>
      </c>
      <c r="V923" t="s">
        <v>79</v>
      </c>
      <c r="W923" t="s">
        <v>39</v>
      </c>
      <c r="X923" s="3">
        <v>46215</v>
      </c>
      <c r="Y923" s="1" t="str">
        <f t="shared" si="28"/>
        <v>Jul</v>
      </c>
      <c r="Z923" s="1" t="str">
        <f t="shared" si="29"/>
        <v>2026</v>
      </c>
      <c r="AA923" t="b">
        <v>0</v>
      </c>
      <c r="AB923" t="b">
        <v>0</v>
      </c>
      <c r="AC923" t="s">
        <v>62</v>
      </c>
      <c r="AD923" t="s">
        <v>41</v>
      </c>
      <c r="AE923">
        <v>9</v>
      </c>
    </row>
    <row r="924" spans="1:31" x14ac:dyDescent="0.3">
      <c r="A924" t="s">
        <v>1910</v>
      </c>
      <c r="B924">
        <v>26</v>
      </c>
      <c r="C924" t="str" cm="1">
        <f t="array" ref="C924">_xlfn.IFS(B924&lt;=18,"0-18",B924&lt;=29,"19-29",B924&gt;=49,"30-49",B924&gt;=69,"50-69",TRUE,"70+")</f>
        <v>19-29</v>
      </c>
      <c r="D924" t="s">
        <v>43</v>
      </c>
      <c r="E924" t="s">
        <v>30</v>
      </c>
      <c r="F924" t="s">
        <v>31</v>
      </c>
      <c r="G924" t="s">
        <v>32</v>
      </c>
      <c r="H924" t="s">
        <v>44</v>
      </c>
      <c r="I924" t="s">
        <v>1911</v>
      </c>
      <c r="J924" t="s">
        <v>34</v>
      </c>
      <c r="K924" s="2">
        <v>258.02</v>
      </c>
      <c r="L924">
        <v>2</v>
      </c>
      <c r="M924" t="s">
        <v>48</v>
      </c>
      <c r="N924">
        <v>3</v>
      </c>
      <c r="O924">
        <v>2</v>
      </c>
      <c r="P924">
        <v>1</v>
      </c>
      <c r="Q924" t="s">
        <v>59</v>
      </c>
      <c r="R924" t="s">
        <v>85</v>
      </c>
      <c r="S924">
        <v>2</v>
      </c>
      <c r="T924">
        <v>4</v>
      </c>
      <c r="U924" t="s">
        <v>44</v>
      </c>
      <c r="V924" t="s">
        <v>79</v>
      </c>
      <c r="W924" t="s">
        <v>51</v>
      </c>
      <c r="X924" s="3">
        <v>46216</v>
      </c>
      <c r="Y924" s="1" t="str">
        <f t="shared" si="28"/>
        <v>Jul</v>
      </c>
      <c r="Z924" s="1" t="str">
        <f t="shared" si="29"/>
        <v>2026</v>
      </c>
      <c r="AA924" t="b">
        <v>1</v>
      </c>
      <c r="AB924" t="b">
        <v>1</v>
      </c>
      <c r="AC924" t="s">
        <v>40</v>
      </c>
      <c r="AD924" t="s">
        <v>67</v>
      </c>
      <c r="AE924">
        <v>13</v>
      </c>
    </row>
    <row r="925" spans="1:31" x14ac:dyDescent="0.3">
      <c r="A925" t="s">
        <v>1912</v>
      </c>
      <c r="B925">
        <v>29</v>
      </c>
      <c r="C925" t="str" cm="1">
        <f t="array" ref="C925">_xlfn.IFS(B925&lt;=18,"0-18",B925&lt;=29,"19-29",B925&gt;=49,"30-49",B925&gt;=69,"50-69",TRUE,"70+")</f>
        <v>19-29</v>
      </c>
      <c r="D925" t="s">
        <v>29</v>
      </c>
      <c r="E925" t="s">
        <v>44</v>
      </c>
      <c r="F925" t="s">
        <v>55</v>
      </c>
      <c r="G925" t="s">
        <v>56</v>
      </c>
      <c r="H925" t="s">
        <v>30</v>
      </c>
      <c r="I925" t="s">
        <v>712</v>
      </c>
      <c r="J925" t="s">
        <v>34</v>
      </c>
      <c r="K925" s="2">
        <v>181.87</v>
      </c>
      <c r="L925">
        <v>12</v>
      </c>
      <c r="M925" t="s">
        <v>35</v>
      </c>
      <c r="N925">
        <v>4</v>
      </c>
      <c r="O925">
        <v>1</v>
      </c>
      <c r="P925">
        <v>1</v>
      </c>
      <c r="Q925" t="s">
        <v>49</v>
      </c>
      <c r="R925" t="s">
        <v>50</v>
      </c>
      <c r="S925">
        <v>2</v>
      </c>
      <c r="T925">
        <v>4</v>
      </c>
      <c r="U925" t="s">
        <v>44</v>
      </c>
      <c r="V925" t="s">
        <v>79</v>
      </c>
      <c r="W925" t="s">
        <v>61</v>
      </c>
      <c r="X925" s="3">
        <v>46217</v>
      </c>
      <c r="Y925" s="1" t="str">
        <f t="shared" si="28"/>
        <v>Jul</v>
      </c>
      <c r="Z925" s="1" t="str">
        <f t="shared" si="29"/>
        <v>2026</v>
      </c>
      <c r="AA925" t="b">
        <v>0</v>
      </c>
      <c r="AB925" t="b">
        <v>1</v>
      </c>
      <c r="AC925" t="s">
        <v>52</v>
      </c>
      <c r="AD925" t="s">
        <v>41</v>
      </c>
      <c r="AE925">
        <v>11</v>
      </c>
    </row>
    <row r="926" spans="1:31" x14ac:dyDescent="0.3">
      <c r="A926" t="s">
        <v>1913</v>
      </c>
      <c r="B926">
        <v>26</v>
      </c>
      <c r="C926" t="str" cm="1">
        <f t="array" ref="C926">_xlfn.IFS(B926&lt;=18,"0-18",B926&lt;=29,"19-29",B926&gt;=49,"30-49",B926&gt;=69,"50-69",TRUE,"70+")</f>
        <v>19-29</v>
      </c>
      <c r="D926" t="s">
        <v>43</v>
      </c>
      <c r="E926" t="s">
        <v>44</v>
      </c>
      <c r="F926" t="s">
        <v>76</v>
      </c>
      <c r="G926" t="s">
        <v>45</v>
      </c>
      <c r="H926" t="s">
        <v>30</v>
      </c>
      <c r="I926" t="s">
        <v>1914</v>
      </c>
      <c r="J926" t="s">
        <v>158</v>
      </c>
      <c r="K926" s="2">
        <v>81.180000000000007</v>
      </c>
      <c r="L926">
        <v>8</v>
      </c>
      <c r="M926" t="s">
        <v>78</v>
      </c>
      <c r="N926">
        <v>4</v>
      </c>
      <c r="O926">
        <v>5</v>
      </c>
      <c r="P926">
        <v>1</v>
      </c>
      <c r="Q926" t="s">
        <v>59</v>
      </c>
      <c r="R926" t="s">
        <v>50</v>
      </c>
      <c r="S926">
        <v>2</v>
      </c>
      <c r="T926">
        <v>3</v>
      </c>
      <c r="U926" t="s">
        <v>44</v>
      </c>
      <c r="V926" t="s">
        <v>38</v>
      </c>
      <c r="W926" t="s">
        <v>86</v>
      </c>
      <c r="X926" s="3">
        <v>46218</v>
      </c>
      <c r="Y926" s="1" t="str">
        <f t="shared" si="28"/>
        <v>Jul</v>
      </c>
      <c r="Z926" s="1" t="str">
        <f t="shared" si="29"/>
        <v>2026</v>
      </c>
      <c r="AA926" t="b">
        <v>0</v>
      </c>
      <c r="AB926" t="b">
        <v>0</v>
      </c>
      <c r="AC926" t="s">
        <v>62</v>
      </c>
      <c r="AD926" t="s">
        <v>67</v>
      </c>
      <c r="AE926">
        <v>3</v>
      </c>
    </row>
    <row r="927" spans="1:31" x14ac:dyDescent="0.3">
      <c r="A927" t="s">
        <v>1915</v>
      </c>
      <c r="B927">
        <v>23</v>
      </c>
      <c r="C927" t="str" cm="1">
        <f t="array" ref="C927">_xlfn.IFS(B927&lt;=18,"0-18",B927&lt;=29,"19-29",B927&gt;=49,"30-49",B927&gt;=69,"50-69",TRUE,"70+")</f>
        <v>19-29</v>
      </c>
      <c r="D927" t="s">
        <v>29</v>
      </c>
      <c r="E927" t="s">
        <v>44</v>
      </c>
      <c r="F927" t="s">
        <v>76</v>
      </c>
      <c r="G927" t="s">
        <v>56</v>
      </c>
      <c r="H927" t="s">
        <v>44</v>
      </c>
      <c r="I927" t="s">
        <v>1916</v>
      </c>
      <c r="J927" t="s">
        <v>82</v>
      </c>
      <c r="K927" s="2">
        <v>382.94</v>
      </c>
      <c r="L927">
        <v>8</v>
      </c>
      <c r="M927" t="s">
        <v>48</v>
      </c>
      <c r="N927">
        <v>1</v>
      </c>
      <c r="O927">
        <v>3</v>
      </c>
      <c r="P927">
        <v>0</v>
      </c>
      <c r="Q927" t="s">
        <v>49</v>
      </c>
      <c r="R927" t="s">
        <v>50</v>
      </c>
      <c r="S927">
        <v>0</v>
      </c>
      <c r="T927">
        <v>6</v>
      </c>
      <c r="U927" t="s">
        <v>36</v>
      </c>
      <c r="V927" t="s">
        <v>79</v>
      </c>
      <c r="W927" t="s">
        <v>61</v>
      </c>
      <c r="X927" s="3">
        <v>46219</v>
      </c>
      <c r="Y927" s="1" t="str">
        <f t="shared" si="28"/>
        <v>Jul</v>
      </c>
      <c r="Z927" s="1" t="str">
        <f t="shared" si="29"/>
        <v>2026</v>
      </c>
      <c r="AA927" t="b">
        <v>0</v>
      </c>
      <c r="AB927" t="b">
        <v>0</v>
      </c>
      <c r="AC927" t="s">
        <v>40</v>
      </c>
      <c r="AD927" t="s">
        <v>53</v>
      </c>
      <c r="AE927">
        <v>3</v>
      </c>
    </row>
    <row r="928" spans="1:31" x14ac:dyDescent="0.3">
      <c r="A928" t="s">
        <v>1917</v>
      </c>
      <c r="B928">
        <v>47</v>
      </c>
      <c r="C928" t="str" cm="1">
        <f t="array" ref="C928">_xlfn.IFS(B928&lt;=18,"0-18",B928&lt;=29,"19-29",B928&gt;=49,"30-49",B928&gt;=69,"50-69",TRUE,"70+")</f>
        <v>70+</v>
      </c>
      <c r="D928" t="s">
        <v>29</v>
      </c>
      <c r="E928" t="s">
        <v>44</v>
      </c>
      <c r="F928" t="s">
        <v>55</v>
      </c>
      <c r="G928" t="s">
        <v>32</v>
      </c>
      <c r="H928" t="s">
        <v>44</v>
      </c>
      <c r="I928" t="s">
        <v>1918</v>
      </c>
      <c r="J928" t="s">
        <v>188</v>
      </c>
      <c r="K928" s="2">
        <v>402.82</v>
      </c>
      <c r="L928">
        <v>7</v>
      </c>
      <c r="M928" t="s">
        <v>78</v>
      </c>
      <c r="N928">
        <v>4</v>
      </c>
      <c r="O928">
        <v>5</v>
      </c>
      <c r="P928">
        <v>0</v>
      </c>
      <c r="Q928" t="s">
        <v>36</v>
      </c>
      <c r="R928" t="s">
        <v>37</v>
      </c>
      <c r="S928">
        <v>2</v>
      </c>
      <c r="T928">
        <v>2</v>
      </c>
      <c r="U928" t="s">
        <v>59</v>
      </c>
      <c r="V928" t="s">
        <v>60</v>
      </c>
      <c r="W928" t="s">
        <v>61</v>
      </c>
      <c r="X928" s="3">
        <v>46220</v>
      </c>
      <c r="Y928" s="1" t="str">
        <f t="shared" si="28"/>
        <v>Jul</v>
      </c>
      <c r="Z928" s="1" t="str">
        <f t="shared" si="29"/>
        <v>2026</v>
      </c>
      <c r="AA928" t="b">
        <v>0</v>
      </c>
      <c r="AB928" t="b">
        <v>0</v>
      </c>
      <c r="AC928" t="s">
        <v>52</v>
      </c>
      <c r="AD928" t="s">
        <v>41</v>
      </c>
      <c r="AE928">
        <v>13</v>
      </c>
    </row>
    <row r="929" spans="1:31" x14ac:dyDescent="0.3">
      <c r="A929" t="s">
        <v>1919</v>
      </c>
      <c r="B929">
        <v>30</v>
      </c>
      <c r="C929" t="str" cm="1">
        <f t="array" ref="C929">_xlfn.IFS(B929&lt;=18,"0-18",B929&lt;=29,"19-29",B929&gt;=49,"30-49",B929&gt;=69,"50-69",TRUE,"70+")</f>
        <v>70+</v>
      </c>
      <c r="D929" t="s">
        <v>43</v>
      </c>
      <c r="E929" t="s">
        <v>44</v>
      </c>
      <c r="F929" t="s">
        <v>55</v>
      </c>
      <c r="G929" t="s">
        <v>32</v>
      </c>
      <c r="H929" t="s">
        <v>30</v>
      </c>
      <c r="I929" t="s">
        <v>1920</v>
      </c>
      <c r="J929" t="s">
        <v>34</v>
      </c>
      <c r="K929" s="2">
        <v>497.76</v>
      </c>
      <c r="L929">
        <v>2</v>
      </c>
      <c r="M929" t="s">
        <v>48</v>
      </c>
      <c r="N929">
        <v>1</v>
      </c>
      <c r="O929">
        <v>2</v>
      </c>
      <c r="P929">
        <v>2</v>
      </c>
      <c r="Q929" t="s">
        <v>44</v>
      </c>
      <c r="R929" t="s">
        <v>85</v>
      </c>
      <c r="S929">
        <v>2</v>
      </c>
      <c r="T929">
        <v>3</v>
      </c>
      <c r="U929" t="s">
        <v>49</v>
      </c>
      <c r="V929" t="s">
        <v>60</v>
      </c>
      <c r="W929" t="s">
        <v>39</v>
      </c>
      <c r="X929" s="3">
        <v>46221</v>
      </c>
      <c r="Y929" s="1" t="str">
        <f t="shared" si="28"/>
        <v>Jul</v>
      </c>
      <c r="Z929" s="1" t="str">
        <f t="shared" si="29"/>
        <v>2026</v>
      </c>
      <c r="AA929" t="b">
        <v>1</v>
      </c>
      <c r="AB929" t="b">
        <v>1</v>
      </c>
      <c r="AC929" t="s">
        <v>52</v>
      </c>
      <c r="AD929" t="s">
        <v>41</v>
      </c>
      <c r="AE929">
        <v>4</v>
      </c>
    </row>
    <row r="930" spans="1:31" x14ac:dyDescent="0.3">
      <c r="A930" t="s">
        <v>1921</v>
      </c>
      <c r="B930">
        <v>26</v>
      </c>
      <c r="C930" t="str" cm="1">
        <f t="array" ref="C930">_xlfn.IFS(B930&lt;=18,"0-18",B930&lt;=29,"19-29",B930&gt;=49,"30-49",B930&gt;=69,"50-69",TRUE,"70+")</f>
        <v>19-29</v>
      </c>
      <c r="D930" t="s">
        <v>29</v>
      </c>
      <c r="E930" t="s">
        <v>44</v>
      </c>
      <c r="F930" t="s">
        <v>55</v>
      </c>
      <c r="G930" t="s">
        <v>45</v>
      </c>
      <c r="H930" t="s">
        <v>44</v>
      </c>
      <c r="I930" t="s">
        <v>1922</v>
      </c>
      <c r="J930" t="s">
        <v>71</v>
      </c>
      <c r="K930" s="2">
        <v>227.58</v>
      </c>
      <c r="L930">
        <v>5</v>
      </c>
      <c r="M930" t="s">
        <v>78</v>
      </c>
      <c r="N930">
        <v>4</v>
      </c>
      <c r="O930">
        <v>2</v>
      </c>
      <c r="P930">
        <v>1</v>
      </c>
      <c r="Q930" t="s">
        <v>44</v>
      </c>
      <c r="R930" t="s">
        <v>50</v>
      </c>
      <c r="S930">
        <v>0</v>
      </c>
      <c r="T930">
        <v>1</v>
      </c>
      <c r="U930" t="s">
        <v>59</v>
      </c>
      <c r="V930" t="s">
        <v>38</v>
      </c>
      <c r="W930" t="s">
        <v>39</v>
      </c>
      <c r="X930" s="3">
        <v>46222</v>
      </c>
      <c r="Y930" s="1" t="str">
        <f t="shared" si="28"/>
        <v>Jul</v>
      </c>
      <c r="Z930" s="1" t="str">
        <f t="shared" si="29"/>
        <v>2026</v>
      </c>
      <c r="AA930" t="b">
        <v>1</v>
      </c>
      <c r="AB930" t="b">
        <v>0</v>
      </c>
      <c r="AC930" t="s">
        <v>40</v>
      </c>
      <c r="AD930" t="s">
        <v>41</v>
      </c>
      <c r="AE930">
        <v>11</v>
      </c>
    </row>
    <row r="931" spans="1:31" x14ac:dyDescent="0.3">
      <c r="A931" t="s">
        <v>1923</v>
      </c>
      <c r="B931">
        <v>35</v>
      </c>
      <c r="C931" t="str" cm="1">
        <f t="array" ref="C931">_xlfn.IFS(B931&lt;=18,"0-18",B931&lt;=29,"19-29",B931&gt;=49,"30-49",B931&gt;=69,"50-69",TRUE,"70+")</f>
        <v>70+</v>
      </c>
      <c r="D931" t="s">
        <v>29</v>
      </c>
      <c r="E931" t="s">
        <v>44</v>
      </c>
      <c r="F931" t="s">
        <v>76</v>
      </c>
      <c r="G931" t="s">
        <v>32</v>
      </c>
      <c r="H931" t="s">
        <v>44</v>
      </c>
      <c r="I931" t="s">
        <v>1924</v>
      </c>
      <c r="J931" t="s">
        <v>117</v>
      </c>
      <c r="K931" s="2">
        <v>263.57</v>
      </c>
      <c r="L931">
        <v>2</v>
      </c>
      <c r="M931" t="s">
        <v>35</v>
      </c>
      <c r="N931">
        <v>2</v>
      </c>
      <c r="O931">
        <v>3</v>
      </c>
      <c r="P931">
        <v>0</v>
      </c>
      <c r="Q931" t="s">
        <v>44</v>
      </c>
      <c r="R931" t="s">
        <v>37</v>
      </c>
      <c r="S931">
        <v>1</v>
      </c>
      <c r="T931">
        <v>9</v>
      </c>
      <c r="U931" t="s">
        <v>36</v>
      </c>
      <c r="V931" t="s">
        <v>38</v>
      </c>
      <c r="W931" t="s">
        <v>51</v>
      </c>
      <c r="X931" s="3">
        <v>46223</v>
      </c>
      <c r="Y931" s="1" t="str">
        <f t="shared" si="28"/>
        <v>Jul</v>
      </c>
      <c r="Z931" s="1" t="str">
        <f t="shared" si="29"/>
        <v>2026</v>
      </c>
      <c r="AA931" t="b">
        <v>1</v>
      </c>
      <c r="AB931" t="b">
        <v>1</v>
      </c>
      <c r="AC931" t="s">
        <v>62</v>
      </c>
      <c r="AD931" t="s">
        <v>67</v>
      </c>
      <c r="AE931">
        <v>8</v>
      </c>
    </row>
    <row r="932" spans="1:31" x14ac:dyDescent="0.3">
      <c r="A932" t="s">
        <v>1925</v>
      </c>
      <c r="B932">
        <v>40</v>
      </c>
      <c r="C932" t="str" cm="1">
        <f t="array" ref="C932">_xlfn.IFS(B932&lt;=18,"0-18",B932&lt;=29,"19-29",B932&gt;=49,"30-49",B932&gt;=69,"50-69",TRUE,"70+")</f>
        <v>70+</v>
      </c>
      <c r="D932" t="s">
        <v>43</v>
      </c>
      <c r="E932" t="s">
        <v>44</v>
      </c>
      <c r="F932" t="s">
        <v>31</v>
      </c>
      <c r="G932" t="s">
        <v>45</v>
      </c>
      <c r="H932" t="s">
        <v>44</v>
      </c>
      <c r="I932" t="s">
        <v>1926</v>
      </c>
      <c r="J932" t="s">
        <v>123</v>
      </c>
      <c r="K932" s="2">
        <v>422.09</v>
      </c>
      <c r="L932">
        <v>3</v>
      </c>
      <c r="M932" t="s">
        <v>48</v>
      </c>
      <c r="N932">
        <v>4</v>
      </c>
      <c r="O932">
        <v>1</v>
      </c>
      <c r="P932">
        <v>1</v>
      </c>
      <c r="Q932" t="s">
        <v>44</v>
      </c>
      <c r="R932" t="s">
        <v>50</v>
      </c>
      <c r="S932">
        <v>0</v>
      </c>
      <c r="T932">
        <v>9</v>
      </c>
      <c r="U932" t="s">
        <v>49</v>
      </c>
      <c r="V932" t="s">
        <v>38</v>
      </c>
      <c r="W932" t="s">
        <v>51</v>
      </c>
      <c r="X932" s="3">
        <v>46224</v>
      </c>
      <c r="Y932" s="1" t="str">
        <f t="shared" si="28"/>
        <v>Jul</v>
      </c>
      <c r="Z932" s="1" t="str">
        <f t="shared" si="29"/>
        <v>2026</v>
      </c>
      <c r="AA932" t="b">
        <v>1</v>
      </c>
      <c r="AB932" t="b">
        <v>0</v>
      </c>
      <c r="AC932" t="s">
        <v>40</v>
      </c>
      <c r="AD932" t="s">
        <v>53</v>
      </c>
      <c r="AE932">
        <v>7</v>
      </c>
    </row>
    <row r="933" spans="1:31" x14ac:dyDescent="0.3">
      <c r="A933" t="s">
        <v>1927</v>
      </c>
      <c r="B933">
        <v>35</v>
      </c>
      <c r="C933" t="str" cm="1">
        <f t="array" ref="C933">_xlfn.IFS(B933&lt;=18,"0-18",B933&lt;=29,"19-29",B933&gt;=49,"30-49",B933&gt;=69,"50-69",TRUE,"70+")</f>
        <v>70+</v>
      </c>
      <c r="D933" t="s">
        <v>43</v>
      </c>
      <c r="E933" t="s">
        <v>30</v>
      </c>
      <c r="F933" t="s">
        <v>31</v>
      </c>
      <c r="G933" t="s">
        <v>56</v>
      </c>
      <c r="H933" t="s">
        <v>44</v>
      </c>
      <c r="I933" t="s">
        <v>1928</v>
      </c>
      <c r="J933" t="s">
        <v>34</v>
      </c>
      <c r="K933" s="2">
        <v>411.83</v>
      </c>
      <c r="L933">
        <v>2</v>
      </c>
      <c r="M933" t="s">
        <v>48</v>
      </c>
      <c r="N933">
        <v>2</v>
      </c>
      <c r="O933">
        <v>3</v>
      </c>
      <c r="P933">
        <v>2</v>
      </c>
      <c r="Q933" t="s">
        <v>44</v>
      </c>
      <c r="R933" t="s">
        <v>50</v>
      </c>
      <c r="S933">
        <v>1</v>
      </c>
      <c r="T933">
        <v>3</v>
      </c>
      <c r="U933" t="s">
        <v>49</v>
      </c>
      <c r="V933" t="s">
        <v>38</v>
      </c>
      <c r="W933" t="s">
        <v>51</v>
      </c>
      <c r="X933" s="3">
        <v>46225</v>
      </c>
      <c r="Y933" s="1" t="str">
        <f t="shared" si="28"/>
        <v>Jul</v>
      </c>
      <c r="Z933" s="1" t="str">
        <f t="shared" si="29"/>
        <v>2026</v>
      </c>
      <c r="AA933" t="b">
        <v>1</v>
      </c>
      <c r="AB933" t="b">
        <v>1</v>
      </c>
      <c r="AC933" t="s">
        <v>62</v>
      </c>
      <c r="AD933" t="s">
        <v>53</v>
      </c>
      <c r="AE933">
        <v>10</v>
      </c>
    </row>
    <row r="934" spans="1:31" x14ac:dyDescent="0.3">
      <c r="A934" t="s">
        <v>1929</v>
      </c>
      <c r="B934">
        <v>21</v>
      </c>
      <c r="C934" t="str" cm="1">
        <f t="array" ref="C934">_xlfn.IFS(B934&lt;=18,"0-18",B934&lt;=29,"19-29",B934&gt;=49,"30-49",B934&gt;=69,"50-69",TRUE,"70+")</f>
        <v>19-29</v>
      </c>
      <c r="D934" t="s">
        <v>43</v>
      </c>
      <c r="E934" t="s">
        <v>30</v>
      </c>
      <c r="F934" t="s">
        <v>55</v>
      </c>
      <c r="G934" t="s">
        <v>56</v>
      </c>
      <c r="H934" t="s">
        <v>30</v>
      </c>
      <c r="I934" t="s">
        <v>1930</v>
      </c>
      <c r="J934" t="s">
        <v>120</v>
      </c>
      <c r="K934" s="2">
        <v>242.65</v>
      </c>
      <c r="L934">
        <v>3</v>
      </c>
      <c r="M934" t="s">
        <v>35</v>
      </c>
      <c r="N934">
        <v>5</v>
      </c>
      <c r="O934">
        <v>3</v>
      </c>
      <c r="P934">
        <v>0.2</v>
      </c>
      <c r="Q934" t="s">
        <v>36</v>
      </c>
      <c r="R934" t="s">
        <v>85</v>
      </c>
      <c r="S934">
        <v>2</v>
      </c>
      <c r="T934">
        <v>8</v>
      </c>
      <c r="U934" t="s">
        <v>36</v>
      </c>
      <c r="V934" t="s">
        <v>38</v>
      </c>
      <c r="W934" t="s">
        <v>86</v>
      </c>
      <c r="X934" s="3">
        <v>46226</v>
      </c>
      <c r="Y934" s="1" t="str">
        <f t="shared" si="28"/>
        <v>Jul</v>
      </c>
      <c r="Z934" s="1" t="str">
        <f t="shared" si="29"/>
        <v>2026</v>
      </c>
      <c r="AA934" t="b">
        <v>0</v>
      </c>
      <c r="AB934" t="b">
        <v>1</v>
      </c>
      <c r="AC934" t="s">
        <v>74</v>
      </c>
      <c r="AD934" t="s">
        <v>41</v>
      </c>
      <c r="AE934">
        <v>9</v>
      </c>
    </row>
    <row r="935" spans="1:31" x14ac:dyDescent="0.3">
      <c r="A935" t="s">
        <v>1931</v>
      </c>
      <c r="B935">
        <v>41</v>
      </c>
      <c r="C935" t="str" cm="1">
        <f t="array" ref="C935">_xlfn.IFS(B935&lt;=18,"0-18",B935&lt;=29,"19-29",B935&gt;=49,"30-49",B935&gt;=69,"50-69",TRUE,"70+")</f>
        <v>70+</v>
      </c>
      <c r="D935" t="s">
        <v>43</v>
      </c>
      <c r="E935" t="s">
        <v>30</v>
      </c>
      <c r="F935" t="s">
        <v>69</v>
      </c>
      <c r="G935" t="s">
        <v>56</v>
      </c>
      <c r="H935" t="s">
        <v>30</v>
      </c>
      <c r="I935" t="s">
        <v>1932</v>
      </c>
      <c r="J935" t="s">
        <v>90</v>
      </c>
      <c r="K935" s="2">
        <v>298.93</v>
      </c>
      <c r="L935">
        <v>6</v>
      </c>
      <c r="M935" t="s">
        <v>35</v>
      </c>
      <c r="N935">
        <v>5</v>
      </c>
      <c r="O935">
        <v>2</v>
      </c>
      <c r="P935">
        <v>0.2</v>
      </c>
      <c r="Q935" t="s">
        <v>36</v>
      </c>
      <c r="R935" t="s">
        <v>37</v>
      </c>
      <c r="S935">
        <v>2</v>
      </c>
      <c r="T935">
        <v>1</v>
      </c>
      <c r="U935" t="s">
        <v>36</v>
      </c>
      <c r="V935" t="s">
        <v>38</v>
      </c>
      <c r="W935" t="s">
        <v>51</v>
      </c>
      <c r="X935" s="3">
        <v>46227</v>
      </c>
      <c r="Y935" s="1" t="str">
        <f t="shared" si="28"/>
        <v>Jul</v>
      </c>
      <c r="Z935" s="1" t="str">
        <f t="shared" si="29"/>
        <v>2026</v>
      </c>
      <c r="AA935" t="b">
        <v>1</v>
      </c>
      <c r="AB935" t="b">
        <v>1</v>
      </c>
      <c r="AC935" t="s">
        <v>74</v>
      </c>
      <c r="AD935" t="s">
        <v>67</v>
      </c>
      <c r="AE935">
        <v>2</v>
      </c>
    </row>
    <row r="936" spans="1:31" x14ac:dyDescent="0.3">
      <c r="A936" t="s">
        <v>1933</v>
      </c>
      <c r="B936">
        <v>44</v>
      </c>
      <c r="C936" t="str" cm="1">
        <f t="array" ref="C936">_xlfn.IFS(B936&lt;=18,"0-18",B936&lt;=29,"19-29",B936&gt;=49,"30-49",B936&gt;=69,"50-69",TRUE,"70+")</f>
        <v>70+</v>
      </c>
      <c r="D936" t="s">
        <v>29</v>
      </c>
      <c r="E936" t="s">
        <v>44</v>
      </c>
      <c r="F936" t="s">
        <v>55</v>
      </c>
      <c r="G936" t="s">
        <v>32</v>
      </c>
      <c r="H936" t="s">
        <v>44</v>
      </c>
      <c r="I936" t="s">
        <v>512</v>
      </c>
      <c r="J936" t="s">
        <v>93</v>
      </c>
      <c r="K936" s="2">
        <v>191.21</v>
      </c>
      <c r="L936">
        <v>7</v>
      </c>
      <c r="M936" t="s">
        <v>35</v>
      </c>
      <c r="N936">
        <v>5</v>
      </c>
      <c r="O936">
        <v>4</v>
      </c>
      <c r="P936">
        <v>1</v>
      </c>
      <c r="Q936" t="s">
        <v>59</v>
      </c>
      <c r="R936" t="s">
        <v>85</v>
      </c>
      <c r="S936">
        <v>2</v>
      </c>
      <c r="T936">
        <v>6</v>
      </c>
      <c r="U936" t="s">
        <v>59</v>
      </c>
      <c r="V936" t="s">
        <v>60</v>
      </c>
      <c r="W936" t="s">
        <v>61</v>
      </c>
      <c r="X936" s="3">
        <v>46228</v>
      </c>
      <c r="Y936" s="1" t="str">
        <f t="shared" si="28"/>
        <v>Jul</v>
      </c>
      <c r="Z936" s="1" t="str">
        <f t="shared" si="29"/>
        <v>2026</v>
      </c>
      <c r="AA936" t="b">
        <v>0</v>
      </c>
      <c r="AB936" t="b">
        <v>0</v>
      </c>
      <c r="AC936" t="s">
        <v>40</v>
      </c>
      <c r="AD936" t="s">
        <v>41</v>
      </c>
      <c r="AE936">
        <v>13</v>
      </c>
    </row>
    <row r="937" spans="1:31" x14ac:dyDescent="0.3">
      <c r="A937" t="s">
        <v>1934</v>
      </c>
      <c r="B937">
        <v>44</v>
      </c>
      <c r="C937" t="str" cm="1">
        <f t="array" ref="C937">_xlfn.IFS(B937&lt;=18,"0-18",B937&lt;=29,"19-29",B937&gt;=49,"30-49",B937&gt;=69,"50-69",TRUE,"70+")</f>
        <v>70+</v>
      </c>
      <c r="D937" t="s">
        <v>29</v>
      </c>
      <c r="E937" t="s">
        <v>44</v>
      </c>
      <c r="F937" t="s">
        <v>31</v>
      </c>
      <c r="G937" t="s">
        <v>56</v>
      </c>
      <c r="H937" t="s">
        <v>30</v>
      </c>
      <c r="I937" t="s">
        <v>1935</v>
      </c>
      <c r="J937" t="s">
        <v>117</v>
      </c>
      <c r="K937" s="2">
        <v>136.66999999999999</v>
      </c>
      <c r="L937">
        <v>3</v>
      </c>
      <c r="M937" t="s">
        <v>78</v>
      </c>
      <c r="N937">
        <v>3</v>
      </c>
      <c r="O937">
        <v>1</v>
      </c>
      <c r="P937">
        <v>1</v>
      </c>
      <c r="Q937" t="s">
        <v>59</v>
      </c>
      <c r="R937" t="s">
        <v>37</v>
      </c>
      <c r="S937">
        <v>0</v>
      </c>
      <c r="T937">
        <v>2</v>
      </c>
      <c r="U937" t="s">
        <v>44</v>
      </c>
      <c r="V937" t="s">
        <v>79</v>
      </c>
      <c r="W937" t="s">
        <v>51</v>
      </c>
      <c r="X937" s="3">
        <v>46229</v>
      </c>
      <c r="Y937" s="1" t="str">
        <f t="shared" si="28"/>
        <v>Jul</v>
      </c>
      <c r="Z937" s="1" t="str">
        <f t="shared" si="29"/>
        <v>2026</v>
      </c>
      <c r="AA937" t="b">
        <v>0</v>
      </c>
      <c r="AB937" t="b">
        <v>1</v>
      </c>
      <c r="AC937" t="s">
        <v>62</v>
      </c>
      <c r="AD937" t="s">
        <v>53</v>
      </c>
      <c r="AE937">
        <v>1</v>
      </c>
    </row>
    <row r="938" spans="1:31" x14ac:dyDescent="0.3">
      <c r="A938" t="s">
        <v>1936</v>
      </c>
      <c r="B938">
        <v>37</v>
      </c>
      <c r="C938" t="str" cm="1">
        <f t="array" ref="C938">_xlfn.IFS(B938&lt;=18,"0-18",B938&lt;=29,"19-29",B938&gt;=49,"30-49",B938&gt;=69,"50-69",TRUE,"70+")</f>
        <v>70+</v>
      </c>
      <c r="D938" t="s">
        <v>43</v>
      </c>
      <c r="E938" t="s">
        <v>30</v>
      </c>
      <c r="F938" t="s">
        <v>69</v>
      </c>
      <c r="G938" t="s">
        <v>56</v>
      </c>
      <c r="H938" t="s">
        <v>44</v>
      </c>
      <c r="I938" t="s">
        <v>1937</v>
      </c>
      <c r="J938" t="s">
        <v>90</v>
      </c>
      <c r="K938" s="2">
        <v>324.11</v>
      </c>
      <c r="L938">
        <v>11</v>
      </c>
      <c r="M938" t="s">
        <v>78</v>
      </c>
      <c r="N938">
        <v>3</v>
      </c>
      <c r="O938">
        <v>3</v>
      </c>
      <c r="P938">
        <v>2</v>
      </c>
      <c r="Q938" t="s">
        <v>36</v>
      </c>
      <c r="R938" t="s">
        <v>85</v>
      </c>
      <c r="S938">
        <v>0</v>
      </c>
      <c r="T938">
        <v>2</v>
      </c>
      <c r="U938" t="s">
        <v>59</v>
      </c>
      <c r="V938" t="s">
        <v>60</v>
      </c>
      <c r="W938" t="s">
        <v>86</v>
      </c>
      <c r="X938" s="3">
        <v>46230</v>
      </c>
      <c r="Y938" s="1" t="str">
        <f t="shared" si="28"/>
        <v>Jul</v>
      </c>
      <c r="Z938" s="1" t="str">
        <f t="shared" si="29"/>
        <v>2026</v>
      </c>
      <c r="AA938" t="b">
        <v>0</v>
      </c>
      <c r="AB938" t="b">
        <v>0</v>
      </c>
      <c r="AC938" t="s">
        <v>62</v>
      </c>
      <c r="AD938" t="s">
        <v>41</v>
      </c>
      <c r="AE938">
        <v>7</v>
      </c>
    </row>
    <row r="939" spans="1:31" x14ac:dyDescent="0.3">
      <c r="A939" t="s">
        <v>1938</v>
      </c>
      <c r="B939">
        <v>40</v>
      </c>
      <c r="C939" t="str" cm="1">
        <f t="array" ref="C939">_xlfn.IFS(B939&lt;=18,"0-18",B939&lt;=29,"19-29",B939&gt;=49,"30-49",B939&gt;=69,"50-69",TRUE,"70+")</f>
        <v>70+</v>
      </c>
      <c r="D939" t="s">
        <v>29</v>
      </c>
      <c r="E939" t="s">
        <v>44</v>
      </c>
      <c r="F939" t="s">
        <v>69</v>
      </c>
      <c r="G939" t="s">
        <v>32</v>
      </c>
      <c r="H939" t="s">
        <v>44</v>
      </c>
      <c r="I939" t="s">
        <v>1939</v>
      </c>
      <c r="J939" t="s">
        <v>101</v>
      </c>
      <c r="K939" s="2">
        <v>105.64</v>
      </c>
      <c r="L939">
        <v>6</v>
      </c>
      <c r="M939" t="s">
        <v>78</v>
      </c>
      <c r="N939">
        <v>1</v>
      </c>
      <c r="O939">
        <v>3</v>
      </c>
      <c r="P939">
        <v>0</v>
      </c>
      <c r="Q939" t="s">
        <v>59</v>
      </c>
      <c r="R939" t="s">
        <v>85</v>
      </c>
      <c r="S939">
        <v>2</v>
      </c>
      <c r="T939">
        <v>1</v>
      </c>
      <c r="U939" t="s">
        <v>36</v>
      </c>
      <c r="V939" t="s">
        <v>60</v>
      </c>
      <c r="W939" t="s">
        <v>66</v>
      </c>
      <c r="X939" s="3">
        <v>46231</v>
      </c>
      <c r="Y939" s="1" t="str">
        <f t="shared" si="28"/>
        <v>Jul</v>
      </c>
      <c r="Z939" s="1" t="str">
        <f t="shared" si="29"/>
        <v>2026</v>
      </c>
      <c r="AA939" t="b">
        <v>1</v>
      </c>
      <c r="AB939" t="b">
        <v>1</v>
      </c>
      <c r="AC939" t="s">
        <v>74</v>
      </c>
      <c r="AD939" t="s">
        <v>41</v>
      </c>
      <c r="AE939">
        <v>12</v>
      </c>
    </row>
    <row r="940" spans="1:31" x14ac:dyDescent="0.3">
      <c r="A940" t="s">
        <v>1940</v>
      </c>
      <c r="B940">
        <v>43</v>
      </c>
      <c r="C940" t="str" cm="1">
        <f t="array" ref="C940">_xlfn.IFS(B940&lt;=18,"0-18",B940&lt;=29,"19-29",B940&gt;=49,"30-49",B940&gt;=69,"50-69",TRUE,"70+")</f>
        <v>70+</v>
      </c>
      <c r="D940" t="s">
        <v>43</v>
      </c>
      <c r="E940" t="s">
        <v>44</v>
      </c>
      <c r="F940" t="s">
        <v>69</v>
      </c>
      <c r="G940" t="s">
        <v>56</v>
      </c>
      <c r="H940" t="s">
        <v>44</v>
      </c>
      <c r="I940" t="s">
        <v>1941</v>
      </c>
      <c r="J940" t="s">
        <v>117</v>
      </c>
      <c r="K940" s="2">
        <v>295.60000000000002</v>
      </c>
      <c r="L940">
        <v>10</v>
      </c>
      <c r="M940" t="s">
        <v>78</v>
      </c>
      <c r="N940">
        <v>1</v>
      </c>
      <c r="O940">
        <v>2</v>
      </c>
      <c r="P940">
        <v>1</v>
      </c>
      <c r="Q940" t="s">
        <v>44</v>
      </c>
      <c r="R940" t="s">
        <v>37</v>
      </c>
      <c r="S940">
        <v>0</v>
      </c>
      <c r="T940">
        <v>9</v>
      </c>
      <c r="U940" t="s">
        <v>59</v>
      </c>
      <c r="V940" t="s">
        <v>79</v>
      </c>
      <c r="W940" t="s">
        <v>39</v>
      </c>
      <c r="X940" s="3">
        <v>46232</v>
      </c>
      <c r="Y940" s="1" t="str">
        <f t="shared" si="28"/>
        <v>Jul</v>
      </c>
      <c r="Z940" s="1" t="str">
        <f t="shared" si="29"/>
        <v>2026</v>
      </c>
      <c r="AA940" t="b">
        <v>1</v>
      </c>
      <c r="AB940" t="b">
        <v>1</v>
      </c>
      <c r="AC940" t="s">
        <v>40</v>
      </c>
      <c r="AD940" t="s">
        <v>53</v>
      </c>
      <c r="AE940">
        <v>5</v>
      </c>
    </row>
    <row r="941" spans="1:31" x14ac:dyDescent="0.3">
      <c r="A941" t="s">
        <v>1942</v>
      </c>
      <c r="B941">
        <v>48</v>
      </c>
      <c r="C941" t="str" cm="1">
        <f t="array" ref="C941">_xlfn.IFS(B941&lt;=18,"0-18",B941&lt;=29,"19-29",B941&gt;=49,"30-49",B941&gt;=69,"50-69",TRUE,"70+")</f>
        <v>70+</v>
      </c>
      <c r="D941" t="s">
        <v>43</v>
      </c>
      <c r="E941" t="s">
        <v>30</v>
      </c>
      <c r="F941" t="s">
        <v>55</v>
      </c>
      <c r="G941" t="s">
        <v>56</v>
      </c>
      <c r="H941" t="s">
        <v>44</v>
      </c>
      <c r="I941" t="s">
        <v>1943</v>
      </c>
      <c r="J941" t="s">
        <v>101</v>
      </c>
      <c r="K941" s="2">
        <v>227.03</v>
      </c>
      <c r="L941">
        <v>9</v>
      </c>
      <c r="M941" t="s">
        <v>48</v>
      </c>
      <c r="N941">
        <v>4</v>
      </c>
      <c r="O941">
        <v>4</v>
      </c>
      <c r="P941">
        <v>2</v>
      </c>
      <c r="Q941" t="s">
        <v>59</v>
      </c>
      <c r="R941" t="s">
        <v>50</v>
      </c>
      <c r="S941">
        <v>2</v>
      </c>
      <c r="T941">
        <v>7</v>
      </c>
      <c r="U941" t="s">
        <v>44</v>
      </c>
      <c r="V941" t="s">
        <v>38</v>
      </c>
      <c r="W941" t="s">
        <v>66</v>
      </c>
      <c r="X941" s="3">
        <v>46233</v>
      </c>
      <c r="Y941" s="1" t="str">
        <f t="shared" si="28"/>
        <v>Jul</v>
      </c>
      <c r="Z941" s="1" t="str">
        <f t="shared" si="29"/>
        <v>2026</v>
      </c>
      <c r="AA941" t="b">
        <v>1</v>
      </c>
      <c r="AB941" t="b">
        <v>1</v>
      </c>
      <c r="AC941" t="s">
        <v>40</v>
      </c>
      <c r="AD941" t="s">
        <v>41</v>
      </c>
      <c r="AE941">
        <v>4</v>
      </c>
    </row>
    <row r="942" spans="1:31" x14ac:dyDescent="0.3">
      <c r="A942" t="s">
        <v>1944</v>
      </c>
      <c r="B942">
        <v>32</v>
      </c>
      <c r="C942" t="str" cm="1">
        <f t="array" ref="C942">_xlfn.IFS(B942&lt;=18,"0-18",B942&lt;=29,"19-29",B942&gt;=49,"30-49",B942&gt;=69,"50-69",TRUE,"70+")</f>
        <v>70+</v>
      </c>
      <c r="D942" t="s">
        <v>29</v>
      </c>
      <c r="E942" t="s">
        <v>44</v>
      </c>
      <c r="F942" t="s">
        <v>76</v>
      </c>
      <c r="G942" t="s">
        <v>32</v>
      </c>
      <c r="H942" t="s">
        <v>30</v>
      </c>
      <c r="I942" t="s">
        <v>1945</v>
      </c>
      <c r="J942" t="s">
        <v>107</v>
      </c>
      <c r="K942" s="2">
        <v>485.77</v>
      </c>
      <c r="L942">
        <v>10</v>
      </c>
      <c r="M942" t="s">
        <v>35</v>
      </c>
      <c r="N942">
        <v>1</v>
      </c>
      <c r="O942">
        <v>2</v>
      </c>
      <c r="P942">
        <v>0</v>
      </c>
      <c r="Q942" t="s">
        <v>59</v>
      </c>
      <c r="R942" t="s">
        <v>50</v>
      </c>
      <c r="S942">
        <v>2</v>
      </c>
      <c r="T942">
        <v>6</v>
      </c>
      <c r="U942" t="s">
        <v>36</v>
      </c>
      <c r="V942" t="s">
        <v>38</v>
      </c>
      <c r="W942" t="s">
        <v>86</v>
      </c>
      <c r="X942" s="3">
        <v>46234</v>
      </c>
      <c r="Y942" s="1" t="str">
        <f t="shared" si="28"/>
        <v>Jul</v>
      </c>
      <c r="Z942" s="1" t="str">
        <f t="shared" si="29"/>
        <v>2026</v>
      </c>
      <c r="AA942" t="b">
        <v>0</v>
      </c>
      <c r="AB942" t="b">
        <v>0</v>
      </c>
      <c r="AC942" t="s">
        <v>74</v>
      </c>
      <c r="AD942" t="s">
        <v>41</v>
      </c>
      <c r="AE942">
        <v>6</v>
      </c>
    </row>
    <row r="943" spans="1:31" x14ac:dyDescent="0.3">
      <c r="A943" t="s">
        <v>1946</v>
      </c>
      <c r="B943">
        <v>37</v>
      </c>
      <c r="C943" t="str" cm="1">
        <f t="array" ref="C943">_xlfn.IFS(B943&lt;=18,"0-18",B943&lt;=29,"19-29",B943&gt;=49,"30-49",B943&gt;=69,"50-69",TRUE,"70+")</f>
        <v>70+</v>
      </c>
      <c r="D943" t="s">
        <v>29</v>
      </c>
      <c r="E943" t="s">
        <v>30</v>
      </c>
      <c r="F943" t="s">
        <v>69</v>
      </c>
      <c r="G943" t="s">
        <v>45</v>
      </c>
      <c r="H943" t="s">
        <v>44</v>
      </c>
      <c r="I943" t="s">
        <v>1947</v>
      </c>
      <c r="J943" t="s">
        <v>101</v>
      </c>
      <c r="K943" s="2">
        <v>173.43</v>
      </c>
      <c r="L943">
        <v>4</v>
      </c>
      <c r="M943" t="s">
        <v>48</v>
      </c>
      <c r="N943">
        <v>3</v>
      </c>
      <c r="O943">
        <v>3</v>
      </c>
      <c r="P943">
        <v>0</v>
      </c>
      <c r="Q943" t="s">
        <v>49</v>
      </c>
      <c r="R943" t="s">
        <v>50</v>
      </c>
      <c r="S943">
        <v>2</v>
      </c>
      <c r="T943">
        <v>1</v>
      </c>
      <c r="U943" t="s">
        <v>59</v>
      </c>
      <c r="V943" t="s">
        <v>79</v>
      </c>
      <c r="W943" t="s">
        <v>51</v>
      </c>
      <c r="X943" s="3">
        <v>46235</v>
      </c>
      <c r="Y943" s="1" t="str">
        <f t="shared" si="28"/>
        <v>Aug</v>
      </c>
      <c r="Z943" s="1" t="str">
        <f t="shared" si="29"/>
        <v>2026</v>
      </c>
      <c r="AA943" t="b">
        <v>1</v>
      </c>
      <c r="AB943" t="b">
        <v>1</v>
      </c>
      <c r="AC943" t="s">
        <v>40</v>
      </c>
      <c r="AD943" t="s">
        <v>41</v>
      </c>
      <c r="AE943">
        <v>14</v>
      </c>
    </row>
    <row r="944" spans="1:31" x14ac:dyDescent="0.3">
      <c r="A944" t="s">
        <v>1948</v>
      </c>
      <c r="B944">
        <v>29</v>
      </c>
      <c r="C944" t="str" cm="1">
        <f t="array" ref="C944">_xlfn.IFS(B944&lt;=18,"0-18",B944&lt;=29,"19-29",B944&gt;=49,"30-49",B944&gt;=69,"50-69",TRUE,"70+")</f>
        <v>19-29</v>
      </c>
      <c r="D944" t="s">
        <v>29</v>
      </c>
      <c r="E944" t="s">
        <v>30</v>
      </c>
      <c r="F944" t="s">
        <v>69</v>
      </c>
      <c r="G944" t="s">
        <v>45</v>
      </c>
      <c r="H944" t="s">
        <v>30</v>
      </c>
      <c r="I944" t="s">
        <v>1949</v>
      </c>
      <c r="J944" t="s">
        <v>123</v>
      </c>
      <c r="K944" s="2">
        <v>462.96</v>
      </c>
      <c r="L944">
        <v>2</v>
      </c>
      <c r="M944" t="s">
        <v>78</v>
      </c>
      <c r="N944">
        <v>4</v>
      </c>
      <c r="O944">
        <v>2</v>
      </c>
      <c r="P944">
        <v>0</v>
      </c>
      <c r="Q944" t="s">
        <v>44</v>
      </c>
      <c r="R944" t="s">
        <v>85</v>
      </c>
      <c r="S944">
        <v>2</v>
      </c>
      <c r="T944">
        <v>6</v>
      </c>
      <c r="U944" t="s">
        <v>44</v>
      </c>
      <c r="V944" t="s">
        <v>38</v>
      </c>
      <c r="W944" t="s">
        <v>86</v>
      </c>
      <c r="X944" s="3">
        <v>46236</v>
      </c>
      <c r="Y944" s="1" t="str">
        <f t="shared" si="28"/>
        <v>Aug</v>
      </c>
      <c r="Z944" s="1" t="str">
        <f t="shared" si="29"/>
        <v>2026</v>
      </c>
      <c r="AA944" t="b">
        <v>1</v>
      </c>
      <c r="AB944" t="b">
        <v>0</v>
      </c>
      <c r="AC944" t="s">
        <v>74</v>
      </c>
      <c r="AD944" t="s">
        <v>41</v>
      </c>
      <c r="AE944">
        <v>3</v>
      </c>
    </row>
    <row r="945" spans="1:31" x14ac:dyDescent="0.3">
      <c r="A945" t="s">
        <v>1950</v>
      </c>
      <c r="B945">
        <v>36</v>
      </c>
      <c r="C945" t="str" cm="1">
        <f t="array" ref="C945">_xlfn.IFS(B945&lt;=18,"0-18",B945&lt;=29,"19-29",B945&gt;=49,"30-49",B945&gt;=69,"50-69",TRUE,"70+")</f>
        <v>70+</v>
      </c>
      <c r="D945" t="s">
        <v>43</v>
      </c>
      <c r="E945" t="s">
        <v>44</v>
      </c>
      <c r="F945" t="s">
        <v>76</v>
      </c>
      <c r="G945" t="s">
        <v>45</v>
      </c>
      <c r="H945" t="s">
        <v>30</v>
      </c>
      <c r="I945" t="s">
        <v>1951</v>
      </c>
      <c r="J945" t="s">
        <v>93</v>
      </c>
      <c r="K945" s="2">
        <v>203.13</v>
      </c>
      <c r="L945">
        <v>10</v>
      </c>
      <c r="M945" t="s">
        <v>78</v>
      </c>
      <c r="N945">
        <v>4</v>
      </c>
      <c r="O945">
        <v>3</v>
      </c>
      <c r="P945">
        <v>2</v>
      </c>
      <c r="Q945" t="s">
        <v>36</v>
      </c>
      <c r="R945" t="s">
        <v>37</v>
      </c>
      <c r="S945">
        <v>1</v>
      </c>
      <c r="T945">
        <v>5</v>
      </c>
      <c r="U945" t="s">
        <v>44</v>
      </c>
      <c r="V945" t="s">
        <v>38</v>
      </c>
      <c r="W945" t="s">
        <v>61</v>
      </c>
      <c r="X945" s="3">
        <v>46237</v>
      </c>
      <c r="Y945" s="1" t="str">
        <f t="shared" si="28"/>
        <v>Aug</v>
      </c>
      <c r="Z945" s="1" t="str">
        <f t="shared" si="29"/>
        <v>2026</v>
      </c>
      <c r="AA945" t="b">
        <v>1</v>
      </c>
      <c r="AB945" t="b">
        <v>0</v>
      </c>
      <c r="AC945" t="s">
        <v>62</v>
      </c>
      <c r="AD945" t="s">
        <v>53</v>
      </c>
      <c r="AE945">
        <v>6</v>
      </c>
    </row>
    <row r="946" spans="1:31" x14ac:dyDescent="0.3">
      <c r="A946" t="s">
        <v>1952</v>
      </c>
      <c r="B946">
        <v>50</v>
      </c>
      <c r="C946" t="str" cm="1">
        <f t="array" ref="C946">_xlfn.IFS(B946&lt;=18,"0-18",B946&lt;=29,"19-29",B946&gt;=49,"30-49",B946&gt;=69,"50-69",TRUE,"70+")</f>
        <v>30-49</v>
      </c>
      <c r="D946" t="s">
        <v>29</v>
      </c>
      <c r="E946" t="s">
        <v>44</v>
      </c>
      <c r="F946" t="s">
        <v>31</v>
      </c>
      <c r="G946" t="s">
        <v>56</v>
      </c>
      <c r="H946" t="s">
        <v>44</v>
      </c>
      <c r="I946" t="s">
        <v>1953</v>
      </c>
      <c r="J946" t="s">
        <v>126</v>
      </c>
      <c r="K946" s="2">
        <v>443.11</v>
      </c>
      <c r="L946">
        <v>9</v>
      </c>
      <c r="M946" t="s">
        <v>48</v>
      </c>
      <c r="N946">
        <v>1</v>
      </c>
      <c r="O946">
        <v>2</v>
      </c>
      <c r="P946">
        <v>1</v>
      </c>
      <c r="Q946" t="s">
        <v>36</v>
      </c>
      <c r="R946" t="s">
        <v>85</v>
      </c>
      <c r="S946">
        <v>0</v>
      </c>
      <c r="T946">
        <v>10</v>
      </c>
      <c r="U946" t="s">
        <v>59</v>
      </c>
      <c r="V946" t="s">
        <v>38</v>
      </c>
      <c r="W946" t="s">
        <v>66</v>
      </c>
      <c r="X946" s="3">
        <v>46238</v>
      </c>
      <c r="Y946" s="1" t="str">
        <f t="shared" si="28"/>
        <v>Aug</v>
      </c>
      <c r="Z946" s="1" t="str">
        <f t="shared" si="29"/>
        <v>2026</v>
      </c>
      <c r="AA946" t="b">
        <v>1</v>
      </c>
      <c r="AB946" t="b">
        <v>1</v>
      </c>
      <c r="AC946" t="s">
        <v>52</v>
      </c>
      <c r="AD946" t="s">
        <v>41</v>
      </c>
      <c r="AE946">
        <v>1</v>
      </c>
    </row>
    <row r="947" spans="1:31" x14ac:dyDescent="0.3">
      <c r="A947" t="s">
        <v>1954</v>
      </c>
      <c r="B947">
        <v>31</v>
      </c>
      <c r="C947" t="str" cm="1">
        <f t="array" ref="C947">_xlfn.IFS(B947&lt;=18,"0-18",B947&lt;=29,"19-29",B947&gt;=49,"30-49",B947&gt;=69,"50-69",TRUE,"70+")</f>
        <v>70+</v>
      </c>
      <c r="D947" t="s">
        <v>88</v>
      </c>
      <c r="E947" t="s">
        <v>44</v>
      </c>
      <c r="F947" t="s">
        <v>76</v>
      </c>
      <c r="G947" t="s">
        <v>45</v>
      </c>
      <c r="H947" t="s">
        <v>44</v>
      </c>
      <c r="I947" t="s">
        <v>1955</v>
      </c>
      <c r="J947" t="s">
        <v>142</v>
      </c>
      <c r="K947" s="2">
        <v>254.83</v>
      </c>
      <c r="L947">
        <v>2</v>
      </c>
      <c r="M947" t="s">
        <v>35</v>
      </c>
      <c r="N947">
        <v>1</v>
      </c>
      <c r="O947">
        <v>2</v>
      </c>
      <c r="P947">
        <v>1</v>
      </c>
      <c r="Q947" t="s">
        <v>36</v>
      </c>
      <c r="R947" t="s">
        <v>37</v>
      </c>
      <c r="S947">
        <v>1</v>
      </c>
      <c r="T947">
        <v>2</v>
      </c>
      <c r="U947" t="s">
        <v>59</v>
      </c>
      <c r="V947" t="s">
        <v>79</v>
      </c>
      <c r="W947" t="s">
        <v>39</v>
      </c>
      <c r="X947" s="3">
        <v>46239</v>
      </c>
      <c r="Y947" s="1" t="str">
        <f t="shared" si="28"/>
        <v>Aug</v>
      </c>
      <c r="Z947" s="1" t="str">
        <f t="shared" si="29"/>
        <v>2026</v>
      </c>
      <c r="AA947" t="b">
        <v>0</v>
      </c>
      <c r="AB947" t="b">
        <v>0</v>
      </c>
      <c r="AC947" t="s">
        <v>52</v>
      </c>
      <c r="AD947" t="s">
        <v>53</v>
      </c>
      <c r="AE947">
        <v>1</v>
      </c>
    </row>
    <row r="948" spans="1:31" x14ac:dyDescent="0.3">
      <c r="A948" t="s">
        <v>1956</v>
      </c>
      <c r="B948">
        <v>29</v>
      </c>
      <c r="C948" t="str" cm="1">
        <f t="array" ref="C948">_xlfn.IFS(B948&lt;=18,"0-18",B948&lt;=29,"19-29",B948&gt;=49,"30-49",B948&gt;=69,"50-69",TRUE,"70+")</f>
        <v>19-29</v>
      </c>
      <c r="D948" t="s">
        <v>29</v>
      </c>
      <c r="E948" t="s">
        <v>44</v>
      </c>
      <c r="F948" t="s">
        <v>55</v>
      </c>
      <c r="G948" t="s">
        <v>56</v>
      </c>
      <c r="H948" t="s">
        <v>30</v>
      </c>
      <c r="I948" t="s">
        <v>1957</v>
      </c>
      <c r="J948" t="s">
        <v>98</v>
      </c>
      <c r="K948" s="2">
        <v>336.89</v>
      </c>
      <c r="L948">
        <v>4</v>
      </c>
      <c r="M948" t="s">
        <v>78</v>
      </c>
      <c r="N948">
        <v>2</v>
      </c>
      <c r="O948">
        <v>1</v>
      </c>
      <c r="P948">
        <v>2</v>
      </c>
      <c r="Q948" t="s">
        <v>49</v>
      </c>
      <c r="R948" t="s">
        <v>85</v>
      </c>
      <c r="S948">
        <v>1</v>
      </c>
      <c r="T948">
        <v>7</v>
      </c>
      <c r="U948" t="s">
        <v>44</v>
      </c>
      <c r="V948" t="s">
        <v>60</v>
      </c>
      <c r="W948" t="s">
        <v>39</v>
      </c>
      <c r="X948" s="3">
        <v>46240</v>
      </c>
      <c r="Y948" s="1" t="str">
        <f t="shared" si="28"/>
        <v>Aug</v>
      </c>
      <c r="Z948" s="1" t="str">
        <f t="shared" si="29"/>
        <v>2026</v>
      </c>
      <c r="AA948" t="b">
        <v>0</v>
      </c>
      <c r="AB948" t="b">
        <v>0</v>
      </c>
      <c r="AC948" t="s">
        <v>74</v>
      </c>
      <c r="AD948" t="s">
        <v>67</v>
      </c>
      <c r="AE948">
        <v>9</v>
      </c>
    </row>
    <row r="949" spans="1:31" x14ac:dyDescent="0.3">
      <c r="A949" t="s">
        <v>1958</v>
      </c>
      <c r="B949">
        <v>26</v>
      </c>
      <c r="C949" t="str" cm="1">
        <f t="array" ref="C949">_xlfn.IFS(B949&lt;=18,"0-18",B949&lt;=29,"19-29",B949&gt;=49,"30-49",B949&gt;=69,"50-69",TRUE,"70+")</f>
        <v>19-29</v>
      </c>
      <c r="D949" t="s">
        <v>43</v>
      </c>
      <c r="E949" t="s">
        <v>30</v>
      </c>
      <c r="F949" t="s">
        <v>31</v>
      </c>
      <c r="G949" t="s">
        <v>32</v>
      </c>
      <c r="H949" t="s">
        <v>30</v>
      </c>
      <c r="I949" t="s">
        <v>1959</v>
      </c>
      <c r="J949" t="s">
        <v>123</v>
      </c>
      <c r="K949" s="2">
        <v>337.17</v>
      </c>
      <c r="L949">
        <v>8</v>
      </c>
      <c r="M949" t="s">
        <v>48</v>
      </c>
      <c r="N949">
        <v>5</v>
      </c>
      <c r="O949">
        <v>5</v>
      </c>
      <c r="P949">
        <v>0</v>
      </c>
      <c r="Q949" t="s">
        <v>59</v>
      </c>
      <c r="R949" t="s">
        <v>50</v>
      </c>
      <c r="S949">
        <v>1</v>
      </c>
      <c r="T949">
        <v>6</v>
      </c>
      <c r="U949" t="s">
        <v>49</v>
      </c>
      <c r="V949" t="s">
        <v>38</v>
      </c>
      <c r="W949" t="s">
        <v>39</v>
      </c>
      <c r="X949" s="3">
        <v>46241</v>
      </c>
      <c r="Y949" s="1" t="str">
        <f t="shared" si="28"/>
        <v>Aug</v>
      </c>
      <c r="Z949" s="1" t="str">
        <f t="shared" si="29"/>
        <v>2026</v>
      </c>
      <c r="AA949" t="b">
        <v>0</v>
      </c>
      <c r="AB949" t="b">
        <v>1</v>
      </c>
      <c r="AC949" t="s">
        <v>52</v>
      </c>
      <c r="AD949" t="s">
        <v>41</v>
      </c>
      <c r="AE949">
        <v>3</v>
      </c>
    </row>
    <row r="950" spans="1:31" x14ac:dyDescent="0.3">
      <c r="A950" t="s">
        <v>1960</v>
      </c>
      <c r="B950">
        <v>22</v>
      </c>
      <c r="C950" t="str" cm="1">
        <f t="array" ref="C950">_xlfn.IFS(B950&lt;=18,"0-18",B950&lt;=29,"19-29",B950&gt;=49,"30-49",B950&gt;=69,"50-69",TRUE,"70+")</f>
        <v>19-29</v>
      </c>
      <c r="D950" t="s">
        <v>29</v>
      </c>
      <c r="E950" t="s">
        <v>44</v>
      </c>
      <c r="F950" t="s">
        <v>55</v>
      </c>
      <c r="G950" t="s">
        <v>45</v>
      </c>
      <c r="H950" t="s">
        <v>44</v>
      </c>
      <c r="I950" t="s">
        <v>1961</v>
      </c>
      <c r="J950" t="s">
        <v>47</v>
      </c>
      <c r="K950" s="2">
        <v>429.24</v>
      </c>
      <c r="L950">
        <v>2</v>
      </c>
      <c r="M950" t="s">
        <v>78</v>
      </c>
      <c r="N950">
        <v>2</v>
      </c>
      <c r="O950">
        <v>2</v>
      </c>
      <c r="P950">
        <v>2</v>
      </c>
      <c r="Q950" t="s">
        <v>49</v>
      </c>
      <c r="R950" t="s">
        <v>85</v>
      </c>
      <c r="S950">
        <v>0</v>
      </c>
      <c r="T950">
        <v>3</v>
      </c>
      <c r="U950" t="s">
        <v>36</v>
      </c>
      <c r="V950" t="s">
        <v>79</v>
      </c>
      <c r="W950" t="s">
        <v>86</v>
      </c>
      <c r="X950" s="3">
        <v>46242</v>
      </c>
      <c r="Y950" s="1" t="str">
        <f t="shared" si="28"/>
        <v>Aug</v>
      </c>
      <c r="Z950" s="1" t="str">
        <f t="shared" si="29"/>
        <v>2026</v>
      </c>
      <c r="AA950" t="b">
        <v>0</v>
      </c>
      <c r="AB950" t="b">
        <v>0</v>
      </c>
      <c r="AC950" t="s">
        <v>74</v>
      </c>
      <c r="AD950" t="s">
        <v>41</v>
      </c>
      <c r="AE950">
        <v>13</v>
      </c>
    </row>
    <row r="951" spans="1:31" x14ac:dyDescent="0.3">
      <c r="A951" t="s">
        <v>1962</v>
      </c>
      <c r="B951">
        <v>35</v>
      </c>
      <c r="C951" t="str" cm="1">
        <f t="array" ref="C951">_xlfn.IFS(B951&lt;=18,"0-18",B951&lt;=29,"19-29",B951&gt;=49,"30-49",B951&gt;=69,"50-69",TRUE,"70+")</f>
        <v>70+</v>
      </c>
      <c r="D951" t="s">
        <v>29</v>
      </c>
      <c r="E951" t="s">
        <v>44</v>
      </c>
      <c r="F951" t="s">
        <v>31</v>
      </c>
      <c r="G951" t="s">
        <v>45</v>
      </c>
      <c r="H951" t="s">
        <v>44</v>
      </c>
      <c r="I951" t="s">
        <v>1963</v>
      </c>
      <c r="J951" t="s">
        <v>117</v>
      </c>
      <c r="K951" s="2">
        <v>197.7</v>
      </c>
      <c r="L951">
        <v>7</v>
      </c>
      <c r="M951" t="s">
        <v>35</v>
      </c>
      <c r="N951">
        <v>3</v>
      </c>
      <c r="O951">
        <v>5</v>
      </c>
      <c r="P951">
        <v>2</v>
      </c>
      <c r="Q951" t="s">
        <v>44</v>
      </c>
      <c r="R951" t="s">
        <v>37</v>
      </c>
      <c r="S951">
        <v>1</v>
      </c>
      <c r="T951">
        <v>6</v>
      </c>
      <c r="U951" t="s">
        <v>49</v>
      </c>
      <c r="V951" t="s">
        <v>79</v>
      </c>
      <c r="W951" t="s">
        <v>86</v>
      </c>
      <c r="X951" s="3">
        <v>46243</v>
      </c>
      <c r="Y951" s="1" t="str">
        <f t="shared" si="28"/>
        <v>Aug</v>
      </c>
      <c r="Z951" s="1" t="str">
        <f t="shared" si="29"/>
        <v>2026</v>
      </c>
      <c r="AA951" t="b">
        <v>0</v>
      </c>
      <c r="AB951" t="b">
        <v>0</v>
      </c>
      <c r="AC951" t="s">
        <v>40</v>
      </c>
      <c r="AD951" t="s">
        <v>53</v>
      </c>
      <c r="AE951">
        <v>9</v>
      </c>
    </row>
    <row r="952" spans="1:31" x14ac:dyDescent="0.3">
      <c r="A952" t="s">
        <v>1964</v>
      </c>
      <c r="B952">
        <v>23</v>
      </c>
      <c r="C952" t="str" cm="1">
        <f t="array" ref="C952">_xlfn.IFS(B952&lt;=18,"0-18",B952&lt;=29,"19-29",B952&gt;=49,"30-49",B952&gt;=69,"50-69",TRUE,"70+")</f>
        <v>19-29</v>
      </c>
      <c r="D952" t="s">
        <v>43</v>
      </c>
      <c r="E952" t="s">
        <v>30</v>
      </c>
      <c r="F952" t="s">
        <v>31</v>
      </c>
      <c r="G952" t="s">
        <v>32</v>
      </c>
      <c r="H952" t="s">
        <v>30</v>
      </c>
      <c r="I952" t="s">
        <v>1965</v>
      </c>
      <c r="J952" t="s">
        <v>65</v>
      </c>
      <c r="K952" s="2">
        <v>336.96</v>
      </c>
      <c r="L952">
        <v>2</v>
      </c>
      <c r="M952" t="s">
        <v>48</v>
      </c>
      <c r="N952">
        <v>5</v>
      </c>
      <c r="O952">
        <v>2</v>
      </c>
      <c r="P952">
        <v>2</v>
      </c>
      <c r="Q952" t="s">
        <v>44</v>
      </c>
      <c r="R952" t="s">
        <v>50</v>
      </c>
      <c r="S952">
        <v>0</v>
      </c>
      <c r="T952">
        <v>7</v>
      </c>
      <c r="U952" t="s">
        <v>59</v>
      </c>
      <c r="V952" t="s">
        <v>38</v>
      </c>
      <c r="W952" t="s">
        <v>51</v>
      </c>
      <c r="X952" s="3">
        <v>46244</v>
      </c>
      <c r="Y952" s="1" t="str">
        <f t="shared" si="28"/>
        <v>Aug</v>
      </c>
      <c r="Z952" s="1" t="str">
        <f t="shared" si="29"/>
        <v>2026</v>
      </c>
      <c r="AA952" t="b">
        <v>1</v>
      </c>
      <c r="AB952" t="b">
        <v>1</v>
      </c>
      <c r="AC952" t="s">
        <v>62</v>
      </c>
      <c r="AD952" t="s">
        <v>41</v>
      </c>
      <c r="AE952">
        <v>7</v>
      </c>
    </row>
    <row r="953" spans="1:31" x14ac:dyDescent="0.3">
      <c r="A953" t="s">
        <v>1966</v>
      </c>
      <c r="B953">
        <v>40</v>
      </c>
      <c r="C953" t="str" cm="1">
        <f t="array" ref="C953">_xlfn.IFS(B953&lt;=18,"0-18",B953&lt;=29,"19-29",B953&gt;=49,"30-49",B953&gt;=69,"50-69",TRUE,"70+")</f>
        <v>70+</v>
      </c>
      <c r="D953" t="s">
        <v>29</v>
      </c>
      <c r="E953" t="s">
        <v>44</v>
      </c>
      <c r="F953" t="s">
        <v>31</v>
      </c>
      <c r="G953" t="s">
        <v>45</v>
      </c>
      <c r="H953" t="s">
        <v>44</v>
      </c>
      <c r="I953" t="s">
        <v>1967</v>
      </c>
      <c r="J953" t="s">
        <v>114</v>
      </c>
      <c r="K953" s="2">
        <v>489.81</v>
      </c>
      <c r="L953">
        <v>11</v>
      </c>
      <c r="M953" t="s">
        <v>35</v>
      </c>
      <c r="N953">
        <v>3</v>
      </c>
      <c r="O953">
        <v>2</v>
      </c>
      <c r="P953">
        <v>1</v>
      </c>
      <c r="Q953" t="s">
        <v>59</v>
      </c>
      <c r="R953" t="s">
        <v>85</v>
      </c>
      <c r="S953">
        <v>0</v>
      </c>
      <c r="T953">
        <v>1</v>
      </c>
      <c r="U953" t="s">
        <v>36</v>
      </c>
      <c r="V953" t="s">
        <v>38</v>
      </c>
      <c r="W953" t="s">
        <v>39</v>
      </c>
      <c r="X953" s="3">
        <v>46245</v>
      </c>
      <c r="Y953" s="1" t="str">
        <f t="shared" si="28"/>
        <v>Aug</v>
      </c>
      <c r="Z953" s="1" t="str">
        <f t="shared" si="29"/>
        <v>2026</v>
      </c>
      <c r="AA953" t="b">
        <v>0</v>
      </c>
      <c r="AB953" t="b">
        <v>0</v>
      </c>
      <c r="AC953" t="s">
        <v>52</v>
      </c>
      <c r="AD953" t="s">
        <v>41</v>
      </c>
      <c r="AE953">
        <v>3</v>
      </c>
    </row>
    <row r="954" spans="1:31" x14ac:dyDescent="0.3">
      <c r="A954" t="s">
        <v>1968</v>
      </c>
      <c r="B954">
        <v>32</v>
      </c>
      <c r="C954" t="str" cm="1">
        <f t="array" ref="C954">_xlfn.IFS(B954&lt;=18,"0-18",B954&lt;=29,"19-29",B954&gt;=49,"30-49",B954&gt;=69,"50-69",TRUE,"70+")</f>
        <v>70+</v>
      </c>
      <c r="D954" t="s">
        <v>29</v>
      </c>
      <c r="E954" t="s">
        <v>44</v>
      </c>
      <c r="F954" t="s">
        <v>55</v>
      </c>
      <c r="G954" t="s">
        <v>45</v>
      </c>
      <c r="H954" t="s">
        <v>30</v>
      </c>
      <c r="I954" t="s">
        <v>1969</v>
      </c>
      <c r="J954" t="s">
        <v>120</v>
      </c>
      <c r="K954" s="2">
        <v>455.55</v>
      </c>
      <c r="L954">
        <v>8</v>
      </c>
      <c r="M954" t="s">
        <v>35</v>
      </c>
      <c r="N954">
        <v>4</v>
      </c>
      <c r="O954">
        <v>4</v>
      </c>
      <c r="P954">
        <v>1</v>
      </c>
      <c r="Q954" t="s">
        <v>44</v>
      </c>
      <c r="R954" t="s">
        <v>37</v>
      </c>
      <c r="S954">
        <v>0</v>
      </c>
      <c r="T954">
        <v>6</v>
      </c>
      <c r="U954" t="s">
        <v>44</v>
      </c>
      <c r="V954" t="s">
        <v>79</v>
      </c>
      <c r="W954" t="s">
        <v>51</v>
      </c>
      <c r="X954" s="3">
        <v>46246</v>
      </c>
      <c r="Y954" s="1" t="str">
        <f t="shared" si="28"/>
        <v>Aug</v>
      </c>
      <c r="Z954" s="1" t="str">
        <f t="shared" si="29"/>
        <v>2026</v>
      </c>
      <c r="AA954" t="b">
        <v>0</v>
      </c>
      <c r="AB954" t="b">
        <v>0</v>
      </c>
      <c r="AC954" t="s">
        <v>74</v>
      </c>
      <c r="AD954" t="s">
        <v>41</v>
      </c>
      <c r="AE954">
        <v>10</v>
      </c>
    </row>
    <row r="955" spans="1:31" x14ac:dyDescent="0.3">
      <c r="A955" t="s">
        <v>1970</v>
      </c>
      <c r="B955">
        <v>29</v>
      </c>
      <c r="C955" t="str" cm="1">
        <f t="array" ref="C955">_xlfn.IFS(B955&lt;=18,"0-18",B955&lt;=29,"19-29",B955&gt;=49,"30-49",B955&gt;=69,"50-69",TRUE,"70+")</f>
        <v>19-29</v>
      </c>
      <c r="D955" t="s">
        <v>43</v>
      </c>
      <c r="E955" t="s">
        <v>30</v>
      </c>
      <c r="F955" t="s">
        <v>76</v>
      </c>
      <c r="G955" t="s">
        <v>56</v>
      </c>
      <c r="H955" t="s">
        <v>30</v>
      </c>
      <c r="I955" t="s">
        <v>1971</v>
      </c>
      <c r="J955" t="s">
        <v>93</v>
      </c>
      <c r="K955" s="2">
        <v>266.61</v>
      </c>
      <c r="L955">
        <v>3</v>
      </c>
      <c r="M955" t="s">
        <v>78</v>
      </c>
      <c r="N955">
        <v>3</v>
      </c>
      <c r="O955">
        <v>1</v>
      </c>
      <c r="P955">
        <v>1</v>
      </c>
      <c r="Q955" t="s">
        <v>49</v>
      </c>
      <c r="R955" t="s">
        <v>85</v>
      </c>
      <c r="S955">
        <v>2</v>
      </c>
      <c r="T955">
        <v>8</v>
      </c>
      <c r="U955" t="s">
        <v>36</v>
      </c>
      <c r="V955" t="s">
        <v>38</v>
      </c>
      <c r="W955" t="s">
        <v>61</v>
      </c>
      <c r="X955" s="3">
        <v>46247</v>
      </c>
      <c r="Y955" s="1" t="str">
        <f t="shared" si="28"/>
        <v>Aug</v>
      </c>
      <c r="Z955" s="1" t="str">
        <f t="shared" si="29"/>
        <v>2026</v>
      </c>
      <c r="AA955" t="b">
        <v>1</v>
      </c>
      <c r="AB955" t="b">
        <v>0</v>
      </c>
      <c r="AC955" t="s">
        <v>40</v>
      </c>
      <c r="AD955" t="s">
        <v>53</v>
      </c>
      <c r="AE955">
        <v>7</v>
      </c>
    </row>
    <row r="956" spans="1:31" x14ac:dyDescent="0.3">
      <c r="A956" t="s">
        <v>1972</v>
      </c>
      <c r="B956">
        <v>50</v>
      </c>
      <c r="C956" t="str" cm="1">
        <f t="array" ref="C956">_xlfn.IFS(B956&lt;=18,"0-18",B956&lt;=29,"19-29",B956&gt;=49,"30-49",B956&gt;=69,"50-69",TRUE,"70+")</f>
        <v>30-49</v>
      </c>
      <c r="D956" t="s">
        <v>212</v>
      </c>
      <c r="E956" t="s">
        <v>30</v>
      </c>
      <c r="F956" t="s">
        <v>31</v>
      </c>
      <c r="G956" t="s">
        <v>45</v>
      </c>
      <c r="H956" t="s">
        <v>44</v>
      </c>
      <c r="I956" t="s">
        <v>1973</v>
      </c>
      <c r="J956" t="s">
        <v>194</v>
      </c>
      <c r="K956" s="2">
        <v>460.88</v>
      </c>
      <c r="L956">
        <v>5</v>
      </c>
      <c r="M956" t="s">
        <v>35</v>
      </c>
      <c r="N956">
        <v>3</v>
      </c>
      <c r="O956">
        <v>4</v>
      </c>
      <c r="P956">
        <v>2</v>
      </c>
      <c r="Q956" t="s">
        <v>36</v>
      </c>
      <c r="R956" t="s">
        <v>50</v>
      </c>
      <c r="S956">
        <v>2</v>
      </c>
      <c r="T956">
        <v>4</v>
      </c>
      <c r="U956" t="s">
        <v>44</v>
      </c>
      <c r="V956" t="s">
        <v>38</v>
      </c>
      <c r="W956" t="s">
        <v>86</v>
      </c>
      <c r="X956" s="3">
        <v>46248</v>
      </c>
      <c r="Y956" s="1" t="str">
        <f t="shared" si="28"/>
        <v>Aug</v>
      </c>
      <c r="Z956" s="1" t="str">
        <f t="shared" si="29"/>
        <v>2026</v>
      </c>
      <c r="AA956" t="b">
        <v>1</v>
      </c>
      <c r="AB956" t="b">
        <v>0</v>
      </c>
      <c r="AC956" t="s">
        <v>62</v>
      </c>
      <c r="AD956" t="s">
        <v>53</v>
      </c>
      <c r="AE956">
        <v>2</v>
      </c>
    </row>
    <row r="957" spans="1:31" x14ac:dyDescent="0.3">
      <c r="A957" t="s">
        <v>1974</v>
      </c>
      <c r="B957">
        <v>42</v>
      </c>
      <c r="C957" t="str" cm="1">
        <f t="array" ref="C957">_xlfn.IFS(B957&lt;=18,"0-18",B957&lt;=29,"19-29",B957&gt;=49,"30-49",B957&gt;=69,"50-69",TRUE,"70+")</f>
        <v>70+</v>
      </c>
      <c r="D957" t="s">
        <v>43</v>
      </c>
      <c r="E957" t="s">
        <v>44</v>
      </c>
      <c r="F957" t="s">
        <v>55</v>
      </c>
      <c r="G957" t="s">
        <v>45</v>
      </c>
      <c r="H957" t="s">
        <v>30</v>
      </c>
      <c r="I957" t="s">
        <v>1975</v>
      </c>
      <c r="J957" t="s">
        <v>142</v>
      </c>
      <c r="K957" s="2">
        <v>361.4</v>
      </c>
      <c r="L957">
        <v>2</v>
      </c>
      <c r="M957" t="s">
        <v>48</v>
      </c>
      <c r="N957">
        <v>2</v>
      </c>
      <c r="O957">
        <v>5</v>
      </c>
      <c r="P957">
        <v>1</v>
      </c>
      <c r="Q957" t="s">
        <v>49</v>
      </c>
      <c r="R957" t="s">
        <v>37</v>
      </c>
      <c r="S957">
        <v>0</v>
      </c>
      <c r="T957">
        <v>5</v>
      </c>
      <c r="U957" t="s">
        <v>49</v>
      </c>
      <c r="V957" t="s">
        <v>79</v>
      </c>
      <c r="W957" t="s">
        <v>39</v>
      </c>
      <c r="X957" s="3">
        <v>46249</v>
      </c>
      <c r="Y957" s="1" t="str">
        <f t="shared" si="28"/>
        <v>Aug</v>
      </c>
      <c r="Z957" s="1" t="str">
        <f t="shared" si="29"/>
        <v>2026</v>
      </c>
      <c r="AA957" t="b">
        <v>0</v>
      </c>
      <c r="AB957" t="b">
        <v>1</v>
      </c>
      <c r="AC957" t="s">
        <v>62</v>
      </c>
      <c r="AD957" t="s">
        <v>41</v>
      </c>
      <c r="AE957">
        <v>7</v>
      </c>
    </row>
    <row r="958" spans="1:31" x14ac:dyDescent="0.3">
      <c r="A958" t="s">
        <v>1976</v>
      </c>
      <c r="B958">
        <v>47</v>
      </c>
      <c r="C958" t="str" cm="1">
        <f t="array" ref="C958">_xlfn.IFS(B958&lt;=18,"0-18",B958&lt;=29,"19-29",B958&gt;=49,"30-49",B958&gt;=69,"50-69",TRUE,"70+")</f>
        <v>70+</v>
      </c>
      <c r="D958" t="s">
        <v>29</v>
      </c>
      <c r="E958" t="s">
        <v>30</v>
      </c>
      <c r="F958" t="s">
        <v>76</v>
      </c>
      <c r="G958" t="s">
        <v>56</v>
      </c>
      <c r="H958" t="s">
        <v>30</v>
      </c>
      <c r="I958" t="s">
        <v>1977</v>
      </c>
      <c r="J958" t="s">
        <v>123</v>
      </c>
      <c r="K958" s="2">
        <v>51.86</v>
      </c>
      <c r="L958">
        <v>4</v>
      </c>
      <c r="M958" t="s">
        <v>35</v>
      </c>
      <c r="N958">
        <v>3</v>
      </c>
      <c r="O958">
        <v>5</v>
      </c>
      <c r="P958">
        <v>0.2</v>
      </c>
      <c r="Q958" t="s">
        <v>49</v>
      </c>
      <c r="R958" t="s">
        <v>50</v>
      </c>
      <c r="S958">
        <v>2</v>
      </c>
      <c r="T958">
        <v>6</v>
      </c>
      <c r="U958" t="s">
        <v>44</v>
      </c>
      <c r="V958" t="s">
        <v>38</v>
      </c>
      <c r="W958" t="s">
        <v>39</v>
      </c>
      <c r="X958" s="3">
        <v>46250</v>
      </c>
      <c r="Y958" s="1" t="str">
        <f t="shared" si="28"/>
        <v>Aug</v>
      </c>
      <c r="Z958" s="1" t="str">
        <f t="shared" si="29"/>
        <v>2026</v>
      </c>
      <c r="AA958" t="b">
        <v>0</v>
      </c>
      <c r="AB958" t="b">
        <v>1</v>
      </c>
      <c r="AC958" t="s">
        <v>40</v>
      </c>
      <c r="AD958" t="s">
        <v>41</v>
      </c>
      <c r="AE958">
        <v>6</v>
      </c>
    </row>
    <row r="959" spans="1:31" x14ac:dyDescent="0.3">
      <c r="A959" t="s">
        <v>1978</v>
      </c>
      <c r="B959">
        <v>27</v>
      </c>
      <c r="C959" t="str" cm="1">
        <f t="array" ref="C959">_xlfn.IFS(B959&lt;=18,"0-18",B959&lt;=29,"19-29",B959&gt;=49,"30-49",B959&gt;=69,"50-69",TRUE,"70+")</f>
        <v>19-29</v>
      </c>
      <c r="D959" t="s">
        <v>43</v>
      </c>
      <c r="E959" t="s">
        <v>30</v>
      </c>
      <c r="F959" t="s">
        <v>31</v>
      </c>
      <c r="G959" t="s">
        <v>45</v>
      </c>
      <c r="H959" t="s">
        <v>30</v>
      </c>
      <c r="I959" t="s">
        <v>1979</v>
      </c>
      <c r="J959" t="s">
        <v>58</v>
      </c>
      <c r="K959" s="2">
        <v>310.16000000000003</v>
      </c>
      <c r="L959">
        <v>5</v>
      </c>
      <c r="M959" t="s">
        <v>35</v>
      </c>
      <c r="N959">
        <v>5</v>
      </c>
      <c r="O959">
        <v>3</v>
      </c>
      <c r="P959">
        <v>1</v>
      </c>
      <c r="Q959" t="s">
        <v>36</v>
      </c>
      <c r="R959" t="s">
        <v>37</v>
      </c>
      <c r="S959">
        <v>0</v>
      </c>
      <c r="T959">
        <v>4</v>
      </c>
      <c r="U959" t="s">
        <v>44</v>
      </c>
      <c r="V959" t="s">
        <v>79</v>
      </c>
      <c r="W959" t="s">
        <v>86</v>
      </c>
      <c r="X959" s="3">
        <v>46251</v>
      </c>
      <c r="Y959" s="1" t="str">
        <f t="shared" si="28"/>
        <v>Aug</v>
      </c>
      <c r="Z959" s="1" t="str">
        <f t="shared" si="29"/>
        <v>2026</v>
      </c>
      <c r="AA959" t="b">
        <v>0</v>
      </c>
      <c r="AB959" t="b">
        <v>0</v>
      </c>
      <c r="AC959" t="s">
        <v>40</v>
      </c>
      <c r="AD959" t="s">
        <v>53</v>
      </c>
      <c r="AE959">
        <v>14</v>
      </c>
    </row>
    <row r="960" spans="1:31" x14ac:dyDescent="0.3">
      <c r="A960" t="s">
        <v>1980</v>
      </c>
      <c r="B960">
        <v>40</v>
      </c>
      <c r="C960" t="str" cm="1">
        <f t="array" ref="C960">_xlfn.IFS(B960&lt;=18,"0-18",B960&lt;=29,"19-29",B960&gt;=49,"30-49",B960&gt;=69,"50-69",TRUE,"70+")</f>
        <v>70+</v>
      </c>
      <c r="D960" t="s">
        <v>29</v>
      </c>
      <c r="E960" t="s">
        <v>30</v>
      </c>
      <c r="F960" t="s">
        <v>69</v>
      </c>
      <c r="G960" t="s">
        <v>56</v>
      </c>
      <c r="H960" t="s">
        <v>30</v>
      </c>
      <c r="I960" t="s">
        <v>1981</v>
      </c>
      <c r="J960" t="s">
        <v>114</v>
      </c>
      <c r="K960" s="2">
        <v>300.73</v>
      </c>
      <c r="L960">
        <v>8</v>
      </c>
      <c r="M960" t="s">
        <v>78</v>
      </c>
      <c r="N960">
        <v>4</v>
      </c>
      <c r="O960">
        <v>2</v>
      </c>
      <c r="P960">
        <v>1</v>
      </c>
      <c r="Q960" t="s">
        <v>59</v>
      </c>
      <c r="R960" t="s">
        <v>37</v>
      </c>
      <c r="S960">
        <v>2</v>
      </c>
      <c r="T960">
        <v>9</v>
      </c>
      <c r="U960" t="s">
        <v>44</v>
      </c>
      <c r="V960" t="s">
        <v>79</v>
      </c>
      <c r="W960" t="s">
        <v>86</v>
      </c>
      <c r="X960" s="3">
        <v>46252</v>
      </c>
      <c r="Y960" s="1" t="str">
        <f t="shared" si="28"/>
        <v>Aug</v>
      </c>
      <c r="Z960" s="1" t="str">
        <f t="shared" si="29"/>
        <v>2026</v>
      </c>
      <c r="AA960" t="b">
        <v>1</v>
      </c>
      <c r="AB960" t="b">
        <v>1</v>
      </c>
      <c r="AC960" t="s">
        <v>40</v>
      </c>
      <c r="AD960" t="s">
        <v>41</v>
      </c>
      <c r="AE960">
        <v>10</v>
      </c>
    </row>
    <row r="961" spans="1:31" x14ac:dyDescent="0.3">
      <c r="A961" t="s">
        <v>1982</v>
      </c>
      <c r="B961">
        <v>28</v>
      </c>
      <c r="C961" t="str" cm="1">
        <f t="array" ref="C961">_xlfn.IFS(B961&lt;=18,"0-18",B961&lt;=29,"19-29",B961&gt;=49,"30-49",B961&gt;=69,"50-69",TRUE,"70+")</f>
        <v>19-29</v>
      </c>
      <c r="D961" t="s">
        <v>29</v>
      </c>
      <c r="E961" t="s">
        <v>44</v>
      </c>
      <c r="F961" t="s">
        <v>31</v>
      </c>
      <c r="G961" t="s">
        <v>45</v>
      </c>
      <c r="H961" t="s">
        <v>30</v>
      </c>
      <c r="I961" t="s">
        <v>1983</v>
      </c>
      <c r="J961" t="s">
        <v>114</v>
      </c>
      <c r="K961" s="2">
        <v>356.87</v>
      </c>
      <c r="L961">
        <v>12</v>
      </c>
      <c r="M961" t="s">
        <v>35</v>
      </c>
      <c r="N961">
        <v>1</v>
      </c>
      <c r="O961">
        <v>4</v>
      </c>
      <c r="P961">
        <v>0</v>
      </c>
      <c r="Q961" t="s">
        <v>44</v>
      </c>
      <c r="R961" t="s">
        <v>50</v>
      </c>
      <c r="S961">
        <v>1</v>
      </c>
      <c r="T961">
        <v>9</v>
      </c>
      <c r="U961" t="s">
        <v>49</v>
      </c>
      <c r="V961" t="s">
        <v>60</v>
      </c>
      <c r="W961" t="s">
        <v>61</v>
      </c>
      <c r="X961" s="3">
        <v>46253</v>
      </c>
      <c r="Y961" s="1" t="str">
        <f t="shared" si="28"/>
        <v>Aug</v>
      </c>
      <c r="Z961" s="1" t="str">
        <f t="shared" si="29"/>
        <v>2026</v>
      </c>
      <c r="AA961" t="b">
        <v>0</v>
      </c>
      <c r="AB961" t="b">
        <v>1</v>
      </c>
      <c r="AC961" t="s">
        <v>62</v>
      </c>
      <c r="AD961" t="s">
        <v>53</v>
      </c>
      <c r="AE961">
        <v>10</v>
      </c>
    </row>
    <row r="962" spans="1:31" x14ac:dyDescent="0.3">
      <c r="A962" t="s">
        <v>1984</v>
      </c>
      <c r="B962">
        <v>28</v>
      </c>
      <c r="C962" t="str" cm="1">
        <f t="array" ref="C962">_xlfn.IFS(B962&lt;=18,"0-18",B962&lt;=29,"19-29",B962&gt;=49,"30-49",B962&gt;=69,"50-69",TRUE,"70+")</f>
        <v>19-29</v>
      </c>
      <c r="D962" t="s">
        <v>43</v>
      </c>
      <c r="E962" t="s">
        <v>30</v>
      </c>
      <c r="F962" t="s">
        <v>69</v>
      </c>
      <c r="G962" t="s">
        <v>45</v>
      </c>
      <c r="H962" t="s">
        <v>30</v>
      </c>
      <c r="I962" t="s">
        <v>1985</v>
      </c>
      <c r="J962" t="s">
        <v>183</v>
      </c>
      <c r="K962" s="2">
        <v>82.37</v>
      </c>
      <c r="L962">
        <v>6</v>
      </c>
      <c r="M962" t="s">
        <v>35</v>
      </c>
      <c r="N962">
        <v>1</v>
      </c>
      <c r="O962">
        <v>1</v>
      </c>
      <c r="P962">
        <v>1</v>
      </c>
      <c r="Q962" t="s">
        <v>49</v>
      </c>
      <c r="R962" t="s">
        <v>50</v>
      </c>
      <c r="S962">
        <v>0</v>
      </c>
      <c r="T962">
        <v>4</v>
      </c>
      <c r="U962" t="s">
        <v>49</v>
      </c>
      <c r="V962" t="s">
        <v>60</v>
      </c>
      <c r="W962" t="s">
        <v>39</v>
      </c>
      <c r="X962" s="3">
        <v>46254</v>
      </c>
      <c r="Y962" s="1" t="str">
        <f t="shared" si="28"/>
        <v>Aug</v>
      </c>
      <c r="Z962" s="1" t="str">
        <f t="shared" si="29"/>
        <v>2026</v>
      </c>
      <c r="AA962" t="b">
        <v>0</v>
      </c>
      <c r="AB962" t="b">
        <v>0</v>
      </c>
      <c r="AC962" t="s">
        <v>62</v>
      </c>
      <c r="AD962" t="s">
        <v>53</v>
      </c>
      <c r="AE962">
        <v>2</v>
      </c>
    </row>
    <row r="963" spans="1:31" x14ac:dyDescent="0.3">
      <c r="A963" t="s">
        <v>1986</v>
      </c>
      <c r="B963">
        <v>29</v>
      </c>
      <c r="C963" t="str" cm="1">
        <f t="array" ref="C963">_xlfn.IFS(B963&lt;=18,"0-18",B963&lt;=29,"19-29",B963&gt;=49,"30-49",B963&gt;=69,"50-69",TRUE,"70+")</f>
        <v>19-29</v>
      </c>
      <c r="D963" t="s">
        <v>29</v>
      </c>
      <c r="E963" t="s">
        <v>44</v>
      </c>
      <c r="F963" t="s">
        <v>76</v>
      </c>
      <c r="G963" t="s">
        <v>32</v>
      </c>
      <c r="H963" t="s">
        <v>44</v>
      </c>
      <c r="I963" t="s">
        <v>1696</v>
      </c>
      <c r="J963" t="s">
        <v>183</v>
      </c>
      <c r="K963" s="2">
        <v>372.6</v>
      </c>
      <c r="L963">
        <v>3</v>
      </c>
      <c r="M963" t="s">
        <v>35</v>
      </c>
      <c r="N963">
        <v>4</v>
      </c>
      <c r="O963">
        <v>5</v>
      </c>
      <c r="P963">
        <v>1</v>
      </c>
      <c r="Q963" t="s">
        <v>44</v>
      </c>
      <c r="R963" t="s">
        <v>85</v>
      </c>
      <c r="S963">
        <v>2</v>
      </c>
      <c r="T963">
        <v>6</v>
      </c>
      <c r="U963" t="s">
        <v>59</v>
      </c>
      <c r="V963" t="s">
        <v>38</v>
      </c>
      <c r="W963" t="s">
        <v>51</v>
      </c>
      <c r="X963" s="3">
        <v>46255</v>
      </c>
      <c r="Y963" s="1" t="str">
        <f t="shared" ref="Y963:Y1001" si="30">TEXT(X963,"mmm")</f>
        <v>Aug</v>
      </c>
      <c r="Z963" s="1" t="str">
        <f t="shared" ref="Z963:Z1001" si="31">TEXT(X963,"yyyy")</f>
        <v>2026</v>
      </c>
      <c r="AA963" t="b">
        <v>1</v>
      </c>
      <c r="AB963" t="b">
        <v>1</v>
      </c>
      <c r="AC963" t="s">
        <v>74</v>
      </c>
      <c r="AD963" t="s">
        <v>67</v>
      </c>
      <c r="AE963">
        <v>10</v>
      </c>
    </row>
    <row r="964" spans="1:31" x14ac:dyDescent="0.3">
      <c r="A964" t="s">
        <v>1987</v>
      </c>
      <c r="B964">
        <v>29</v>
      </c>
      <c r="C964" t="str" cm="1">
        <f t="array" ref="C964">_xlfn.IFS(B964&lt;=18,"0-18",B964&lt;=29,"19-29",B964&gt;=49,"30-49",B964&gt;=69,"50-69",TRUE,"70+")</f>
        <v>19-29</v>
      </c>
      <c r="D964" t="s">
        <v>29</v>
      </c>
      <c r="E964" t="s">
        <v>30</v>
      </c>
      <c r="F964" t="s">
        <v>69</v>
      </c>
      <c r="G964" t="s">
        <v>45</v>
      </c>
      <c r="H964" t="s">
        <v>44</v>
      </c>
      <c r="I964" t="s">
        <v>1988</v>
      </c>
      <c r="J964" t="s">
        <v>101</v>
      </c>
      <c r="K964" s="2">
        <v>78.319999999999993</v>
      </c>
      <c r="L964">
        <v>9</v>
      </c>
      <c r="M964" t="s">
        <v>78</v>
      </c>
      <c r="N964">
        <v>2</v>
      </c>
      <c r="O964">
        <v>4</v>
      </c>
      <c r="P964">
        <v>2</v>
      </c>
      <c r="Q964" t="s">
        <v>59</v>
      </c>
      <c r="R964" t="s">
        <v>37</v>
      </c>
      <c r="S964">
        <v>2</v>
      </c>
      <c r="T964">
        <v>10</v>
      </c>
      <c r="U964" t="s">
        <v>59</v>
      </c>
      <c r="V964" t="s">
        <v>60</v>
      </c>
      <c r="W964" t="s">
        <v>51</v>
      </c>
      <c r="X964" s="3">
        <v>46256</v>
      </c>
      <c r="Y964" s="1" t="str">
        <f t="shared" si="30"/>
        <v>Aug</v>
      </c>
      <c r="Z964" s="1" t="str">
        <f t="shared" si="31"/>
        <v>2026</v>
      </c>
      <c r="AA964" t="b">
        <v>0</v>
      </c>
      <c r="AB964" t="b">
        <v>1</v>
      </c>
      <c r="AC964" t="s">
        <v>40</v>
      </c>
      <c r="AD964" t="s">
        <v>53</v>
      </c>
      <c r="AE964">
        <v>7</v>
      </c>
    </row>
    <row r="965" spans="1:31" x14ac:dyDescent="0.3">
      <c r="A965" t="s">
        <v>1989</v>
      </c>
      <c r="B965">
        <v>32</v>
      </c>
      <c r="C965" t="str" cm="1">
        <f t="array" ref="C965">_xlfn.IFS(B965&lt;=18,"0-18",B965&lt;=29,"19-29",B965&gt;=49,"30-49",B965&gt;=69,"50-69",TRUE,"70+")</f>
        <v>70+</v>
      </c>
      <c r="D965" t="s">
        <v>29</v>
      </c>
      <c r="E965" t="s">
        <v>44</v>
      </c>
      <c r="F965" t="s">
        <v>55</v>
      </c>
      <c r="G965" t="s">
        <v>56</v>
      </c>
      <c r="H965" t="s">
        <v>44</v>
      </c>
      <c r="I965" t="s">
        <v>1990</v>
      </c>
      <c r="J965" t="s">
        <v>123</v>
      </c>
      <c r="K965" s="2">
        <v>71.72</v>
      </c>
      <c r="L965">
        <v>12</v>
      </c>
      <c r="M965" t="s">
        <v>78</v>
      </c>
      <c r="N965">
        <v>3</v>
      </c>
      <c r="O965">
        <v>5</v>
      </c>
      <c r="P965">
        <v>1</v>
      </c>
      <c r="Q965" t="s">
        <v>44</v>
      </c>
      <c r="R965" t="s">
        <v>37</v>
      </c>
      <c r="S965">
        <v>2</v>
      </c>
      <c r="T965">
        <v>5</v>
      </c>
      <c r="U965" t="s">
        <v>59</v>
      </c>
      <c r="V965" t="s">
        <v>38</v>
      </c>
      <c r="W965" t="s">
        <v>51</v>
      </c>
      <c r="X965" s="3">
        <v>46257</v>
      </c>
      <c r="Y965" s="1" t="str">
        <f t="shared" si="30"/>
        <v>Aug</v>
      </c>
      <c r="Z965" s="1" t="str">
        <f t="shared" si="31"/>
        <v>2026</v>
      </c>
      <c r="AA965" t="b">
        <v>1</v>
      </c>
      <c r="AB965" t="b">
        <v>1</v>
      </c>
      <c r="AC965" t="s">
        <v>52</v>
      </c>
      <c r="AD965" t="s">
        <v>67</v>
      </c>
      <c r="AE965">
        <v>13</v>
      </c>
    </row>
    <row r="966" spans="1:31" x14ac:dyDescent="0.3">
      <c r="A966" t="s">
        <v>1991</v>
      </c>
      <c r="B966">
        <v>39</v>
      </c>
      <c r="C966" t="str" cm="1">
        <f t="array" ref="C966">_xlfn.IFS(B966&lt;=18,"0-18",B966&lt;=29,"19-29",B966&gt;=49,"30-49",B966&gt;=69,"50-69",TRUE,"70+")</f>
        <v>70+</v>
      </c>
      <c r="D966" t="s">
        <v>29</v>
      </c>
      <c r="E966" t="s">
        <v>44</v>
      </c>
      <c r="F966" t="s">
        <v>55</v>
      </c>
      <c r="G966" t="s">
        <v>45</v>
      </c>
      <c r="H966" t="s">
        <v>44</v>
      </c>
      <c r="I966" t="s">
        <v>1992</v>
      </c>
      <c r="J966" t="s">
        <v>98</v>
      </c>
      <c r="K966" s="2">
        <v>241.1</v>
      </c>
      <c r="L966">
        <v>12</v>
      </c>
      <c r="M966" t="s">
        <v>48</v>
      </c>
      <c r="N966">
        <v>1</v>
      </c>
      <c r="O966">
        <v>5</v>
      </c>
      <c r="P966">
        <v>2</v>
      </c>
      <c r="Q966" t="s">
        <v>36</v>
      </c>
      <c r="R966" t="s">
        <v>50</v>
      </c>
      <c r="S966">
        <v>2</v>
      </c>
      <c r="T966">
        <v>2</v>
      </c>
      <c r="U966" t="s">
        <v>49</v>
      </c>
      <c r="V966" t="s">
        <v>79</v>
      </c>
      <c r="W966" t="s">
        <v>39</v>
      </c>
      <c r="X966" s="3">
        <v>46258</v>
      </c>
      <c r="Y966" s="1" t="str">
        <f t="shared" si="30"/>
        <v>Aug</v>
      </c>
      <c r="Z966" s="1" t="str">
        <f t="shared" si="31"/>
        <v>2026</v>
      </c>
      <c r="AA966" t="b">
        <v>0</v>
      </c>
      <c r="AB966" t="b">
        <v>1</v>
      </c>
      <c r="AC966" t="s">
        <v>74</v>
      </c>
      <c r="AD966" t="s">
        <v>41</v>
      </c>
      <c r="AE966">
        <v>8</v>
      </c>
    </row>
    <row r="967" spans="1:31" x14ac:dyDescent="0.3">
      <c r="A967" t="s">
        <v>1993</v>
      </c>
      <c r="B967">
        <v>22</v>
      </c>
      <c r="C967" t="str" cm="1">
        <f t="array" ref="C967">_xlfn.IFS(B967&lt;=18,"0-18",B967&lt;=29,"19-29",B967&gt;=49,"30-49",B967&gt;=69,"50-69",TRUE,"70+")</f>
        <v>19-29</v>
      </c>
      <c r="D967" t="s">
        <v>43</v>
      </c>
      <c r="E967" t="s">
        <v>30</v>
      </c>
      <c r="F967" t="s">
        <v>31</v>
      </c>
      <c r="G967" t="s">
        <v>32</v>
      </c>
      <c r="H967" t="s">
        <v>44</v>
      </c>
      <c r="I967" t="s">
        <v>1994</v>
      </c>
      <c r="J967" t="s">
        <v>194</v>
      </c>
      <c r="K967" s="2">
        <v>96.86</v>
      </c>
      <c r="L967">
        <v>9</v>
      </c>
      <c r="M967" t="s">
        <v>35</v>
      </c>
      <c r="N967">
        <v>5</v>
      </c>
      <c r="O967">
        <v>5</v>
      </c>
      <c r="P967">
        <v>0</v>
      </c>
      <c r="Q967" t="s">
        <v>36</v>
      </c>
      <c r="R967" t="s">
        <v>50</v>
      </c>
      <c r="S967">
        <v>2</v>
      </c>
      <c r="T967">
        <v>10</v>
      </c>
      <c r="U967" t="s">
        <v>49</v>
      </c>
      <c r="V967" t="s">
        <v>79</v>
      </c>
      <c r="W967" t="s">
        <v>61</v>
      </c>
      <c r="X967" s="3">
        <v>46259</v>
      </c>
      <c r="Y967" s="1" t="str">
        <f t="shared" si="30"/>
        <v>Aug</v>
      </c>
      <c r="Z967" s="1" t="str">
        <f t="shared" si="31"/>
        <v>2026</v>
      </c>
      <c r="AA967" t="b">
        <v>0</v>
      </c>
      <c r="AB967" t="b">
        <v>1</v>
      </c>
      <c r="AC967" t="s">
        <v>52</v>
      </c>
      <c r="AD967" t="s">
        <v>53</v>
      </c>
      <c r="AE967">
        <v>7</v>
      </c>
    </row>
    <row r="968" spans="1:31" x14ac:dyDescent="0.3">
      <c r="A968" t="s">
        <v>1995</v>
      </c>
      <c r="B968">
        <v>48</v>
      </c>
      <c r="C968" t="str" cm="1">
        <f t="array" ref="C968">_xlfn.IFS(B968&lt;=18,"0-18",B968&lt;=29,"19-29",B968&gt;=49,"30-49",B968&gt;=69,"50-69",TRUE,"70+")</f>
        <v>70+</v>
      </c>
      <c r="D968" t="s">
        <v>43</v>
      </c>
      <c r="E968" t="s">
        <v>30</v>
      </c>
      <c r="F968" t="s">
        <v>76</v>
      </c>
      <c r="G968" t="s">
        <v>56</v>
      </c>
      <c r="H968" t="s">
        <v>44</v>
      </c>
      <c r="I968" t="s">
        <v>1996</v>
      </c>
      <c r="J968" t="s">
        <v>47</v>
      </c>
      <c r="K968" s="2">
        <v>276.25</v>
      </c>
      <c r="L968">
        <v>11</v>
      </c>
      <c r="M968" t="s">
        <v>48</v>
      </c>
      <c r="N968">
        <v>2</v>
      </c>
      <c r="O968">
        <v>1</v>
      </c>
      <c r="P968">
        <v>2</v>
      </c>
      <c r="Q968" t="s">
        <v>44</v>
      </c>
      <c r="R968" t="s">
        <v>50</v>
      </c>
      <c r="S968">
        <v>2</v>
      </c>
      <c r="T968">
        <v>4</v>
      </c>
      <c r="U968" t="s">
        <v>36</v>
      </c>
      <c r="V968" t="s">
        <v>60</v>
      </c>
      <c r="W968" t="s">
        <v>86</v>
      </c>
      <c r="X968" s="3">
        <v>46260</v>
      </c>
      <c r="Y968" s="1" t="str">
        <f t="shared" si="30"/>
        <v>Aug</v>
      </c>
      <c r="Z968" s="1" t="str">
        <f t="shared" si="31"/>
        <v>2026</v>
      </c>
      <c r="AA968" t="b">
        <v>1</v>
      </c>
      <c r="AB968" t="b">
        <v>1</v>
      </c>
      <c r="AC968" t="s">
        <v>62</v>
      </c>
      <c r="AD968" t="s">
        <v>67</v>
      </c>
      <c r="AE968">
        <v>8</v>
      </c>
    </row>
    <row r="969" spans="1:31" x14ac:dyDescent="0.3">
      <c r="A969" t="s">
        <v>1997</v>
      </c>
      <c r="B969">
        <v>29</v>
      </c>
      <c r="C969" t="str" cm="1">
        <f t="array" ref="C969">_xlfn.IFS(B969&lt;=18,"0-18",B969&lt;=29,"19-29",B969&gt;=49,"30-49",B969&gt;=69,"50-69",TRUE,"70+")</f>
        <v>19-29</v>
      </c>
      <c r="D969" t="s">
        <v>43</v>
      </c>
      <c r="E969" t="s">
        <v>30</v>
      </c>
      <c r="F969" t="s">
        <v>69</v>
      </c>
      <c r="G969" t="s">
        <v>56</v>
      </c>
      <c r="H969" t="s">
        <v>30</v>
      </c>
      <c r="I969" t="s">
        <v>1998</v>
      </c>
      <c r="J969" t="s">
        <v>58</v>
      </c>
      <c r="K969" s="2">
        <v>318.45</v>
      </c>
      <c r="L969">
        <v>10</v>
      </c>
      <c r="M969" t="s">
        <v>48</v>
      </c>
      <c r="N969">
        <v>2</v>
      </c>
      <c r="O969">
        <v>1</v>
      </c>
      <c r="P969">
        <v>2</v>
      </c>
      <c r="Q969" t="s">
        <v>36</v>
      </c>
      <c r="R969" t="s">
        <v>37</v>
      </c>
      <c r="S969">
        <v>2</v>
      </c>
      <c r="T969">
        <v>4</v>
      </c>
      <c r="U969" t="s">
        <v>44</v>
      </c>
      <c r="V969" t="s">
        <v>60</v>
      </c>
      <c r="W969" t="s">
        <v>66</v>
      </c>
      <c r="X969" s="3">
        <v>46261</v>
      </c>
      <c r="Y969" s="1" t="str">
        <f t="shared" si="30"/>
        <v>Aug</v>
      </c>
      <c r="Z969" s="1" t="str">
        <f t="shared" si="31"/>
        <v>2026</v>
      </c>
      <c r="AA969" t="b">
        <v>0</v>
      </c>
      <c r="AB969" t="b">
        <v>1</v>
      </c>
      <c r="AC969" t="s">
        <v>74</v>
      </c>
      <c r="AD969" t="s">
        <v>41</v>
      </c>
      <c r="AE969">
        <v>5</v>
      </c>
    </row>
    <row r="970" spans="1:31" x14ac:dyDescent="0.3">
      <c r="A970" t="s">
        <v>1999</v>
      </c>
      <c r="B970">
        <v>41</v>
      </c>
      <c r="C970" t="str" cm="1">
        <f t="array" ref="C970">_xlfn.IFS(B970&lt;=18,"0-18",B970&lt;=29,"19-29",B970&gt;=49,"30-49",B970&gt;=69,"50-69",TRUE,"70+")</f>
        <v>70+</v>
      </c>
      <c r="D970" t="s">
        <v>29</v>
      </c>
      <c r="E970" t="s">
        <v>44</v>
      </c>
      <c r="F970" t="s">
        <v>31</v>
      </c>
      <c r="G970" t="s">
        <v>45</v>
      </c>
      <c r="H970" t="s">
        <v>44</v>
      </c>
      <c r="I970" t="s">
        <v>2000</v>
      </c>
      <c r="J970" t="s">
        <v>101</v>
      </c>
      <c r="K970" s="2">
        <v>117.03</v>
      </c>
      <c r="L970">
        <v>6</v>
      </c>
      <c r="M970" t="s">
        <v>78</v>
      </c>
      <c r="N970">
        <v>3</v>
      </c>
      <c r="O970">
        <v>2</v>
      </c>
      <c r="P970">
        <v>0</v>
      </c>
      <c r="Q970" t="s">
        <v>36</v>
      </c>
      <c r="R970" t="s">
        <v>85</v>
      </c>
      <c r="S970">
        <v>2</v>
      </c>
      <c r="T970">
        <v>9</v>
      </c>
      <c r="U970" t="s">
        <v>49</v>
      </c>
      <c r="V970" t="s">
        <v>38</v>
      </c>
      <c r="W970" t="s">
        <v>86</v>
      </c>
      <c r="X970" s="3">
        <v>46262</v>
      </c>
      <c r="Y970" s="1" t="str">
        <f t="shared" si="30"/>
        <v>Aug</v>
      </c>
      <c r="Z970" s="1" t="str">
        <f t="shared" si="31"/>
        <v>2026</v>
      </c>
      <c r="AA970" t="b">
        <v>0</v>
      </c>
      <c r="AB970" t="b">
        <v>0</v>
      </c>
      <c r="AC970" t="s">
        <v>62</v>
      </c>
      <c r="AD970" t="s">
        <v>53</v>
      </c>
      <c r="AE970">
        <v>5</v>
      </c>
    </row>
    <row r="971" spans="1:31" x14ac:dyDescent="0.3">
      <c r="A971" t="s">
        <v>2001</v>
      </c>
      <c r="B971">
        <v>50</v>
      </c>
      <c r="C971" t="str" cm="1">
        <f t="array" ref="C971">_xlfn.IFS(B971&lt;=18,"0-18",B971&lt;=29,"19-29",B971&gt;=49,"30-49",B971&gt;=69,"50-69",TRUE,"70+")</f>
        <v>30-49</v>
      </c>
      <c r="D971" t="s">
        <v>29</v>
      </c>
      <c r="E971" t="s">
        <v>30</v>
      </c>
      <c r="F971" t="s">
        <v>31</v>
      </c>
      <c r="G971" t="s">
        <v>56</v>
      </c>
      <c r="H971" t="s">
        <v>44</v>
      </c>
      <c r="I971" t="s">
        <v>2002</v>
      </c>
      <c r="J971" t="s">
        <v>126</v>
      </c>
      <c r="K971" s="2">
        <v>490.41</v>
      </c>
      <c r="L971">
        <v>7</v>
      </c>
      <c r="M971" t="s">
        <v>78</v>
      </c>
      <c r="N971">
        <v>3</v>
      </c>
      <c r="O971">
        <v>5</v>
      </c>
      <c r="P971">
        <v>1</v>
      </c>
      <c r="Q971" t="s">
        <v>49</v>
      </c>
      <c r="R971" t="s">
        <v>85</v>
      </c>
      <c r="S971">
        <v>1</v>
      </c>
      <c r="T971">
        <v>10</v>
      </c>
      <c r="U971" t="s">
        <v>59</v>
      </c>
      <c r="V971" t="s">
        <v>38</v>
      </c>
      <c r="W971" t="s">
        <v>66</v>
      </c>
      <c r="X971" s="3">
        <v>46263</v>
      </c>
      <c r="Y971" s="1" t="str">
        <f t="shared" si="30"/>
        <v>Aug</v>
      </c>
      <c r="Z971" s="1" t="str">
        <f t="shared" si="31"/>
        <v>2026</v>
      </c>
      <c r="AA971" t="b">
        <v>1</v>
      </c>
      <c r="AB971" t="b">
        <v>0</v>
      </c>
      <c r="AC971" t="s">
        <v>74</v>
      </c>
      <c r="AD971" t="s">
        <v>53</v>
      </c>
      <c r="AE971">
        <v>5</v>
      </c>
    </row>
    <row r="972" spans="1:31" x14ac:dyDescent="0.3">
      <c r="A972" t="s">
        <v>2003</v>
      </c>
      <c r="B972">
        <v>48</v>
      </c>
      <c r="C972" t="str" cm="1">
        <f t="array" ref="C972">_xlfn.IFS(B972&lt;=18,"0-18",B972&lt;=29,"19-29",B972&gt;=49,"30-49",B972&gt;=69,"50-69",TRUE,"70+")</f>
        <v>70+</v>
      </c>
      <c r="D972" t="s">
        <v>43</v>
      </c>
      <c r="E972" t="s">
        <v>30</v>
      </c>
      <c r="F972" t="s">
        <v>76</v>
      </c>
      <c r="G972" t="s">
        <v>32</v>
      </c>
      <c r="H972" t="s">
        <v>44</v>
      </c>
      <c r="I972" t="s">
        <v>2004</v>
      </c>
      <c r="J972" t="s">
        <v>142</v>
      </c>
      <c r="K972" s="2">
        <v>476.42</v>
      </c>
      <c r="L972">
        <v>7</v>
      </c>
      <c r="M972" t="s">
        <v>48</v>
      </c>
      <c r="N972">
        <v>1</v>
      </c>
      <c r="O972">
        <v>1</v>
      </c>
      <c r="P972">
        <v>1</v>
      </c>
      <c r="Q972" t="s">
        <v>44</v>
      </c>
      <c r="R972" t="s">
        <v>85</v>
      </c>
      <c r="S972">
        <v>0</v>
      </c>
      <c r="T972">
        <v>2</v>
      </c>
      <c r="U972" t="s">
        <v>44</v>
      </c>
      <c r="V972" t="s">
        <v>79</v>
      </c>
      <c r="W972" t="s">
        <v>61</v>
      </c>
      <c r="X972" s="3">
        <v>46264</v>
      </c>
      <c r="Y972" s="1" t="str">
        <f t="shared" si="30"/>
        <v>Aug</v>
      </c>
      <c r="Z972" s="1" t="str">
        <f t="shared" si="31"/>
        <v>2026</v>
      </c>
      <c r="AA972" t="b">
        <v>1</v>
      </c>
      <c r="AB972" t="b">
        <v>0</v>
      </c>
      <c r="AC972" t="s">
        <v>40</v>
      </c>
      <c r="AD972" t="s">
        <v>53</v>
      </c>
      <c r="AE972">
        <v>2</v>
      </c>
    </row>
    <row r="973" spans="1:31" x14ac:dyDescent="0.3">
      <c r="A973" t="s">
        <v>2005</v>
      </c>
      <c r="B973">
        <v>29</v>
      </c>
      <c r="C973" t="str" cm="1">
        <f t="array" ref="C973">_xlfn.IFS(B973&lt;=18,"0-18",B973&lt;=29,"19-29",B973&gt;=49,"30-49",B973&gt;=69,"50-69",TRUE,"70+")</f>
        <v>19-29</v>
      </c>
      <c r="D973" t="s">
        <v>29</v>
      </c>
      <c r="E973" t="s">
        <v>44</v>
      </c>
      <c r="F973" t="s">
        <v>76</v>
      </c>
      <c r="G973" t="s">
        <v>56</v>
      </c>
      <c r="H973" t="s">
        <v>44</v>
      </c>
      <c r="I973" t="s">
        <v>2006</v>
      </c>
      <c r="J973" t="s">
        <v>188</v>
      </c>
      <c r="K973" s="2">
        <v>392.27</v>
      </c>
      <c r="L973">
        <v>5</v>
      </c>
      <c r="M973" t="s">
        <v>35</v>
      </c>
      <c r="N973">
        <v>4</v>
      </c>
      <c r="O973">
        <v>5</v>
      </c>
      <c r="P973">
        <v>1</v>
      </c>
      <c r="Q973" t="s">
        <v>44</v>
      </c>
      <c r="R973" t="s">
        <v>50</v>
      </c>
      <c r="S973">
        <v>0</v>
      </c>
      <c r="T973">
        <v>2</v>
      </c>
      <c r="U973" t="s">
        <v>59</v>
      </c>
      <c r="V973" t="s">
        <v>38</v>
      </c>
      <c r="W973" t="s">
        <v>66</v>
      </c>
      <c r="X973" s="3">
        <v>46265</v>
      </c>
      <c r="Y973" s="1" t="str">
        <f t="shared" si="30"/>
        <v>Aug</v>
      </c>
      <c r="Z973" s="1" t="str">
        <f t="shared" si="31"/>
        <v>2026</v>
      </c>
      <c r="AA973" t="b">
        <v>1</v>
      </c>
      <c r="AB973" t="b">
        <v>0</v>
      </c>
      <c r="AC973" t="s">
        <v>52</v>
      </c>
      <c r="AD973" t="s">
        <v>41</v>
      </c>
      <c r="AE973">
        <v>7</v>
      </c>
    </row>
    <row r="974" spans="1:31" x14ac:dyDescent="0.3">
      <c r="A974" t="s">
        <v>2007</v>
      </c>
      <c r="B974">
        <v>36</v>
      </c>
      <c r="C974" t="str" cm="1">
        <f t="array" ref="C974">_xlfn.IFS(B974&lt;=18,"0-18",B974&lt;=29,"19-29",B974&gt;=49,"30-49",B974&gt;=69,"50-69",TRUE,"70+")</f>
        <v>70+</v>
      </c>
      <c r="D974" t="s">
        <v>43</v>
      </c>
      <c r="E974" t="s">
        <v>44</v>
      </c>
      <c r="F974" t="s">
        <v>55</v>
      </c>
      <c r="G974" t="s">
        <v>32</v>
      </c>
      <c r="H974" t="s">
        <v>30</v>
      </c>
      <c r="I974" t="s">
        <v>2008</v>
      </c>
      <c r="J974" t="s">
        <v>107</v>
      </c>
      <c r="K974" s="2">
        <v>207.24</v>
      </c>
      <c r="L974">
        <v>9</v>
      </c>
      <c r="M974" t="s">
        <v>78</v>
      </c>
      <c r="N974">
        <v>2</v>
      </c>
      <c r="O974">
        <v>2</v>
      </c>
      <c r="P974">
        <v>0</v>
      </c>
      <c r="Q974" t="s">
        <v>59</v>
      </c>
      <c r="R974" t="s">
        <v>50</v>
      </c>
      <c r="S974">
        <v>0</v>
      </c>
      <c r="T974">
        <v>6</v>
      </c>
      <c r="U974" t="s">
        <v>36</v>
      </c>
      <c r="V974" t="s">
        <v>79</v>
      </c>
      <c r="W974" t="s">
        <v>61</v>
      </c>
      <c r="X974" s="3">
        <v>46266</v>
      </c>
      <c r="Y974" s="1" t="str">
        <f t="shared" si="30"/>
        <v>Sep</v>
      </c>
      <c r="Z974" s="1" t="str">
        <f t="shared" si="31"/>
        <v>2026</v>
      </c>
      <c r="AA974" t="b">
        <v>1</v>
      </c>
      <c r="AB974" t="b">
        <v>0</v>
      </c>
      <c r="AC974" t="s">
        <v>62</v>
      </c>
      <c r="AD974" t="s">
        <v>41</v>
      </c>
      <c r="AE974">
        <v>3</v>
      </c>
    </row>
    <row r="975" spans="1:31" x14ac:dyDescent="0.3">
      <c r="A975" t="s">
        <v>2009</v>
      </c>
      <c r="B975">
        <v>43</v>
      </c>
      <c r="C975" t="str" cm="1">
        <f t="array" ref="C975">_xlfn.IFS(B975&lt;=18,"0-18",B975&lt;=29,"19-29",B975&gt;=49,"30-49",B975&gt;=69,"50-69",TRUE,"70+")</f>
        <v>70+</v>
      </c>
      <c r="D975" t="s">
        <v>43</v>
      </c>
      <c r="E975" t="s">
        <v>44</v>
      </c>
      <c r="F975" t="s">
        <v>76</v>
      </c>
      <c r="G975" t="s">
        <v>45</v>
      </c>
      <c r="H975" t="s">
        <v>30</v>
      </c>
      <c r="I975" t="s">
        <v>2010</v>
      </c>
      <c r="J975" t="s">
        <v>34</v>
      </c>
      <c r="K975" s="2">
        <v>141.63</v>
      </c>
      <c r="L975">
        <v>3</v>
      </c>
      <c r="M975" t="s">
        <v>78</v>
      </c>
      <c r="N975">
        <v>4</v>
      </c>
      <c r="O975">
        <v>1</v>
      </c>
      <c r="P975">
        <v>1</v>
      </c>
      <c r="Q975" t="s">
        <v>36</v>
      </c>
      <c r="R975" t="s">
        <v>37</v>
      </c>
      <c r="S975">
        <v>1</v>
      </c>
      <c r="T975">
        <v>8</v>
      </c>
      <c r="U975" t="s">
        <v>59</v>
      </c>
      <c r="V975" t="s">
        <v>60</v>
      </c>
      <c r="W975" t="s">
        <v>86</v>
      </c>
      <c r="X975" s="3">
        <v>46267</v>
      </c>
      <c r="Y975" s="1" t="str">
        <f t="shared" si="30"/>
        <v>Sep</v>
      </c>
      <c r="Z975" s="1" t="str">
        <f t="shared" si="31"/>
        <v>2026</v>
      </c>
      <c r="AA975" t="b">
        <v>1</v>
      </c>
      <c r="AB975" t="b">
        <v>1</v>
      </c>
      <c r="AC975" t="s">
        <v>74</v>
      </c>
      <c r="AD975" t="s">
        <v>67</v>
      </c>
      <c r="AE975">
        <v>11</v>
      </c>
    </row>
    <row r="976" spans="1:31" x14ac:dyDescent="0.3">
      <c r="A976" t="s">
        <v>2011</v>
      </c>
      <c r="B976">
        <v>30</v>
      </c>
      <c r="C976" t="str" cm="1">
        <f t="array" ref="C976">_xlfn.IFS(B976&lt;=18,"0-18",B976&lt;=29,"19-29",B976&gt;=49,"30-49",B976&gt;=69,"50-69",TRUE,"70+")</f>
        <v>70+</v>
      </c>
      <c r="D976" t="s">
        <v>43</v>
      </c>
      <c r="E976" t="s">
        <v>44</v>
      </c>
      <c r="F976" t="s">
        <v>69</v>
      </c>
      <c r="G976" t="s">
        <v>32</v>
      </c>
      <c r="H976" t="s">
        <v>44</v>
      </c>
      <c r="I976" t="s">
        <v>2012</v>
      </c>
      <c r="J976" t="s">
        <v>65</v>
      </c>
      <c r="K976" s="2">
        <v>244.47</v>
      </c>
      <c r="L976">
        <v>5</v>
      </c>
      <c r="M976" t="s">
        <v>78</v>
      </c>
      <c r="N976">
        <v>3</v>
      </c>
      <c r="O976">
        <v>4</v>
      </c>
      <c r="P976">
        <v>1</v>
      </c>
      <c r="Q976" t="s">
        <v>44</v>
      </c>
      <c r="R976" t="s">
        <v>85</v>
      </c>
      <c r="S976">
        <v>1</v>
      </c>
      <c r="T976">
        <v>5</v>
      </c>
      <c r="U976" t="s">
        <v>59</v>
      </c>
      <c r="V976" t="s">
        <v>60</v>
      </c>
      <c r="W976" t="s">
        <v>86</v>
      </c>
      <c r="X976" s="3">
        <v>46268</v>
      </c>
      <c r="Y976" s="1" t="str">
        <f t="shared" si="30"/>
        <v>Sep</v>
      </c>
      <c r="Z976" s="1" t="str">
        <f t="shared" si="31"/>
        <v>2026</v>
      </c>
      <c r="AA976" t="b">
        <v>0</v>
      </c>
      <c r="AB976" t="b">
        <v>0</v>
      </c>
      <c r="AC976" t="s">
        <v>62</v>
      </c>
      <c r="AD976" t="s">
        <v>41</v>
      </c>
      <c r="AE976">
        <v>4</v>
      </c>
    </row>
    <row r="977" spans="1:31" x14ac:dyDescent="0.3">
      <c r="A977" t="s">
        <v>2013</v>
      </c>
      <c r="B977">
        <v>24</v>
      </c>
      <c r="C977" t="str" cm="1">
        <f t="array" ref="C977">_xlfn.IFS(B977&lt;=18,"0-18",B977&lt;=29,"19-29",B977&gt;=49,"30-49",B977&gt;=69,"50-69",TRUE,"70+")</f>
        <v>19-29</v>
      </c>
      <c r="D977" t="s">
        <v>43</v>
      </c>
      <c r="E977" t="s">
        <v>44</v>
      </c>
      <c r="F977" t="s">
        <v>31</v>
      </c>
      <c r="G977" t="s">
        <v>56</v>
      </c>
      <c r="H977" t="s">
        <v>44</v>
      </c>
      <c r="I977" t="s">
        <v>2014</v>
      </c>
      <c r="J977" t="s">
        <v>34</v>
      </c>
      <c r="K977" s="2">
        <v>251.63</v>
      </c>
      <c r="L977">
        <v>9</v>
      </c>
      <c r="M977" t="s">
        <v>78</v>
      </c>
      <c r="N977">
        <v>3</v>
      </c>
      <c r="O977">
        <v>1</v>
      </c>
      <c r="P977">
        <v>0</v>
      </c>
      <c r="Q977" t="s">
        <v>59</v>
      </c>
      <c r="R977" t="s">
        <v>50</v>
      </c>
      <c r="S977">
        <v>0</v>
      </c>
      <c r="T977">
        <v>2</v>
      </c>
      <c r="U977" t="s">
        <v>44</v>
      </c>
      <c r="V977" t="s">
        <v>79</v>
      </c>
      <c r="W977" t="s">
        <v>39</v>
      </c>
      <c r="X977" s="3">
        <v>46269</v>
      </c>
      <c r="Y977" s="1" t="str">
        <f t="shared" si="30"/>
        <v>Sep</v>
      </c>
      <c r="Z977" s="1" t="str">
        <f t="shared" si="31"/>
        <v>2026</v>
      </c>
      <c r="AA977" t="b">
        <v>1</v>
      </c>
      <c r="AB977" t="b">
        <v>1</v>
      </c>
      <c r="AC977" t="s">
        <v>40</v>
      </c>
      <c r="AD977" t="s">
        <v>67</v>
      </c>
      <c r="AE977">
        <v>10</v>
      </c>
    </row>
    <row r="978" spans="1:31" x14ac:dyDescent="0.3">
      <c r="A978" t="s">
        <v>2015</v>
      </c>
      <c r="B978">
        <v>30</v>
      </c>
      <c r="C978" t="str" cm="1">
        <f t="array" ref="C978">_xlfn.IFS(B978&lt;=18,"0-18",B978&lt;=29,"19-29",B978&gt;=49,"30-49",B978&gt;=69,"50-69",TRUE,"70+")</f>
        <v>70+</v>
      </c>
      <c r="D978" t="s">
        <v>43</v>
      </c>
      <c r="E978" t="s">
        <v>30</v>
      </c>
      <c r="F978" t="s">
        <v>76</v>
      </c>
      <c r="G978" t="s">
        <v>32</v>
      </c>
      <c r="H978" t="s">
        <v>30</v>
      </c>
      <c r="I978" t="s">
        <v>2016</v>
      </c>
      <c r="J978" t="s">
        <v>126</v>
      </c>
      <c r="K978" s="2">
        <v>431.78</v>
      </c>
      <c r="L978">
        <v>12</v>
      </c>
      <c r="M978" t="s">
        <v>78</v>
      </c>
      <c r="N978">
        <v>1</v>
      </c>
      <c r="O978">
        <v>3</v>
      </c>
      <c r="P978">
        <v>1</v>
      </c>
      <c r="Q978" t="s">
        <v>49</v>
      </c>
      <c r="R978" t="s">
        <v>85</v>
      </c>
      <c r="S978">
        <v>1</v>
      </c>
      <c r="T978">
        <v>8</v>
      </c>
      <c r="U978" t="s">
        <v>59</v>
      </c>
      <c r="V978" t="s">
        <v>60</v>
      </c>
      <c r="W978" t="s">
        <v>51</v>
      </c>
      <c r="X978" s="3">
        <v>46270</v>
      </c>
      <c r="Y978" s="1" t="str">
        <f t="shared" si="30"/>
        <v>Sep</v>
      </c>
      <c r="Z978" s="1" t="str">
        <f t="shared" si="31"/>
        <v>2026</v>
      </c>
      <c r="AA978" t="b">
        <v>1</v>
      </c>
      <c r="AB978" t="b">
        <v>0</v>
      </c>
      <c r="AC978" t="s">
        <v>62</v>
      </c>
      <c r="AD978" t="s">
        <v>41</v>
      </c>
      <c r="AE978">
        <v>7</v>
      </c>
    </row>
    <row r="979" spans="1:31" x14ac:dyDescent="0.3">
      <c r="A979" t="s">
        <v>2017</v>
      </c>
      <c r="B979">
        <v>37</v>
      </c>
      <c r="C979" t="str" cm="1">
        <f t="array" ref="C979">_xlfn.IFS(B979&lt;=18,"0-18",B979&lt;=29,"19-29",B979&gt;=49,"30-49",B979&gt;=69,"50-69",TRUE,"70+")</f>
        <v>70+</v>
      </c>
      <c r="D979" t="s">
        <v>29</v>
      </c>
      <c r="E979" t="s">
        <v>30</v>
      </c>
      <c r="F979" t="s">
        <v>31</v>
      </c>
      <c r="G979" t="s">
        <v>56</v>
      </c>
      <c r="H979" t="s">
        <v>44</v>
      </c>
      <c r="I979" t="s">
        <v>2018</v>
      </c>
      <c r="J979" t="s">
        <v>246</v>
      </c>
      <c r="K979" s="2">
        <v>303.08999999999997</v>
      </c>
      <c r="L979">
        <v>2</v>
      </c>
      <c r="M979" t="s">
        <v>78</v>
      </c>
      <c r="N979">
        <v>2</v>
      </c>
      <c r="O979">
        <v>5</v>
      </c>
      <c r="P979">
        <v>1</v>
      </c>
      <c r="Q979" t="s">
        <v>36</v>
      </c>
      <c r="R979" t="s">
        <v>85</v>
      </c>
      <c r="S979">
        <v>2</v>
      </c>
      <c r="T979">
        <v>9</v>
      </c>
      <c r="U979" t="s">
        <v>36</v>
      </c>
      <c r="V979" t="s">
        <v>38</v>
      </c>
      <c r="W979" t="s">
        <v>66</v>
      </c>
      <c r="X979" s="3">
        <v>46271</v>
      </c>
      <c r="Y979" s="1" t="str">
        <f t="shared" si="30"/>
        <v>Sep</v>
      </c>
      <c r="Z979" s="1" t="str">
        <f t="shared" si="31"/>
        <v>2026</v>
      </c>
      <c r="AA979" t="b">
        <v>0</v>
      </c>
      <c r="AB979" t="b">
        <v>0</v>
      </c>
      <c r="AC979" t="s">
        <v>62</v>
      </c>
      <c r="AD979" t="s">
        <v>41</v>
      </c>
      <c r="AE979">
        <v>11</v>
      </c>
    </row>
    <row r="980" spans="1:31" x14ac:dyDescent="0.3">
      <c r="A980" t="s">
        <v>2019</v>
      </c>
      <c r="B980">
        <v>40</v>
      </c>
      <c r="C980" t="str" cm="1">
        <f t="array" ref="C980">_xlfn.IFS(B980&lt;=18,"0-18",B980&lt;=29,"19-29",B980&gt;=49,"30-49",B980&gt;=69,"50-69",TRUE,"70+")</f>
        <v>70+</v>
      </c>
      <c r="D980" t="s">
        <v>43</v>
      </c>
      <c r="E980" t="s">
        <v>44</v>
      </c>
      <c r="F980" t="s">
        <v>31</v>
      </c>
      <c r="G980" t="s">
        <v>32</v>
      </c>
      <c r="H980" t="s">
        <v>44</v>
      </c>
      <c r="I980" t="s">
        <v>2020</v>
      </c>
      <c r="J980" t="s">
        <v>194</v>
      </c>
      <c r="K980" s="2">
        <v>341.24</v>
      </c>
      <c r="L980">
        <v>9</v>
      </c>
      <c r="M980" t="s">
        <v>35</v>
      </c>
      <c r="N980">
        <v>5</v>
      </c>
      <c r="O980">
        <v>5</v>
      </c>
      <c r="P980">
        <v>2</v>
      </c>
      <c r="Q980" t="s">
        <v>59</v>
      </c>
      <c r="R980" t="s">
        <v>37</v>
      </c>
      <c r="S980">
        <v>1</v>
      </c>
      <c r="T980">
        <v>3</v>
      </c>
      <c r="U980" t="s">
        <v>36</v>
      </c>
      <c r="V980" t="s">
        <v>38</v>
      </c>
      <c r="W980" t="s">
        <v>39</v>
      </c>
      <c r="X980" s="3">
        <v>46272</v>
      </c>
      <c r="Y980" s="1" t="str">
        <f t="shared" si="30"/>
        <v>Sep</v>
      </c>
      <c r="Z980" s="1" t="str">
        <f t="shared" si="31"/>
        <v>2026</v>
      </c>
      <c r="AA980" t="b">
        <v>1</v>
      </c>
      <c r="AB980" t="b">
        <v>0</v>
      </c>
      <c r="AC980" t="s">
        <v>40</v>
      </c>
      <c r="AD980" t="s">
        <v>53</v>
      </c>
      <c r="AE980">
        <v>4</v>
      </c>
    </row>
    <row r="981" spans="1:31" x14ac:dyDescent="0.3">
      <c r="A981" t="s">
        <v>2021</v>
      </c>
      <c r="B981">
        <v>30</v>
      </c>
      <c r="C981" t="str" cm="1">
        <f t="array" ref="C981">_xlfn.IFS(B981&lt;=18,"0-18",B981&lt;=29,"19-29",B981&gt;=49,"30-49",B981&gt;=69,"50-69",TRUE,"70+")</f>
        <v>70+</v>
      </c>
      <c r="D981" t="s">
        <v>29</v>
      </c>
      <c r="E981" t="s">
        <v>30</v>
      </c>
      <c r="F981" t="s">
        <v>76</v>
      </c>
      <c r="G981" t="s">
        <v>56</v>
      </c>
      <c r="H981" t="s">
        <v>44</v>
      </c>
      <c r="I981" t="s">
        <v>2022</v>
      </c>
      <c r="J981" t="s">
        <v>117</v>
      </c>
      <c r="K981" s="2">
        <v>211.39</v>
      </c>
      <c r="L981">
        <v>10</v>
      </c>
      <c r="M981" t="s">
        <v>78</v>
      </c>
      <c r="N981">
        <v>4</v>
      </c>
      <c r="O981">
        <v>5</v>
      </c>
      <c r="P981">
        <v>1</v>
      </c>
      <c r="Q981" t="s">
        <v>49</v>
      </c>
      <c r="R981" t="s">
        <v>50</v>
      </c>
      <c r="S981">
        <v>0</v>
      </c>
      <c r="T981">
        <v>1</v>
      </c>
      <c r="U981" t="s">
        <v>59</v>
      </c>
      <c r="V981" t="s">
        <v>79</v>
      </c>
      <c r="W981" t="s">
        <v>66</v>
      </c>
      <c r="X981" s="3">
        <v>46273</v>
      </c>
      <c r="Y981" s="1" t="str">
        <f t="shared" si="30"/>
        <v>Sep</v>
      </c>
      <c r="Z981" s="1" t="str">
        <f t="shared" si="31"/>
        <v>2026</v>
      </c>
      <c r="AA981" t="b">
        <v>1</v>
      </c>
      <c r="AB981" t="b">
        <v>0</v>
      </c>
      <c r="AC981" t="s">
        <v>74</v>
      </c>
      <c r="AD981" t="s">
        <v>67</v>
      </c>
      <c r="AE981">
        <v>1</v>
      </c>
    </row>
    <row r="982" spans="1:31" x14ac:dyDescent="0.3">
      <c r="A982" t="s">
        <v>2023</v>
      </c>
      <c r="B982">
        <v>39</v>
      </c>
      <c r="C982" t="str" cm="1">
        <f t="array" ref="C982">_xlfn.IFS(B982&lt;=18,"0-18",B982&lt;=29,"19-29",B982&gt;=49,"30-49",B982&gt;=69,"50-69",TRUE,"70+")</f>
        <v>70+</v>
      </c>
      <c r="D982" t="s">
        <v>29</v>
      </c>
      <c r="E982" t="s">
        <v>30</v>
      </c>
      <c r="F982" t="s">
        <v>31</v>
      </c>
      <c r="G982" t="s">
        <v>32</v>
      </c>
      <c r="H982" t="s">
        <v>30</v>
      </c>
      <c r="I982" t="s">
        <v>1328</v>
      </c>
      <c r="J982" t="s">
        <v>117</v>
      </c>
      <c r="K982" s="2">
        <v>379.21</v>
      </c>
      <c r="L982">
        <v>9</v>
      </c>
      <c r="M982" t="s">
        <v>35</v>
      </c>
      <c r="N982">
        <v>1</v>
      </c>
      <c r="O982">
        <v>5</v>
      </c>
      <c r="P982">
        <v>1</v>
      </c>
      <c r="Q982" t="s">
        <v>59</v>
      </c>
      <c r="R982" t="s">
        <v>37</v>
      </c>
      <c r="S982">
        <v>1</v>
      </c>
      <c r="T982">
        <v>1</v>
      </c>
      <c r="U982" t="s">
        <v>44</v>
      </c>
      <c r="V982" t="s">
        <v>60</v>
      </c>
      <c r="W982" t="s">
        <v>51</v>
      </c>
      <c r="X982" s="3">
        <v>46274</v>
      </c>
      <c r="Y982" s="1" t="str">
        <f t="shared" si="30"/>
        <v>Sep</v>
      </c>
      <c r="Z982" s="1" t="str">
        <f t="shared" si="31"/>
        <v>2026</v>
      </c>
      <c r="AA982" t="b">
        <v>1</v>
      </c>
      <c r="AB982" t="b">
        <v>1</v>
      </c>
      <c r="AC982" t="s">
        <v>62</v>
      </c>
      <c r="AD982" t="s">
        <v>41</v>
      </c>
      <c r="AE982">
        <v>1</v>
      </c>
    </row>
    <row r="983" spans="1:31" x14ac:dyDescent="0.3">
      <c r="A983" t="s">
        <v>2024</v>
      </c>
      <c r="B983">
        <v>46</v>
      </c>
      <c r="C983" t="str" cm="1">
        <f t="array" ref="C983">_xlfn.IFS(B983&lt;=18,"0-18",B983&lt;=29,"19-29",B983&gt;=49,"30-49",B983&gt;=69,"50-69",TRUE,"70+")</f>
        <v>70+</v>
      </c>
      <c r="D983" t="s">
        <v>29</v>
      </c>
      <c r="E983" t="s">
        <v>44</v>
      </c>
      <c r="F983" t="s">
        <v>69</v>
      </c>
      <c r="G983" t="s">
        <v>56</v>
      </c>
      <c r="H983" t="s">
        <v>44</v>
      </c>
      <c r="I983" t="s">
        <v>2025</v>
      </c>
      <c r="J983" t="s">
        <v>93</v>
      </c>
      <c r="K983" s="2">
        <v>309.52999999999997</v>
      </c>
      <c r="L983">
        <v>8</v>
      </c>
      <c r="M983" t="s">
        <v>35</v>
      </c>
      <c r="N983">
        <v>2</v>
      </c>
      <c r="O983">
        <v>1</v>
      </c>
      <c r="P983">
        <v>1</v>
      </c>
      <c r="Q983" t="s">
        <v>36</v>
      </c>
      <c r="R983" t="s">
        <v>85</v>
      </c>
      <c r="S983">
        <v>2</v>
      </c>
      <c r="T983">
        <v>6</v>
      </c>
      <c r="U983" t="s">
        <v>36</v>
      </c>
      <c r="V983" t="s">
        <v>60</v>
      </c>
      <c r="W983" t="s">
        <v>86</v>
      </c>
      <c r="X983" s="3">
        <v>46275</v>
      </c>
      <c r="Y983" s="1" t="str">
        <f t="shared" si="30"/>
        <v>Sep</v>
      </c>
      <c r="Z983" s="1" t="str">
        <f t="shared" si="31"/>
        <v>2026</v>
      </c>
      <c r="AA983" t="b">
        <v>0</v>
      </c>
      <c r="AB983" t="b">
        <v>1</v>
      </c>
      <c r="AC983" t="s">
        <v>74</v>
      </c>
      <c r="AD983" t="s">
        <v>53</v>
      </c>
      <c r="AE983">
        <v>5</v>
      </c>
    </row>
    <row r="984" spans="1:31" x14ac:dyDescent="0.3">
      <c r="A984" t="s">
        <v>2026</v>
      </c>
      <c r="B984">
        <v>48</v>
      </c>
      <c r="C984" t="str" cm="1">
        <f t="array" ref="C984">_xlfn.IFS(B984&lt;=18,"0-18",B984&lt;=29,"19-29",B984&gt;=49,"30-49",B984&gt;=69,"50-69",TRUE,"70+")</f>
        <v>70+</v>
      </c>
      <c r="D984" t="s">
        <v>43</v>
      </c>
      <c r="E984" t="s">
        <v>30</v>
      </c>
      <c r="F984" t="s">
        <v>76</v>
      </c>
      <c r="G984" t="s">
        <v>56</v>
      </c>
      <c r="H984" t="s">
        <v>44</v>
      </c>
      <c r="I984" t="s">
        <v>2027</v>
      </c>
      <c r="J984" t="s">
        <v>82</v>
      </c>
      <c r="K984" s="2">
        <v>359.45</v>
      </c>
      <c r="L984">
        <v>6</v>
      </c>
      <c r="M984" t="s">
        <v>78</v>
      </c>
      <c r="N984">
        <v>4</v>
      </c>
      <c r="O984">
        <v>1</v>
      </c>
      <c r="P984">
        <v>2</v>
      </c>
      <c r="Q984" t="s">
        <v>59</v>
      </c>
      <c r="R984" t="s">
        <v>50</v>
      </c>
      <c r="S984">
        <v>1</v>
      </c>
      <c r="T984">
        <v>8</v>
      </c>
      <c r="U984" t="s">
        <v>49</v>
      </c>
      <c r="V984" t="s">
        <v>79</v>
      </c>
      <c r="W984" t="s">
        <v>66</v>
      </c>
      <c r="X984" s="3">
        <v>46276</v>
      </c>
      <c r="Y984" s="1" t="str">
        <f t="shared" si="30"/>
        <v>Sep</v>
      </c>
      <c r="Z984" s="1" t="str">
        <f t="shared" si="31"/>
        <v>2026</v>
      </c>
      <c r="AA984" t="b">
        <v>0</v>
      </c>
      <c r="AB984" t="b">
        <v>0</v>
      </c>
      <c r="AC984" t="s">
        <v>62</v>
      </c>
      <c r="AD984" t="s">
        <v>53</v>
      </c>
      <c r="AE984">
        <v>11</v>
      </c>
    </row>
    <row r="985" spans="1:31" x14ac:dyDescent="0.3">
      <c r="A985" t="s">
        <v>2028</v>
      </c>
      <c r="B985">
        <v>20</v>
      </c>
      <c r="C985" t="str" cm="1">
        <f t="array" ref="C985">_xlfn.IFS(B985&lt;=18,"0-18",B985&lt;=29,"19-29",B985&gt;=49,"30-49",B985&gt;=69,"50-69",TRUE,"70+")</f>
        <v>19-29</v>
      </c>
      <c r="D985" t="s">
        <v>29</v>
      </c>
      <c r="E985" t="s">
        <v>44</v>
      </c>
      <c r="F985" t="s">
        <v>69</v>
      </c>
      <c r="G985" t="s">
        <v>45</v>
      </c>
      <c r="H985" t="s">
        <v>30</v>
      </c>
      <c r="I985" t="s">
        <v>2029</v>
      </c>
      <c r="J985" t="s">
        <v>107</v>
      </c>
      <c r="K985" s="2">
        <v>479.62</v>
      </c>
      <c r="L985">
        <v>8</v>
      </c>
      <c r="M985" t="s">
        <v>48</v>
      </c>
      <c r="N985">
        <v>3</v>
      </c>
      <c r="O985">
        <v>1</v>
      </c>
      <c r="P985">
        <v>2</v>
      </c>
      <c r="Q985" t="s">
        <v>44</v>
      </c>
      <c r="R985" t="s">
        <v>50</v>
      </c>
      <c r="S985">
        <v>1</v>
      </c>
      <c r="T985">
        <v>3</v>
      </c>
      <c r="U985" t="s">
        <v>59</v>
      </c>
      <c r="V985" t="s">
        <v>38</v>
      </c>
      <c r="W985" t="s">
        <v>66</v>
      </c>
      <c r="X985" s="3">
        <v>46277</v>
      </c>
      <c r="Y985" s="1" t="str">
        <f t="shared" si="30"/>
        <v>Sep</v>
      </c>
      <c r="Z985" s="1" t="str">
        <f t="shared" si="31"/>
        <v>2026</v>
      </c>
      <c r="AA985" t="b">
        <v>0</v>
      </c>
      <c r="AB985" t="b">
        <v>0</v>
      </c>
      <c r="AC985" t="s">
        <v>74</v>
      </c>
      <c r="AD985" t="s">
        <v>67</v>
      </c>
      <c r="AE985">
        <v>10</v>
      </c>
    </row>
    <row r="986" spans="1:31" x14ac:dyDescent="0.3">
      <c r="A986" t="s">
        <v>2030</v>
      </c>
      <c r="B986">
        <v>34</v>
      </c>
      <c r="C986" t="str" cm="1">
        <f t="array" ref="C986">_xlfn.IFS(B986&lt;=18,"0-18",B986&lt;=29,"19-29",B986&gt;=49,"30-49",B986&gt;=69,"50-69",TRUE,"70+")</f>
        <v>70+</v>
      </c>
      <c r="D986" t="s">
        <v>43</v>
      </c>
      <c r="E986" t="s">
        <v>44</v>
      </c>
      <c r="F986" t="s">
        <v>31</v>
      </c>
      <c r="G986" t="s">
        <v>32</v>
      </c>
      <c r="H986" t="s">
        <v>30</v>
      </c>
      <c r="I986" t="s">
        <v>2031</v>
      </c>
      <c r="J986" t="s">
        <v>117</v>
      </c>
      <c r="K986" s="2">
        <v>208.6</v>
      </c>
      <c r="L986">
        <v>2</v>
      </c>
      <c r="M986" t="s">
        <v>35</v>
      </c>
      <c r="N986">
        <v>5</v>
      </c>
      <c r="O986">
        <v>1</v>
      </c>
      <c r="P986">
        <v>2</v>
      </c>
      <c r="Q986" t="s">
        <v>36</v>
      </c>
      <c r="R986" t="s">
        <v>37</v>
      </c>
      <c r="S986">
        <v>0</v>
      </c>
      <c r="T986">
        <v>5</v>
      </c>
      <c r="U986" t="s">
        <v>44</v>
      </c>
      <c r="V986" t="s">
        <v>60</v>
      </c>
      <c r="W986" t="s">
        <v>39</v>
      </c>
      <c r="X986" s="3">
        <v>46278</v>
      </c>
      <c r="Y986" s="1" t="str">
        <f t="shared" si="30"/>
        <v>Sep</v>
      </c>
      <c r="Z986" s="1" t="str">
        <f t="shared" si="31"/>
        <v>2026</v>
      </c>
      <c r="AA986" t="b">
        <v>1</v>
      </c>
      <c r="AB986" t="b">
        <v>1</v>
      </c>
      <c r="AC986" t="s">
        <v>62</v>
      </c>
      <c r="AD986" t="s">
        <v>53</v>
      </c>
      <c r="AE986">
        <v>3</v>
      </c>
    </row>
    <row r="987" spans="1:31" x14ac:dyDescent="0.3">
      <c r="A987" t="s">
        <v>2032</v>
      </c>
      <c r="B987">
        <v>50</v>
      </c>
      <c r="C987" t="str" cm="1">
        <f t="array" ref="C987">_xlfn.IFS(B987&lt;=18,"0-18",B987&lt;=29,"19-29",B987&gt;=49,"30-49",B987&gt;=69,"50-69",TRUE,"70+")</f>
        <v>30-49</v>
      </c>
      <c r="D987" t="s">
        <v>29</v>
      </c>
      <c r="E987" t="s">
        <v>30</v>
      </c>
      <c r="F987" t="s">
        <v>55</v>
      </c>
      <c r="G987" t="s">
        <v>56</v>
      </c>
      <c r="H987" t="s">
        <v>44</v>
      </c>
      <c r="I987" t="s">
        <v>2033</v>
      </c>
      <c r="J987" t="s">
        <v>120</v>
      </c>
      <c r="K987" s="2">
        <v>180.21</v>
      </c>
      <c r="L987">
        <v>2</v>
      </c>
      <c r="M987" t="s">
        <v>35</v>
      </c>
      <c r="N987">
        <v>5</v>
      </c>
      <c r="O987">
        <v>5</v>
      </c>
      <c r="P987">
        <v>0</v>
      </c>
      <c r="Q987" t="s">
        <v>36</v>
      </c>
      <c r="R987" t="s">
        <v>85</v>
      </c>
      <c r="S987">
        <v>1</v>
      </c>
      <c r="T987">
        <v>1</v>
      </c>
      <c r="U987" t="s">
        <v>49</v>
      </c>
      <c r="V987" t="s">
        <v>79</v>
      </c>
      <c r="W987" t="s">
        <v>86</v>
      </c>
      <c r="X987" s="3">
        <v>46279</v>
      </c>
      <c r="Y987" s="1" t="str">
        <f t="shared" si="30"/>
        <v>Sep</v>
      </c>
      <c r="Z987" s="1" t="str">
        <f t="shared" si="31"/>
        <v>2026</v>
      </c>
      <c r="AA987" t="b">
        <v>0</v>
      </c>
      <c r="AB987" t="b">
        <v>1</v>
      </c>
      <c r="AC987" t="s">
        <v>40</v>
      </c>
      <c r="AD987" t="s">
        <v>67</v>
      </c>
      <c r="AE987">
        <v>14</v>
      </c>
    </row>
    <row r="988" spans="1:31" x14ac:dyDescent="0.3">
      <c r="A988" t="s">
        <v>2034</v>
      </c>
      <c r="B988">
        <v>25</v>
      </c>
      <c r="C988" t="str" cm="1">
        <f t="array" ref="C988">_xlfn.IFS(B988&lt;=18,"0-18",B988&lt;=29,"19-29",B988&gt;=49,"30-49",B988&gt;=69,"50-69",TRUE,"70+")</f>
        <v>19-29</v>
      </c>
      <c r="D988" t="s">
        <v>43</v>
      </c>
      <c r="E988" t="s">
        <v>30</v>
      </c>
      <c r="F988" t="s">
        <v>55</v>
      </c>
      <c r="G988" t="s">
        <v>45</v>
      </c>
      <c r="H988" t="s">
        <v>44</v>
      </c>
      <c r="I988" t="s">
        <v>2035</v>
      </c>
      <c r="J988" t="s">
        <v>117</v>
      </c>
      <c r="K988" s="2">
        <v>197.9</v>
      </c>
      <c r="L988">
        <v>3</v>
      </c>
      <c r="M988" t="s">
        <v>35</v>
      </c>
      <c r="N988">
        <v>2</v>
      </c>
      <c r="O988">
        <v>1</v>
      </c>
      <c r="P988">
        <v>2</v>
      </c>
      <c r="Q988" t="s">
        <v>49</v>
      </c>
      <c r="R988" t="s">
        <v>50</v>
      </c>
      <c r="S988">
        <v>0</v>
      </c>
      <c r="T988">
        <v>8</v>
      </c>
      <c r="U988" t="s">
        <v>44</v>
      </c>
      <c r="V988" t="s">
        <v>79</v>
      </c>
      <c r="W988" t="s">
        <v>61</v>
      </c>
      <c r="X988" s="3">
        <v>46280</v>
      </c>
      <c r="Y988" s="1" t="str">
        <f t="shared" si="30"/>
        <v>Sep</v>
      </c>
      <c r="Z988" s="1" t="str">
        <f t="shared" si="31"/>
        <v>2026</v>
      </c>
      <c r="AA988" t="b">
        <v>1</v>
      </c>
      <c r="AB988" t="b">
        <v>1</v>
      </c>
      <c r="AC988" t="s">
        <v>52</v>
      </c>
      <c r="AD988" t="s">
        <v>53</v>
      </c>
      <c r="AE988">
        <v>14</v>
      </c>
    </row>
    <row r="989" spans="1:31" x14ac:dyDescent="0.3">
      <c r="A989" t="s">
        <v>2036</v>
      </c>
      <c r="B989">
        <v>49</v>
      </c>
      <c r="C989" t="str" cm="1">
        <f t="array" ref="C989">_xlfn.IFS(B989&lt;=18,"0-18",B989&lt;=29,"19-29",B989&gt;=49,"30-49",B989&gt;=69,"50-69",TRUE,"70+")</f>
        <v>30-49</v>
      </c>
      <c r="D989" t="s">
        <v>43</v>
      </c>
      <c r="E989" t="s">
        <v>30</v>
      </c>
      <c r="F989" t="s">
        <v>55</v>
      </c>
      <c r="G989" t="s">
        <v>32</v>
      </c>
      <c r="H989" t="s">
        <v>44</v>
      </c>
      <c r="I989" t="s">
        <v>2037</v>
      </c>
      <c r="J989" t="s">
        <v>65</v>
      </c>
      <c r="K989" s="2">
        <v>362.3</v>
      </c>
      <c r="L989">
        <v>7</v>
      </c>
      <c r="M989" t="s">
        <v>78</v>
      </c>
      <c r="N989">
        <v>4</v>
      </c>
      <c r="O989">
        <v>2</v>
      </c>
      <c r="P989">
        <v>0.2</v>
      </c>
      <c r="Q989" t="s">
        <v>59</v>
      </c>
      <c r="R989" t="s">
        <v>50</v>
      </c>
      <c r="S989">
        <v>0</v>
      </c>
      <c r="T989">
        <v>4</v>
      </c>
      <c r="U989" t="s">
        <v>59</v>
      </c>
      <c r="V989" t="s">
        <v>38</v>
      </c>
      <c r="W989" t="s">
        <v>66</v>
      </c>
      <c r="X989" s="3">
        <v>46281</v>
      </c>
      <c r="Y989" s="1" t="str">
        <f t="shared" si="30"/>
        <v>Sep</v>
      </c>
      <c r="Z989" s="1" t="str">
        <f t="shared" si="31"/>
        <v>2026</v>
      </c>
      <c r="AA989" t="b">
        <v>1</v>
      </c>
      <c r="AB989" t="b">
        <v>1</v>
      </c>
      <c r="AC989" t="s">
        <v>74</v>
      </c>
      <c r="AD989" t="s">
        <v>53</v>
      </c>
      <c r="AE989">
        <v>6</v>
      </c>
    </row>
    <row r="990" spans="1:31" x14ac:dyDescent="0.3">
      <c r="A990" t="s">
        <v>2038</v>
      </c>
      <c r="B990">
        <v>25</v>
      </c>
      <c r="C990" t="str" cm="1">
        <f t="array" ref="C990">_xlfn.IFS(B990&lt;=18,"0-18",B990&lt;=29,"19-29",B990&gt;=49,"30-49",B990&gt;=69,"50-69",TRUE,"70+")</f>
        <v>19-29</v>
      </c>
      <c r="D990" t="s">
        <v>29</v>
      </c>
      <c r="E990" t="s">
        <v>44</v>
      </c>
      <c r="F990" t="s">
        <v>76</v>
      </c>
      <c r="G990" t="s">
        <v>32</v>
      </c>
      <c r="H990" t="s">
        <v>44</v>
      </c>
      <c r="I990" t="s">
        <v>2039</v>
      </c>
      <c r="J990" t="s">
        <v>142</v>
      </c>
      <c r="K990" s="2">
        <v>159.53</v>
      </c>
      <c r="L990">
        <v>11</v>
      </c>
      <c r="M990" t="s">
        <v>35</v>
      </c>
      <c r="N990">
        <v>3</v>
      </c>
      <c r="O990">
        <v>4</v>
      </c>
      <c r="P990">
        <v>2</v>
      </c>
      <c r="Q990" t="s">
        <v>59</v>
      </c>
      <c r="R990" t="s">
        <v>85</v>
      </c>
      <c r="S990">
        <v>0</v>
      </c>
      <c r="T990">
        <v>3</v>
      </c>
      <c r="U990" t="s">
        <v>59</v>
      </c>
      <c r="V990" t="s">
        <v>79</v>
      </c>
      <c r="W990" t="s">
        <v>86</v>
      </c>
      <c r="X990" s="3">
        <v>46282</v>
      </c>
      <c r="Y990" s="1" t="str">
        <f t="shared" si="30"/>
        <v>Sep</v>
      </c>
      <c r="Z990" s="1" t="str">
        <f t="shared" si="31"/>
        <v>2026</v>
      </c>
      <c r="AA990" t="b">
        <v>1</v>
      </c>
      <c r="AB990" t="b">
        <v>1</v>
      </c>
      <c r="AC990" t="s">
        <v>62</v>
      </c>
      <c r="AD990" t="s">
        <v>67</v>
      </c>
      <c r="AE990">
        <v>7</v>
      </c>
    </row>
    <row r="991" spans="1:31" x14ac:dyDescent="0.3">
      <c r="A991" t="s">
        <v>2040</v>
      </c>
      <c r="B991">
        <v>40</v>
      </c>
      <c r="C991" t="str" cm="1">
        <f t="array" ref="C991">_xlfn.IFS(B991&lt;=18,"0-18",B991&lt;=29,"19-29",B991&gt;=49,"30-49",B991&gt;=69,"50-69",TRUE,"70+")</f>
        <v>70+</v>
      </c>
      <c r="D991" t="s">
        <v>29</v>
      </c>
      <c r="E991" t="s">
        <v>44</v>
      </c>
      <c r="F991" t="s">
        <v>69</v>
      </c>
      <c r="G991" t="s">
        <v>45</v>
      </c>
      <c r="H991" t="s">
        <v>44</v>
      </c>
      <c r="I991" t="s">
        <v>2041</v>
      </c>
      <c r="J991" t="s">
        <v>246</v>
      </c>
      <c r="K991" s="2">
        <v>149.52000000000001</v>
      </c>
      <c r="L991">
        <v>9</v>
      </c>
      <c r="M991" t="s">
        <v>48</v>
      </c>
      <c r="N991">
        <v>2</v>
      </c>
      <c r="O991">
        <v>5</v>
      </c>
      <c r="P991">
        <v>1</v>
      </c>
      <c r="Q991" t="s">
        <v>36</v>
      </c>
      <c r="R991" t="s">
        <v>37</v>
      </c>
      <c r="S991">
        <v>0</v>
      </c>
      <c r="T991">
        <v>6</v>
      </c>
      <c r="U991" t="s">
        <v>36</v>
      </c>
      <c r="V991" t="s">
        <v>60</v>
      </c>
      <c r="W991" t="s">
        <v>86</v>
      </c>
      <c r="X991" s="3">
        <v>46283</v>
      </c>
      <c r="Y991" s="1" t="str">
        <f t="shared" si="30"/>
        <v>Sep</v>
      </c>
      <c r="Z991" s="1" t="str">
        <f t="shared" si="31"/>
        <v>2026</v>
      </c>
      <c r="AA991" t="b">
        <v>0</v>
      </c>
      <c r="AB991" t="b">
        <v>0</v>
      </c>
      <c r="AC991" t="s">
        <v>52</v>
      </c>
      <c r="AD991" t="s">
        <v>41</v>
      </c>
      <c r="AE991">
        <v>8</v>
      </c>
    </row>
    <row r="992" spans="1:31" x14ac:dyDescent="0.3">
      <c r="A992" t="s">
        <v>2042</v>
      </c>
      <c r="B992">
        <v>19</v>
      </c>
      <c r="C992" t="str" cm="1">
        <f t="array" ref="C992">_xlfn.IFS(B992&lt;=18,"0-18",B992&lt;=29,"19-29",B992&gt;=49,"30-49",B992&gt;=69,"50-69",TRUE,"70+")</f>
        <v>19-29</v>
      </c>
      <c r="D992" t="s">
        <v>29</v>
      </c>
      <c r="E992" t="s">
        <v>44</v>
      </c>
      <c r="F992" t="s">
        <v>69</v>
      </c>
      <c r="G992" t="s">
        <v>32</v>
      </c>
      <c r="H992" t="s">
        <v>44</v>
      </c>
      <c r="I992" t="s">
        <v>2043</v>
      </c>
      <c r="J992" t="s">
        <v>126</v>
      </c>
      <c r="K992" s="2">
        <v>206.32</v>
      </c>
      <c r="L992">
        <v>5</v>
      </c>
      <c r="M992" t="s">
        <v>78</v>
      </c>
      <c r="N992">
        <v>3</v>
      </c>
      <c r="O992">
        <v>3</v>
      </c>
      <c r="P992">
        <v>1</v>
      </c>
      <c r="Q992" t="s">
        <v>59</v>
      </c>
      <c r="R992" t="s">
        <v>50</v>
      </c>
      <c r="S992">
        <v>0</v>
      </c>
      <c r="T992">
        <v>4</v>
      </c>
      <c r="U992" t="s">
        <v>36</v>
      </c>
      <c r="V992" t="s">
        <v>79</v>
      </c>
      <c r="W992" t="s">
        <v>51</v>
      </c>
      <c r="X992" s="3">
        <v>46284</v>
      </c>
      <c r="Y992" s="1" t="str">
        <f t="shared" si="30"/>
        <v>Sep</v>
      </c>
      <c r="Z992" s="1" t="str">
        <f t="shared" si="31"/>
        <v>2026</v>
      </c>
      <c r="AA992" t="b">
        <v>1</v>
      </c>
      <c r="AB992" t="b">
        <v>0</v>
      </c>
      <c r="AC992" t="s">
        <v>52</v>
      </c>
      <c r="AD992" t="s">
        <v>67</v>
      </c>
      <c r="AE992">
        <v>12</v>
      </c>
    </row>
    <row r="993" spans="1:31" x14ac:dyDescent="0.3">
      <c r="A993" t="s">
        <v>2044</v>
      </c>
      <c r="B993">
        <v>40</v>
      </c>
      <c r="C993" t="str" cm="1">
        <f t="array" ref="C993">_xlfn.IFS(B993&lt;=18,"0-18",B993&lt;=29,"19-29",B993&gt;=49,"30-49",B993&gt;=69,"50-69",TRUE,"70+")</f>
        <v>70+</v>
      </c>
      <c r="D993" t="s">
        <v>88</v>
      </c>
      <c r="E993" t="s">
        <v>44</v>
      </c>
      <c r="F993" t="s">
        <v>55</v>
      </c>
      <c r="G993" t="s">
        <v>32</v>
      </c>
      <c r="H993" t="s">
        <v>44</v>
      </c>
      <c r="I993" t="s">
        <v>2045</v>
      </c>
      <c r="J993" t="s">
        <v>123</v>
      </c>
      <c r="K993" s="2">
        <v>308.58</v>
      </c>
      <c r="L993">
        <v>11</v>
      </c>
      <c r="M993" t="s">
        <v>78</v>
      </c>
      <c r="N993">
        <v>2</v>
      </c>
      <c r="O993">
        <v>5</v>
      </c>
      <c r="P993">
        <v>2</v>
      </c>
      <c r="Q993" t="s">
        <v>49</v>
      </c>
      <c r="R993" t="s">
        <v>50</v>
      </c>
      <c r="S993">
        <v>0</v>
      </c>
      <c r="T993">
        <v>7</v>
      </c>
      <c r="U993" t="s">
        <v>49</v>
      </c>
      <c r="V993" t="s">
        <v>60</v>
      </c>
      <c r="W993" t="s">
        <v>61</v>
      </c>
      <c r="X993" s="3">
        <v>46285</v>
      </c>
      <c r="Y993" s="1" t="str">
        <f t="shared" si="30"/>
        <v>Sep</v>
      </c>
      <c r="Z993" s="1" t="str">
        <f t="shared" si="31"/>
        <v>2026</v>
      </c>
      <c r="AA993" t="b">
        <v>0</v>
      </c>
      <c r="AB993" t="b">
        <v>1</v>
      </c>
      <c r="AC993" t="s">
        <v>40</v>
      </c>
      <c r="AD993" t="s">
        <v>67</v>
      </c>
      <c r="AE993">
        <v>12</v>
      </c>
    </row>
    <row r="994" spans="1:31" x14ac:dyDescent="0.3">
      <c r="A994" t="s">
        <v>2046</v>
      </c>
      <c r="B994">
        <v>22</v>
      </c>
      <c r="C994" t="str" cm="1">
        <f t="array" ref="C994">_xlfn.IFS(B994&lt;=18,"0-18",B994&lt;=29,"19-29",B994&gt;=49,"30-49",B994&gt;=69,"50-69",TRUE,"70+")</f>
        <v>19-29</v>
      </c>
      <c r="D994" t="s">
        <v>29</v>
      </c>
      <c r="E994" t="s">
        <v>44</v>
      </c>
      <c r="F994" t="s">
        <v>55</v>
      </c>
      <c r="G994" t="s">
        <v>45</v>
      </c>
      <c r="H994" t="s">
        <v>30</v>
      </c>
      <c r="I994" t="s">
        <v>2047</v>
      </c>
      <c r="J994" t="s">
        <v>158</v>
      </c>
      <c r="K994" s="2">
        <v>91.34</v>
      </c>
      <c r="L994">
        <v>5</v>
      </c>
      <c r="M994" t="s">
        <v>78</v>
      </c>
      <c r="N994">
        <v>2</v>
      </c>
      <c r="O994">
        <v>1</v>
      </c>
      <c r="P994">
        <v>1</v>
      </c>
      <c r="Q994" t="s">
        <v>36</v>
      </c>
      <c r="R994" t="s">
        <v>50</v>
      </c>
      <c r="S994">
        <v>0</v>
      </c>
      <c r="T994">
        <v>1</v>
      </c>
      <c r="U994" t="s">
        <v>36</v>
      </c>
      <c r="V994" t="s">
        <v>60</v>
      </c>
      <c r="W994" t="s">
        <v>61</v>
      </c>
      <c r="X994" s="3">
        <v>46286</v>
      </c>
      <c r="Y994" s="1" t="str">
        <f t="shared" si="30"/>
        <v>Sep</v>
      </c>
      <c r="Z994" s="1" t="str">
        <f t="shared" si="31"/>
        <v>2026</v>
      </c>
      <c r="AA994" t="b">
        <v>1</v>
      </c>
      <c r="AB994" t="b">
        <v>1</v>
      </c>
      <c r="AC994" t="s">
        <v>62</v>
      </c>
      <c r="AD994" t="s">
        <v>67</v>
      </c>
      <c r="AE994">
        <v>6</v>
      </c>
    </row>
    <row r="995" spans="1:31" x14ac:dyDescent="0.3">
      <c r="A995" t="s">
        <v>2048</v>
      </c>
      <c r="B995">
        <v>25</v>
      </c>
      <c r="C995" t="str" cm="1">
        <f t="array" ref="C995">_xlfn.IFS(B995&lt;=18,"0-18",B995&lt;=29,"19-29",B995&gt;=49,"30-49",B995&gt;=69,"50-69",TRUE,"70+")</f>
        <v>19-29</v>
      </c>
      <c r="D995" t="s">
        <v>29</v>
      </c>
      <c r="E995" t="s">
        <v>44</v>
      </c>
      <c r="F995" t="s">
        <v>76</v>
      </c>
      <c r="G995" t="s">
        <v>45</v>
      </c>
      <c r="H995" t="s">
        <v>30</v>
      </c>
      <c r="I995" t="s">
        <v>2049</v>
      </c>
      <c r="J995" t="s">
        <v>98</v>
      </c>
      <c r="K995" s="2">
        <v>455.44</v>
      </c>
      <c r="L995">
        <v>7</v>
      </c>
      <c r="M995" t="s">
        <v>35</v>
      </c>
      <c r="N995">
        <v>4</v>
      </c>
      <c r="O995">
        <v>2</v>
      </c>
      <c r="P995">
        <v>1</v>
      </c>
      <c r="Q995" t="s">
        <v>59</v>
      </c>
      <c r="R995" t="s">
        <v>85</v>
      </c>
      <c r="S995">
        <v>2</v>
      </c>
      <c r="T995">
        <v>3</v>
      </c>
      <c r="U995" t="s">
        <v>59</v>
      </c>
      <c r="V995" t="s">
        <v>60</v>
      </c>
      <c r="W995" t="s">
        <v>66</v>
      </c>
      <c r="X995" s="3">
        <v>46287</v>
      </c>
      <c r="Y995" s="1" t="str">
        <f t="shared" si="30"/>
        <v>Sep</v>
      </c>
      <c r="Z995" s="1" t="str">
        <f t="shared" si="31"/>
        <v>2026</v>
      </c>
      <c r="AA995" t="b">
        <v>0</v>
      </c>
      <c r="AB995" t="b">
        <v>0</v>
      </c>
      <c r="AC995" t="s">
        <v>40</v>
      </c>
      <c r="AD995" t="s">
        <v>41</v>
      </c>
      <c r="AE995">
        <v>3</v>
      </c>
    </row>
    <row r="996" spans="1:31" x14ac:dyDescent="0.3">
      <c r="A996" t="s">
        <v>2050</v>
      </c>
      <c r="B996">
        <v>32</v>
      </c>
      <c r="C996" t="str" cm="1">
        <f t="array" ref="C996">_xlfn.IFS(B996&lt;=18,"0-18",B996&lt;=29,"19-29",B996&gt;=49,"30-49",B996&gt;=69,"50-69",TRUE,"70+")</f>
        <v>70+</v>
      </c>
      <c r="D996" t="s">
        <v>29</v>
      </c>
      <c r="E996" t="s">
        <v>44</v>
      </c>
      <c r="F996" t="s">
        <v>76</v>
      </c>
      <c r="G996" t="s">
        <v>56</v>
      </c>
      <c r="H996" t="s">
        <v>30</v>
      </c>
      <c r="I996" t="s">
        <v>2051</v>
      </c>
      <c r="J996" t="s">
        <v>123</v>
      </c>
      <c r="K996" s="2">
        <v>468.16</v>
      </c>
      <c r="L996">
        <v>8</v>
      </c>
      <c r="M996" t="s">
        <v>78</v>
      </c>
      <c r="N996">
        <v>3</v>
      </c>
      <c r="O996">
        <v>5</v>
      </c>
      <c r="P996">
        <v>1</v>
      </c>
      <c r="Q996" t="s">
        <v>59</v>
      </c>
      <c r="R996" t="s">
        <v>37</v>
      </c>
      <c r="S996">
        <v>1</v>
      </c>
      <c r="T996">
        <v>5</v>
      </c>
      <c r="U996" t="s">
        <v>44</v>
      </c>
      <c r="V996" t="s">
        <v>79</v>
      </c>
      <c r="W996" t="s">
        <v>39</v>
      </c>
      <c r="X996" s="3">
        <v>46288</v>
      </c>
      <c r="Y996" s="1" t="str">
        <f t="shared" si="30"/>
        <v>Sep</v>
      </c>
      <c r="Z996" s="1" t="str">
        <f t="shared" si="31"/>
        <v>2026</v>
      </c>
      <c r="AA996" t="b">
        <v>0</v>
      </c>
      <c r="AB996" t="b">
        <v>0</v>
      </c>
      <c r="AC996" t="s">
        <v>74</v>
      </c>
      <c r="AD996" t="s">
        <v>53</v>
      </c>
      <c r="AE996">
        <v>2</v>
      </c>
    </row>
    <row r="997" spans="1:31" x14ac:dyDescent="0.3">
      <c r="A997" t="s">
        <v>2052</v>
      </c>
      <c r="B997">
        <v>44</v>
      </c>
      <c r="C997" t="str" cm="1">
        <f t="array" ref="C997">_xlfn.IFS(B997&lt;=18,"0-18",B997&lt;=29,"19-29",B997&gt;=49,"30-49",B997&gt;=69,"50-69",TRUE,"70+")</f>
        <v>70+</v>
      </c>
      <c r="D997" t="s">
        <v>29</v>
      </c>
      <c r="E997" t="s">
        <v>44</v>
      </c>
      <c r="F997" t="s">
        <v>76</v>
      </c>
      <c r="G997" t="s">
        <v>32</v>
      </c>
      <c r="H997" t="s">
        <v>44</v>
      </c>
      <c r="I997" t="s">
        <v>2053</v>
      </c>
      <c r="J997" t="s">
        <v>93</v>
      </c>
      <c r="K997" s="2">
        <v>463.67</v>
      </c>
      <c r="L997">
        <v>5</v>
      </c>
      <c r="M997" t="s">
        <v>78</v>
      </c>
      <c r="N997">
        <v>2</v>
      </c>
      <c r="O997">
        <v>4</v>
      </c>
      <c r="P997">
        <v>0.3</v>
      </c>
      <c r="Q997" t="s">
        <v>44</v>
      </c>
      <c r="R997" t="s">
        <v>50</v>
      </c>
      <c r="S997">
        <v>2</v>
      </c>
      <c r="T997">
        <v>4</v>
      </c>
      <c r="U997" t="s">
        <v>36</v>
      </c>
      <c r="V997" t="s">
        <v>38</v>
      </c>
      <c r="W997" t="s">
        <v>51</v>
      </c>
      <c r="X997" s="3">
        <v>46289</v>
      </c>
      <c r="Y997" s="1" t="str">
        <f t="shared" si="30"/>
        <v>Sep</v>
      </c>
      <c r="Z997" s="1" t="str">
        <f t="shared" si="31"/>
        <v>2026</v>
      </c>
      <c r="AA997" t="b">
        <v>1</v>
      </c>
      <c r="AB997" t="b">
        <v>0</v>
      </c>
      <c r="AC997" t="s">
        <v>40</v>
      </c>
      <c r="AD997" t="s">
        <v>53</v>
      </c>
      <c r="AE997">
        <v>5</v>
      </c>
    </row>
    <row r="998" spans="1:31" x14ac:dyDescent="0.3">
      <c r="A998" t="s">
        <v>2054</v>
      </c>
      <c r="B998">
        <v>50</v>
      </c>
      <c r="C998" t="str" cm="1">
        <f t="array" ref="C998">_xlfn.IFS(B998&lt;=18,"0-18",B998&lt;=29,"19-29",B998&gt;=49,"30-49",B998&gt;=69,"50-69",TRUE,"70+")</f>
        <v>30-49</v>
      </c>
      <c r="D998" t="s">
        <v>29</v>
      </c>
      <c r="E998" t="s">
        <v>44</v>
      </c>
      <c r="F998" t="s">
        <v>55</v>
      </c>
      <c r="G998" t="s">
        <v>45</v>
      </c>
      <c r="H998" t="s">
        <v>30</v>
      </c>
      <c r="I998" t="s">
        <v>2055</v>
      </c>
      <c r="J998" t="s">
        <v>34</v>
      </c>
      <c r="K998" s="2">
        <v>69.78</v>
      </c>
      <c r="L998">
        <v>9</v>
      </c>
      <c r="M998" t="s">
        <v>35</v>
      </c>
      <c r="N998">
        <v>4</v>
      </c>
      <c r="O998">
        <v>3</v>
      </c>
      <c r="P998">
        <v>2</v>
      </c>
      <c r="Q998" t="s">
        <v>59</v>
      </c>
      <c r="R998" t="s">
        <v>85</v>
      </c>
      <c r="S998">
        <v>0</v>
      </c>
      <c r="T998">
        <v>6</v>
      </c>
      <c r="U998" t="s">
        <v>59</v>
      </c>
      <c r="V998" t="s">
        <v>38</v>
      </c>
      <c r="W998" t="s">
        <v>86</v>
      </c>
      <c r="X998" s="3">
        <v>46290</v>
      </c>
      <c r="Y998" s="1" t="str">
        <f t="shared" si="30"/>
        <v>Sep</v>
      </c>
      <c r="Z998" s="1" t="str">
        <f t="shared" si="31"/>
        <v>2026</v>
      </c>
      <c r="AA998" t="b">
        <v>1</v>
      </c>
      <c r="AB998" t="b">
        <v>0</v>
      </c>
      <c r="AC998" t="s">
        <v>52</v>
      </c>
      <c r="AD998" t="s">
        <v>41</v>
      </c>
      <c r="AE998">
        <v>9</v>
      </c>
    </row>
    <row r="999" spans="1:31" x14ac:dyDescent="0.3">
      <c r="A999" t="s">
        <v>2056</v>
      </c>
      <c r="B999">
        <v>26</v>
      </c>
      <c r="C999" t="str" cm="1">
        <f t="array" ref="C999">_xlfn.IFS(B999&lt;=18,"0-18",B999&lt;=29,"19-29",B999&gt;=49,"30-49",B999&gt;=69,"50-69",TRUE,"70+")</f>
        <v>19-29</v>
      </c>
      <c r="D999" t="s">
        <v>43</v>
      </c>
      <c r="E999" t="s">
        <v>44</v>
      </c>
      <c r="F999" t="s">
        <v>31</v>
      </c>
      <c r="G999" t="s">
        <v>32</v>
      </c>
      <c r="H999" t="s">
        <v>44</v>
      </c>
      <c r="I999" t="s">
        <v>2057</v>
      </c>
      <c r="J999" t="s">
        <v>47</v>
      </c>
      <c r="K999" s="2">
        <v>453.37</v>
      </c>
      <c r="L999">
        <v>10</v>
      </c>
      <c r="M999" t="s">
        <v>35</v>
      </c>
      <c r="N999">
        <v>1</v>
      </c>
      <c r="O999">
        <v>1</v>
      </c>
      <c r="P999">
        <v>2</v>
      </c>
      <c r="Q999" t="s">
        <v>59</v>
      </c>
      <c r="R999" t="s">
        <v>85</v>
      </c>
      <c r="S999">
        <v>0</v>
      </c>
      <c r="T999">
        <v>6</v>
      </c>
      <c r="U999" t="s">
        <v>44</v>
      </c>
      <c r="V999" t="s">
        <v>79</v>
      </c>
      <c r="W999" t="s">
        <v>39</v>
      </c>
      <c r="X999" s="3">
        <v>46291</v>
      </c>
      <c r="Y999" s="1" t="str">
        <f t="shared" si="30"/>
        <v>Sep</v>
      </c>
      <c r="Z999" s="1" t="str">
        <f t="shared" si="31"/>
        <v>2026</v>
      </c>
      <c r="AA999" t="b">
        <v>1</v>
      </c>
      <c r="AB999" t="b">
        <v>1</v>
      </c>
      <c r="AC999" t="s">
        <v>52</v>
      </c>
      <c r="AD999" t="s">
        <v>67</v>
      </c>
      <c r="AE999">
        <v>9</v>
      </c>
    </row>
    <row r="1000" spans="1:31" x14ac:dyDescent="0.3">
      <c r="A1000" t="s">
        <v>2058</v>
      </c>
      <c r="B1000">
        <v>21</v>
      </c>
      <c r="C1000" t="str" cm="1">
        <f t="array" ref="C1000">_xlfn.IFS(B1000&lt;=18,"0-18",B1000&lt;=29,"19-29",B1000&gt;=49,"30-49",B1000&gt;=69,"50-69",TRUE,"70+")</f>
        <v>19-29</v>
      </c>
      <c r="D1000" t="s">
        <v>29</v>
      </c>
      <c r="E1000" t="s">
        <v>44</v>
      </c>
      <c r="F1000" t="s">
        <v>69</v>
      </c>
      <c r="G1000" t="s">
        <v>32</v>
      </c>
      <c r="H1000" t="s">
        <v>30</v>
      </c>
      <c r="I1000" t="s">
        <v>2059</v>
      </c>
      <c r="J1000" t="s">
        <v>123</v>
      </c>
      <c r="K1000" s="2">
        <v>106.15</v>
      </c>
      <c r="L1000">
        <v>12</v>
      </c>
      <c r="M1000" t="s">
        <v>48</v>
      </c>
      <c r="N1000">
        <v>4</v>
      </c>
      <c r="O1000">
        <v>4</v>
      </c>
      <c r="P1000">
        <v>0.3</v>
      </c>
      <c r="Q1000" t="s">
        <v>59</v>
      </c>
      <c r="R1000" t="s">
        <v>37</v>
      </c>
      <c r="S1000">
        <v>0</v>
      </c>
      <c r="T1000">
        <v>5</v>
      </c>
      <c r="U1000" t="s">
        <v>49</v>
      </c>
      <c r="V1000" t="s">
        <v>79</v>
      </c>
      <c r="W1000" t="s">
        <v>86</v>
      </c>
      <c r="X1000" s="3">
        <v>46292</v>
      </c>
      <c r="Y1000" s="1" t="str">
        <f t="shared" si="30"/>
        <v>Sep</v>
      </c>
      <c r="Z1000" s="1" t="str">
        <f t="shared" si="31"/>
        <v>2026</v>
      </c>
      <c r="AA1000" t="b">
        <v>1</v>
      </c>
      <c r="AB1000" t="b">
        <v>1</v>
      </c>
      <c r="AC1000" t="s">
        <v>62</v>
      </c>
      <c r="AD1000" t="s">
        <v>53</v>
      </c>
      <c r="AE1000">
        <v>8</v>
      </c>
    </row>
    <row r="1001" spans="1:31" x14ac:dyDescent="0.3">
      <c r="A1001" t="s">
        <v>2060</v>
      </c>
      <c r="B1001">
        <v>21</v>
      </c>
      <c r="C1001" t="str" cm="1">
        <f t="array" ref="C1001">_xlfn.IFS(B1001&lt;=18,"0-18",B1001&lt;=29,"19-29",B1001&gt;=49,"30-49",B1001&gt;=69,"50-69",TRUE,"70+")</f>
        <v>19-29</v>
      </c>
      <c r="D1001" t="s">
        <v>29</v>
      </c>
      <c r="E1001" t="s">
        <v>30</v>
      </c>
      <c r="F1001" t="s">
        <v>55</v>
      </c>
      <c r="G1001" t="s">
        <v>45</v>
      </c>
      <c r="H1001" t="s">
        <v>44</v>
      </c>
      <c r="I1001" t="s">
        <v>2061</v>
      </c>
      <c r="J1001" t="s">
        <v>104</v>
      </c>
      <c r="K1001" s="2">
        <v>378.47</v>
      </c>
      <c r="L1001">
        <v>6</v>
      </c>
      <c r="M1001" t="s">
        <v>78</v>
      </c>
      <c r="N1001">
        <v>5</v>
      </c>
      <c r="O1001">
        <v>2</v>
      </c>
      <c r="P1001">
        <v>0.33</v>
      </c>
      <c r="Q1001" t="s">
        <v>49</v>
      </c>
      <c r="R1001" t="s">
        <v>50</v>
      </c>
      <c r="S1001">
        <v>1</v>
      </c>
      <c r="T1001">
        <v>10</v>
      </c>
      <c r="U1001" t="s">
        <v>59</v>
      </c>
      <c r="V1001" t="s">
        <v>38</v>
      </c>
      <c r="W1001" t="s">
        <v>66</v>
      </c>
      <c r="X1001" s="3">
        <v>46293</v>
      </c>
      <c r="Y1001" s="1" t="str">
        <f t="shared" si="30"/>
        <v>Sep</v>
      </c>
      <c r="Z1001" s="1" t="str">
        <f t="shared" si="31"/>
        <v>2026</v>
      </c>
      <c r="AA1001" t="b">
        <v>0</v>
      </c>
      <c r="AB1001" t="b">
        <v>0</v>
      </c>
      <c r="AC1001" t="s">
        <v>74</v>
      </c>
      <c r="AD1001" t="s">
        <v>67</v>
      </c>
      <c r="AE1001">
        <v>2</v>
      </c>
    </row>
    <row r="1009" spans="28:28" x14ac:dyDescent="0.3">
      <c r="AB1009" s="6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9B7AB2-D3D2-4EA9-AE8A-0557852B9040}">
  <dimension ref="A1:P30"/>
  <sheetViews>
    <sheetView tabSelected="1" topLeftCell="B9" workbookViewId="0">
      <selection activeCell="F30" sqref="F30"/>
    </sheetView>
  </sheetViews>
  <sheetFormatPr defaultRowHeight="14.4" x14ac:dyDescent="0.3"/>
  <cols>
    <col min="1" max="1" width="23.33203125" bestFit="1" customWidth="1"/>
    <col min="3" max="3" width="12.5546875" bestFit="1" customWidth="1"/>
    <col min="4" max="4" width="23.33203125" bestFit="1" customWidth="1"/>
    <col min="6" max="6" width="30" bestFit="1" customWidth="1"/>
    <col min="7" max="7" width="23.33203125" bestFit="1" customWidth="1"/>
    <col min="9" max="9" width="12.5546875" bestFit="1" customWidth="1"/>
    <col min="10" max="10" width="23.33203125" bestFit="1" customWidth="1"/>
    <col min="11" max="11" width="15.5546875" bestFit="1" customWidth="1"/>
    <col min="12" max="12" width="12.5546875" bestFit="1" customWidth="1"/>
    <col min="13" max="13" width="23.33203125" bestFit="1" customWidth="1"/>
    <col min="14" max="14" width="15.5546875" bestFit="1" customWidth="1"/>
    <col min="15" max="15" width="12.5546875" bestFit="1" customWidth="1"/>
    <col min="16" max="16" width="23.33203125" bestFit="1" customWidth="1"/>
    <col min="17" max="20" width="15.5546875" bestFit="1" customWidth="1"/>
    <col min="21" max="21" width="10.77734375" bestFit="1" customWidth="1"/>
    <col min="22" max="41" width="15.5546875" bestFit="1" customWidth="1"/>
    <col min="42" max="42" width="10.77734375" bestFit="1" customWidth="1"/>
    <col min="43" max="1008" width="15.5546875" bestFit="1" customWidth="1"/>
    <col min="1009" max="1009" width="10.77734375" bestFit="1" customWidth="1"/>
  </cols>
  <sheetData>
    <row r="1" spans="1:16" x14ac:dyDescent="0.3">
      <c r="A1" t="s">
        <v>2064</v>
      </c>
      <c r="C1" s="4" t="s">
        <v>2065</v>
      </c>
      <c r="D1" t="s">
        <v>2064</v>
      </c>
      <c r="F1" s="4" t="s">
        <v>2065</v>
      </c>
      <c r="G1" t="s">
        <v>2064</v>
      </c>
      <c r="I1" s="4" t="s">
        <v>2065</v>
      </c>
      <c r="J1" t="s">
        <v>2064</v>
      </c>
      <c r="L1" s="4" t="s">
        <v>2065</v>
      </c>
      <c r="M1" t="s">
        <v>2064</v>
      </c>
      <c r="O1" s="4" t="s">
        <v>2065</v>
      </c>
      <c r="P1" t="s">
        <v>2064</v>
      </c>
    </row>
    <row r="2" spans="1:16" x14ac:dyDescent="0.3">
      <c r="A2">
        <v>275063.88</v>
      </c>
      <c r="C2" s="5" t="s">
        <v>2067</v>
      </c>
      <c r="D2">
        <v>4666.18</v>
      </c>
      <c r="F2" s="5" t="s">
        <v>117</v>
      </c>
      <c r="G2">
        <v>13842.41</v>
      </c>
      <c r="I2" s="5" t="s">
        <v>44</v>
      </c>
      <c r="J2">
        <v>76192.92</v>
      </c>
      <c r="L2" s="5" t="s">
        <v>2086</v>
      </c>
      <c r="M2">
        <v>132313.9</v>
      </c>
      <c r="O2" s="5" t="s">
        <v>2077</v>
      </c>
      <c r="P2">
        <v>25560.61</v>
      </c>
    </row>
    <row r="3" spans="1:16" x14ac:dyDescent="0.3">
      <c r="C3" s="5" t="s">
        <v>2068</v>
      </c>
      <c r="D3">
        <v>95462.82</v>
      </c>
      <c r="F3" s="5" t="s">
        <v>246</v>
      </c>
      <c r="G3">
        <v>15139.36</v>
      </c>
      <c r="I3" s="5" t="s">
        <v>59</v>
      </c>
      <c r="J3">
        <v>67852.320000000007</v>
      </c>
      <c r="L3" s="5" t="s">
        <v>2087</v>
      </c>
      <c r="M3">
        <v>142749.98000000001</v>
      </c>
      <c r="O3" s="5" t="s">
        <v>2081</v>
      </c>
      <c r="P3">
        <v>24427.97</v>
      </c>
    </row>
    <row r="4" spans="1:16" x14ac:dyDescent="0.3">
      <c r="C4" s="5" t="s">
        <v>2069</v>
      </c>
      <c r="D4">
        <v>18592.939999999999</v>
      </c>
      <c r="F4" s="5" t="s">
        <v>120</v>
      </c>
      <c r="G4">
        <v>13601.41</v>
      </c>
      <c r="I4" s="5" t="s">
        <v>49</v>
      </c>
      <c r="J4">
        <v>66108.02</v>
      </c>
      <c r="O4" s="5" t="s">
        <v>2085</v>
      </c>
      <c r="P4">
        <v>16307.27</v>
      </c>
    </row>
    <row r="5" spans="1:16" x14ac:dyDescent="0.3">
      <c r="C5" s="5" t="s">
        <v>2070</v>
      </c>
      <c r="D5">
        <v>156341.94</v>
      </c>
      <c r="F5" s="5" t="s">
        <v>90</v>
      </c>
      <c r="G5">
        <v>14610.51</v>
      </c>
      <c r="I5" s="5" t="s">
        <v>36</v>
      </c>
      <c r="J5">
        <v>64910.62</v>
      </c>
      <c r="L5" s="4" t="s">
        <v>2065</v>
      </c>
      <c r="M5" t="s">
        <v>2064</v>
      </c>
      <c r="O5" s="5" t="s">
        <v>2075</v>
      </c>
      <c r="P5">
        <v>24646.55</v>
      </c>
    </row>
    <row r="6" spans="1:16" x14ac:dyDescent="0.3">
      <c r="F6" s="5" t="s">
        <v>126</v>
      </c>
      <c r="G6">
        <v>13536.46</v>
      </c>
      <c r="L6" s="5">
        <v>1</v>
      </c>
      <c r="M6">
        <v>54421.58</v>
      </c>
      <c r="O6" s="5" t="s">
        <v>2074</v>
      </c>
      <c r="P6">
        <v>24122.43</v>
      </c>
    </row>
    <row r="7" spans="1:16" x14ac:dyDescent="0.3">
      <c r="C7" s="4" t="s">
        <v>2065</v>
      </c>
      <c r="D7" t="s">
        <v>2064</v>
      </c>
      <c r="L7" s="5">
        <v>2</v>
      </c>
      <c r="M7">
        <v>53651.81</v>
      </c>
      <c r="O7" s="5" t="s">
        <v>2080</v>
      </c>
      <c r="P7">
        <v>25301.9</v>
      </c>
    </row>
    <row r="8" spans="1:16" x14ac:dyDescent="0.3">
      <c r="C8" s="5" t="s">
        <v>29</v>
      </c>
      <c r="D8">
        <v>127503.71</v>
      </c>
      <c r="F8" s="4" t="s">
        <v>2065</v>
      </c>
      <c r="G8" t="s">
        <v>2064</v>
      </c>
      <c r="I8" t="s">
        <v>2088</v>
      </c>
      <c r="L8" s="5">
        <v>3</v>
      </c>
      <c r="M8">
        <v>49306.71</v>
      </c>
      <c r="O8" s="5" t="s">
        <v>2079</v>
      </c>
      <c r="P8">
        <v>23693.83</v>
      </c>
    </row>
    <row r="9" spans="1:16" x14ac:dyDescent="0.3">
      <c r="C9" s="5" t="s">
        <v>43</v>
      </c>
      <c r="D9">
        <v>120160.69</v>
      </c>
      <c r="F9" s="5" t="s">
        <v>48</v>
      </c>
      <c r="G9">
        <v>88295.29</v>
      </c>
      <c r="I9">
        <v>275.06387999999998</v>
      </c>
      <c r="L9" s="5">
        <v>4</v>
      </c>
      <c r="M9">
        <v>60778.01</v>
      </c>
      <c r="O9" s="5" t="s">
        <v>2076</v>
      </c>
      <c r="P9">
        <v>26586.17</v>
      </c>
    </row>
    <row r="10" spans="1:16" x14ac:dyDescent="0.3">
      <c r="F10" s="5" t="s">
        <v>35</v>
      </c>
      <c r="G10">
        <v>95164.36</v>
      </c>
      <c r="L10" s="5">
        <v>5</v>
      </c>
      <c r="M10">
        <v>56905.77</v>
      </c>
      <c r="O10" s="5" t="s">
        <v>2078</v>
      </c>
      <c r="P10">
        <v>25607.78</v>
      </c>
    </row>
    <row r="11" spans="1:16" x14ac:dyDescent="0.3">
      <c r="C11" s="4" t="s">
        <v>2065</v>
      </c>
      <c r="D11" t="s">
        <v>2064</v>
      </c>
      <c r="F11" s="5" t="s">
        <v>78</v>
      </c>
      <c r="G11">
        <v>91604.23</v>
      </c>
      <c r="I11" s="4" t="s">
        <v>2065</v>
      </c>
      <c r="J11" t="s">
        <v>2064</v>
      </c>
      <c r="O11" s="5" t="s">
        <v>2084</v>
      </c>
      <c r="P11">
        <v>18625.98</v>
      </c>
    </row>
    <row r="12" spans="1:16" x14ac:dyDescent="0.3">
      <c r="C12" s="5" t="s">
        <v>44</v>
      </c>
      <c r="D12">
        <v>141888.49</v>
      </c>
      <c r="I12" s="5">
        <v>1</v>
      </c>
      <c r="J12">
        <v>54900.86</v>
      </c>
      <c r="L12" s="4" t="s">
        <v>2065</v>
      </c>
      <c r="M12" t="s">
        <v>2064</v>
      </c>
      <c r="O12" s="5" t="s">
        <v>2083</v>
      </c>
      <c r="P12">
        <v>17298.86</v>
      </c>
    </row>
    <row r="13" spans="1:16" x14ac:dyDescent="0.3">
      <c r="C13" s="5" t="s">
        <v>30</v>
      </c>
      <c r="D13">
        <v>133175.39000000001</v>
      </c>
      <c r="F13" s="4" t="s">
        <v>2065</v>
      </c>
      <c r="G13" t="s">
        <v>2064</v>
      </c>
      <c r="I13" s="5">
        <v>2</v>
      </c>
      <c r="J13">
        <v>55587.08</v>
      </c>
      <c r="L13" s="5">
        <v>1</v>
      </c>
      <c r="M13">
        <v>22893.79</v>
      </c>
      <c r="O13" s="5" t="s">
        <v>2082</v>
      </c>
      <c r="P13">
        <v>22884.53</v>
      </c>
    </row>
    <row r="14" spans="1:16" x14ac:dyDescent="0.3">
      <c r="F14" s="5" t="s">
        <v>86</v>
      </c>
      <c r="G14">
        <v>50072.47</v>
      </c>
      <c r="I14" s="5">
        <v>3</v>
      </c>
      <c r="J14">
        <v>59010.52</v>
      </c>
      <c r="L14" s="5">
        <v>2</v>
      </c>
      <c r="M14">
        <v>13748.01</v>
      </c>
    </row>
    <row r="15" spans="1:16" x14ac:dyDescent="0.3">
      <c r="C15" s="4" t="s">
        <v>2065</v>
      </c>
      <c r="D15" t="s">
        <v>2064</v>
      </c>
      <c r="F15" s="5" t="s">
        <v>39</v>
      </c>
      <c r="G15">
        <v>52677.54</v>
      </c>
      <c r="I15" s="5">
        <v>4</v>
      </c>
      <c r="J15">
        <v>52408.32</v>
      </c>
      <c r="L15" s="5">
        <v>3</v>
      </c>
      <c r="M15">
        <v>23318.28</v>
      </c>
      <c r="O15" s="4" t="s">
        <v>2065</v>
      </c>
      <c r="P15" t="s">
        <v>2064</v>
      </c>
    </row>
    <row r="16" spans="1:16" x14ac:dyDescent="0.3">
      <c r="C16" s="5" t="s">
        <v>44</v>
      </c>
      <c r="D16">
        <v>140776.67000000001</v>
      </c>
      <c r="F16" s="5" t="s">
        <v>61</v>
      </c>
      <c r="G16">
        <v>53552.04</v>
      </c>
      <c r="I16" s="5">
        <v>5</v>
      </c>
      <c r="J16">
        <v>53157.1</v>
      </c>
      <c r="L16" s="5">
        <v>4</v>
      </c>
      <c r="M16">
        <v>16175.34</v>
      </c>
      <c r="O16" s="5" t="s">
        <v>2071</v>
      </c>
      <c r="P16">
        <v>98402.09</v>
      </c>
    </row>
    <row r="17" spans="3:16" x14ac:dyDescent="0.3">
      <c r="C17" s="5" t="s">
        <v>30</v>
      </c>
      <c r="D17">
        <v>134287.21</v>
      </c>
      <c r="F17" s="5" t="s">
        <v>66</v>
      </c>
      <c r="G17">
        <v>57797.5</v>
      </c>
      <c r="L17" s="5">
        <v>5</v>
      </c>
      <c r="M17">
        <v>16090.44</v>
      </c>
      <c r="O17" s="5" t="s">
        <v>2072</v>
      </c>
      <c r="P17">
        <v>100585.82</v>
      </c>
    </row>
    <row r="18" spans="3:16" x14ac:dyDescent="0.3">
      <c r="F18" s="5" t="s">
        <v>51</v>
      </c>
      <c r="G18">
        <v>60964.33</v>
      </c>
      <c r="I18" s="4" t="s">
        <v>2065</v>
      </c>
      <c r="J18" t="s">
        <v>2064</v>
      </c>
      <c r="L18" s="5">
        <v>6</v>
      </c>
      <c r="M18">
        <v>19189.98</v>
      </c>
      <c r="O18" s="5" t="s">
        <v>2073</v>
      </c>
      <c r="P18">
        <v>76075.97</v>
      </c>
    </row>
    <row r="19" spans="3:16" x14ac:dyDescent="0.3">
      <c r="I19" s="5">
        <v>0</v>
      </c>
      <c r="J19">
        <v>98755.66</v>
      </c>
      <c r="L19" s="5">
        <v>7</v>
      </c>
      <c r="M19">
        <v>24498.59</v>
      </c>
    </row>
    <row r="20" spans="3:16" x14ac:dyDescent="0.3">
      <c r="F20" s="4" t="s">
        <v>2065</v>
      </c>
      <c r="G20" t="s">
        <v>2064</v>
      </c>
      <c r="I20" s="5">
        <v>1</v>
      </c>
      <c r="J20">
        <v>92420.93</v>
      </c>
      <c r="L20" s="5">
        <v>8</v>
      </c>
      <c r="M20">
        <v>21612.59</v>
      </c>
    </row>
    <row r="21" spans="3:16" x14ac:dyDescent="0.3">
      <c r="F21" s="5" t="s">
        <v>79</v>
      </c>
      <c r="G21">
        <v>93344.49</v>
      </c>
      <c r="I21" s="5">
        <v>2</v>
      </c>
      <c r="J21">
        <v>83887.29</v>
      </c>
      <c r="L21" s="5">
        <v>9</v>
      </c>
      <c r="M21">
        <v>16907.95</v>
      </c>
    </row>
    <row r="22" spans="3:16" x14ac:dyDescent="0.3">
      <c r="F22" s="5" t="s">
        <v>60</v>
      </c>
      <c r="G22">
        <v>87717.59</v>
      </c>
      <c r="L22" s="5">
        <v>10</v>
      </c>
      <c r="M22">
        <v>21380.33</v>
      </c>
    </row>
    <row r="23" spans="3:16" x14ac:dyDescent="0.3">
      <c r="F23" s="5" t="s">
        <v>38</v>
      </c>
      <c r="G23">
        <v>94001.8</v>
      </c>
      <c r="I23" s="4" t="s">
        <v>2065</v>
      </c>
      <c r="J23" t="s">
        <v>2064</v>
      </c>
      <c r="L23" s="5">
        <v>11</v>
      </c>
      <c r="M23">
        <v>20434.849999999999</v>
      </c>
    </row>
    <row r="24" spans="3:16" x14ac:dyDescent="0.3">
      <c r="I24" s="5" t="s">
        <v>44</v>
      </c>
      <c r="J24">
        <v>74967.72</v>
      </c>
      <c r="L24" s="5">
        <v>12</v>
      </c>
      <c r="M24">
        <v>16779.05</v>
      </c>
    </row>
    <row r="25" spans="3:16" x14ac:dyDescent="0.3">
      <c r="I25" s="5" t="s">
        <v>59</v>
      </c>
      <c r="J25">
        <v>61699.69</v>
      </c>
      <c r="L25" s="5">
        <v>13</v>
      </c>
      <c r="M25">
        <v>21923.8</v>
      </c>
    </row>
    <row r="26" spans="3:16" x14ac:dyDescent="0.3">
      <c r="I26" s="5" t="s">
        <v>49</v>
      </c>
      <c r="J26">
        <v>68615.509999999995</v>
      </c>
      <c r="L26" s="5">
        <v>14</v>
      </c>
      <c r="M26">
        <v>20110.88</v>
      </c>
    </row>
    <row r="27" spans="3:16" x14ac:dyDescent="0.3">
      <c r="I27" s="5" t="s">
        <v>36</v>
      </c>
      <c r="J27">
        <v>69780.960000000006</v>
      </c>
    </row>
    <row r="29" spans="3:16" x14ac:dyDescent="0.3">
      <c r="F29" t="s">
        <v>2089</v>
      </c>
    </row>
    <row r="30" spans="3:16" x14ac:dyDescent="0.3">
      <c r="F30" s="7">
        <v>5.399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DCFF7008-8A01-4E54-9108-85C9F3B80287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Ecommerce_Consumer_Behavior_Ana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SHILPA ROY</dc:creator>
  <cp:lastModifiedBy>SHILPA ROY</cp:lastModifiedBy>
  <dcterms:created xsi:type="dcterms:W3CDTF">2026-05-31T15:04:34Z</dcterms:created>
  <dcterms:modified xsi:type="dcterms:W3CDTF">2026-06-03T08:41:49Z</dcterms:modified>
</cp:coreProperties>
</file>